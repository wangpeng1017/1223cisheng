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660" windowHeight="12800" tabRatio="644"/>
  </bookViews>
  <sheets>
    <sheet name="Cav 1" sheetId="1" r:id="rId1"/>
    <sheet name="Drawing" sheetId="2" r:id="rId2"/>
    <sheet name="Setup" sheetId="3" state="hidden" r:id="rId3"/>
    <sheet name="Revision" sheetId="4" r:id="rId4"/>
  </sheets>
  <definedNames>
    <definedName name="CMMVersion">'Cav 1'!$R$6</definedName>
    <definedName name="dim_type">Setup!$J$2:$J$5</definedName>
    <definedName name="dim_types">Setup!$J$2:$J$5</definedName>
    <definedName name="gauging">Setup!$L$2:$L$3</definedName>
    <definedName name="insp_meth">Setup!$H$2:$H$14</definedName>
  </definedNames>
  <calcPr calcId="144525"/>
</workbook>
</file>

<file path=xl/comments1.xml><?xml version="1.0" encoding="utf-8"?>
<comments xmlns="http://schemas.openxmlformats.org/spreadsheetml/2006/main">
  <authors>
    <author>Paul Lucier</author>
    <author>Adam Xu</author>
  </authors>
  <commentList>
    <comment ref="V2" authorId="0">
      <text>
        <r>
          <rPr>
            <sz val="9"/>
            <rFont val="Calibri"/>
            <charset val="134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>
      <text>
        <r>
          <rPr>
            <b/>
            <sz val="9"/>
            <color rgb="FF000000"/>
            <rFont val="Calibri"/>
            <charset val="134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U10" authorId="1">
      <text>
        <r>
          <rPr>
            <b/>
            <sz val="9"/>
            <color rgb="FF000000"/>
            <rFont val="Calibri"/>
            <charset val="134"/>
          </rPr>
          <t>Adam Xu:</t>
        </r>
        <r>
          <rPr>
            <sz val="9"/>
            <color rgb="FF000000"/>
            <rFont val="Calibri"/>
            <charset val="134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sharedStrings.xml><?xml version="1.0" encoding="utf-8"?>
<sst xmlns="http://schemas.openxmlformats.org/spreadsheetml/2006/main" count="187" uniqueCount="139">
  <si>
    <t>Enhanced Cpk Data Sheet - Enclosures MD</t>
  </si>
  <si>
    <t>Rev 4.3</t>
  </si>
  <si>
    <t>Instructions</t>
  </si>
  <si>
    <t>Part Number :</t>
  </si>
  <si>
    <t>160-06029</t>
  </si>
  <si>
    <t>Supplier :</t>
  </si>
  <si>
    <t>Magsound</t>
  </si>
  <si>
    <t>Tool # / Build / DOE Name :</t>
  </si>
  <si>
    <t>HRE FREE</t>
  </si>
  <si>
    <t>Part Description :</t>
  </si>
  <si>
    <t>MAGNET,WP,HRE-FREE</t>
  </si>
  <si>
    <t>Inspector :</t>
  </si>
  <si>
    <t>Liu Xuelei</t>
  </si>
  <si>
    <t>Notes/Comments :</t>
  </si>
  <si>
    <t>Revision :</t>
  </si>
  <si>
    <t>Date :</t>
  </si>
  <si>
    <t>CMM/OMM Program version :</t>
  </si>
  <si>
    <t>251UM</t>
  </si>
  <si>
    <t>DRAWING SPECIFICATIONS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</si>
  <si>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</si>
  <si>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</si>
  <si>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</si>
  <si>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</si>
  <si>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</si>
  <si>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</si>
  <si>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</si>
  <si>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SPC</t>
  </si>
  <si>
    <t>FAI#</t>
  </si>
  <si>
    <t>Description</t>
  </si>
  <si>
    <t>Target Cpk</t>
  </si>
  <si>
    <t>Dimension Type</t>
  </si>
  <si>
    <t>Nominal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</si>
  <si>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</si>
  <si>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</si>
  <si>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</si>
  <si>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</si>
  <si>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</si>
  <si>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</si>
  <si>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</si>
  <si>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</si>
  <si>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</si>
  <si>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</si>
  <si>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Cp</t>
  </si>
  <si>
    <t>Ca</t>
  </si>
  <si>
    <t>Ca Level</t>
  </si>
  <si>
    <t>UCPK</t>
  </si>
  <si>
    <t>LCPK</t>
  </si>
  <si>
    <t>Cpk</t>
  </si>
  <si>
    <t>Yield</t>
  </si>
  <si>
    <t>+Tol =&gt; Cpk*</t>
  </si>
  <si>
    <t>-Tol =&gt; Cpk*</t>
  </si>
  <si>
    <t>Mean Shift</t>
  </si>
  <si>
    <t>Tol Range
=&gt; Cp*</t>
  </si>
  <si>
    <t>Normality Test</t>
  </si>
  <si>
    <t>Normality Result</t>
  </si>
  <si>
    <t>Notes</t>
  </si>
  <si>
    <t>A</t>
  </si>
  <si>
    <t>Thickness</t>
  </si>
  <si>
    <t>Tolerance</t>
  </si>
  <si>
    <t>MIC</t>
  </si>
  <si>
    <t>No</t>
  </si>
  <si>
    <t>B</t>
  </si>
  <si>
    <t>Length</t>
  </si>
  <si>
    <t>OMM</t>
  </si>
  <si>
    <t>C</t>
  </si>
  <si>
    <t>Width</t>
  </si>
  <si>
    <t>D</t>
  </si>
  <si>
    <t>Flatness</t>
  </si>
  <si>
    <t>GD&amp;T</t>
  </si>
  <si>
    <t>E</t>
  </si>
  <si>
    <t>Parallelism</t>
  </si>
  <si>
    <t>F</t>
  </si>
  <si>
    <t>MM</t>
  </si>
  <si>
    <t>Other</t>
  </si>
  <si>
    <t>G</t>
  </si>
  <si>
    <t>Dyne</t>
  </si>
  <si>
    <t>MIN</t>
  </si>
  <si>
    <t>/</t>
  </si>
  <si>
    <t>MM decay (65℃/90% 72hr(DR))</t>
  </si>
  <si>
    <t>MAX</t>
  </si>
  <si>
    <t>MM decay(-20℃~65℃&amp;90%RH)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</si>
  <si>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</si>
  <si>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</si>
  <si>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</si>
  <si>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</si>
  <si>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</si>
  <si>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</si>
  <si>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HG</t>
  </si>
  <si>
    <t>Yes</t>
  </si>
  <si>
    <t>CMM</t>
  </si>
  <si>
    <t>TG</t>
  </si>
  <si>
    <t>HT</t>
  </si>
  <si>
    <t>PG</t>
  </si>
  <si>
    <t>FT</t>
  </si>
  <si>
    <t>DC</t>
  </si>
  <si>
    <t>P</t>
  </si>
  <si>
    <t>OC</t>
  </si>
  <si>
    <t>F-1</t>
  </si>
  <si>
    <t>F-2</t>
  </si>
  <si>
    <t>L</t>
  </si>
  <si>
    <t>M</t>
  </si>
  <si>
    <t>N-1</t>
  </si>
  <si>
    <t>N-2</t>
  </si>
  <si>
    <t>N-3</t>
  </si>
  <si>
    <t>N-4</t>
  </si>
  <si>
    <t>N-5</t>
  </si>
  <si>
    <t>O-1</t>
  </si>
  <si>
    <t>O-2</t>
  </si>
  <si>
    <t>O-3</t>
  </si>
  <si>
    <t>O-4</t>
  </si>
  <si>
    <t>O-5</t>
  </si>
  <si>
    <t>Q</t>
  </si>
  <si>
    <t>R</t>
  </si>
  <si>
    <t>S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</si>
  <si>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</si>
  <si>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</si>
  <si>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</si>
  <si>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</si>
  <si>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</si>
  <si>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</si>
  <si>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</si>
  <si>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r>
      <rPr>
        <sz val="12"/>
        <color theme="1"/>
        <rFont val="Calibri"/>
        <charset val="134"/>
        <scheme val="minor"/>
      </rPr>
      <t xml:space="preserve">- Added support for multiple sheets of data. All sheets must be set up identically to be supported
- Normality test no longer live formulas. Normality test values will be updated when any button is pushed. Also added a new button on the data sheet to run this separately.
- Export for JMP and sortable/filterable versions of data has been added.
- Macros can now handle empty data and non-numeric data.
- Changed formatting on several fields
- Added mean shift and Cp target range calculations
- Added notes field in header, and a field to record CMM/OMM program revision or number </t>
    </r>
    <r>
      <rPr>
        <sz val="12"/>
        <rFont val="Calibri"/>
        <charset val="134"/>
      </rPr>
      <t>(</t>
    </r>
    <r>
      <rPr>
        <sz val="12"/>
        <color theme="1"/>
        <rFont val="Calibri"/>
        <charset val="134"/>
        <scheme val="minor"/>
      </rPr>
      <t>helpful for automated reporting from Hexagon systems</t>
    </r>
    <r>
      <rPr>
        <sz val="12"/>
        <rFont val="Calibri"/>
        <charset val="134"/>
      </rPr>
      <t>)</t>
    </r>
    <r>
      <rPr>
        <sz val="12"/>
        <color theme="1"/>
        <rFont val="Calibri"/>
        <charset val="134"/>
        <scheme val="minor"/>
      </rPr>
      <t xml:space="preserve">
- Fixed problem with histogram plots related to one-sided dimensions </t>
    </r>
    <r>
      <rPr>
        <sz val="12"/>
        <rFont val="Calibri"/>
        <charset val="134"/>
      </rPr>
      <t>(</t>
    </r>
    <r>
      <rPr>
        <sz val="12"/>
        <color theme="1"/>
        <rFont val="Calibri"/>
        <charset val="134"/>
        <scheme val="minor"/>
      </rPr>
      <t>clustering near 0</t>
    </r>
    <r>
      <rPr>
        <sz val="12"/>
        <rFont val="Calibri"/>
        <charset val="134"/>
      </rPr>
      <t>)</t>
    </r>
  </si>
  <si>
    <t>- More bug fixes
- Adjusted JMP Export (save as .xls automatically + other fixes)</t>
  </si>
  <si>
    <t>- More bug fixes
- Rearranged code to organize it better</t>
  </si>
  <si>
    <t>- Fixed problem where Normality Update would delete the "Normal/Not Normal" data</t>
  </si>
  <si>
    <t xml:space="preserve">- First ~15 rows of data had lost conditional formatting in nominal/tolerance fields. Fixed this </t>
  </si>
  <si>
    <t>- Changed Location column to Cpk Target column. Now each dimension can have a unique Cpk Target
- Rebuilt add tabs function - now much more flexible. Can add several tabs at once using different naming formats (numeric or alphabetic)
- Added a function to refresh the drawing setup section from the first tab to all other tabs. Rolled the last 2 functions into a new button called "Manage Data Tabs"
- Added a multi-cavity summary report in the Export button
- Rebuilt the micro-distributions to reduce overhead (removed shadows and borders). Cleaner look and faster.
- Circles will no longer drop one on top of another. They will now appear in a grid that is perfectly spaced for optimal organization. 
- Added a "100% Gauged" column to the dimension setup area</t>
  </si>
  <si>
    <t>- Added conditional formatting to Cp/Cpk/Yield related to 100% Gauged dimensions
- Added mean shift and target -tol &amp; +tol columns to the multi-cavity summary report
- Repaired formatting of summary values on multi cavity summary
- Added "Detect Outliers" button &amp; funciton. Will bold and italicize any potential outliers in the data sets, and addes to the Notes field to identify that they were detected.</t>
  </si>
  <si>
    <t>- Fixed several bugs related to import
- Renamed multi-cavity report to multi-tab report (more generic)
- Added nominal, +Tol, -Tol to multi-tab summary report</t>
  </si>
  <si>
    <t>- Fixed some additional bugs
- Improved speed of several functions on Excel 2016</t>
  </si>
  <si>
    <t>Adam Xu</t>
  </si>
  <si>
    <t>- Add data export for Bubble Navigator Apps</t>
  </si>
  <si>
    <t>- Add multi-sheet selection for Bubble Navigator
- Add Non-Capable CpK for Bubble Navigator</t>
  </si>
  <si>
    <t>9/22/2017</t>
  </si>
  <si>
    <r>
      <rPr>
        <sz val="12"/>
        <color theme="1"/>
        <rFont val="Calibri"/>
        <charset val="134"/>
        <scheme val="minor"/>
      </rPr>
      <t xml:space="preserve">- Update distribution </t>
    </r>
    <r>
      <rPr>
        <sz val="12"/>
        <rFont val="Calibri"/>
        <charset val="134"/>
      </rPr>
      <t>c</t>
    </r>
    <r>
      <rPr>
        <sz val="12"/>
        <color theme="1"/>
        <rFont val="Calibri"/>
        <charset val="134"/>
        <scheme val="minor"/>
      </rPr>
      <t>harts w/ Fit curve
-Address previous position issue</t>
    </r>
  </si>
  <si>
    <t>4/17/2019</t>
  </si>
  <si>
    <t>- Add Ca calculation along with Ca Level for each FAI/SPC Dimension
-Update the format conditions</t>
  </si>
  <si>
    <t>7/8/2019</t>
  </si>
  <si>
    <t>- Update Ca formula
-Unlimited data qty each SPC dimension rather than 100 data max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</si>
</sst>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%"/>
    <numFmt numFmtId="177" formatCode="#,##0.0000"/>
    <numFmt numFmtId="178" formatCode="m/d/yyyy;@"/>
    <numFmt numFmtId="179" formatCode="m/d"/>
    <numFmt numFmtId="180" formatCode="0.000"/>
    <numFmt numFmtId="181" formatCode="0.000_ "/>
  </numFmts>
  <fonts count="54">
    <font>
      <sz val="12"/>
      <color theme="1"/>
      <name val="Calibri"/>
      <charset val="134"/>
      <scheme val="minor"/>
    </font>
    <font>
      <b/>
      <u/>
      <sz val="16"/>
      <color theme="1"/>
      <name val="Calibri"/>
      <charset val="134"/>
      <scheme val="minor"/>
    </font>
    <font>
      <b/>
      <sz val="12"/>
      <color theme="1"/>
      <name val="Calibri"/>
      <charset val="204"/>
      <scheme val="minor"/>
    </font>
    <font>
      <sz val="10"/>
      <name val="Arial"/>
      <charset val="134"/>
    </font>
    <font>
      <sz val="12"/>
      <color theme="1"/>
      <name val="Arial"/>
      <charset val="134"/>
    </font>
    <font>
      <b/>
      <sz val="16"/>
      <name val="Arial"/>
      <charset val="134"/>
    </font>
    <font>
      <sz val="10"/>
      <color theme="4"/>
      <name val="Arial"/>
      <charset val="134"/>
    </font>
    <font>
      <b/>
      <sz val="10"/>
      <name val="Arial"/>
      <charset val="134"/>
    </font>
    <font>
      <b/>
      <sz val="11"/>
      <name val="Arial"/>
      <charset val="134"/>
    </font>
    <font>
      <sz val="9"/>
      <name val="Arial"/>
      <charset val="134"/>
    </font>
    <font>
      <sz val="9"/>
      <color theme="1"/>
      <name val="Arial"/>
      <charset val="134"/>
    </font>
    <font>
      <sz val="10"/>
      <color rgb="FF000000"/>
      <name val="Arial Regular"/>
      <charset val="134"/>
    </font>
    <font>
      <sz val="10"/>
      <color rgb="FF00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8"/>
      <name val="Arial"/>
      <charset val="134"/>
    </font>
    <font>
      <sz val="9"/>
      <color theme="1"/>
      <name val="Calibri"/>
      <charset val="134"/>
      <scheme val="minor"/>
    </font>
    <font>
      <b/>
      <sz val="9"/>
      <color theme="1"/>
      <name val="Calibri"/>
      <charset val="134"/>
      <scheme val="minor"/>
    </font>
    <font>
      <sz val="9"/>
      <color rgb="FFFF0000"/>
      <name val="Arial"/>
      <charset val="134"/>
    </font>
    <font>
      <sz val="10"/>
      <color theme="1"/>
      <name val="Arial"/>
      <charset val="134"/>
    </font>
    <font>
      <b/>
      <i/>
      <sz val="10"/>
      <color theme="1"/>
      <name val="Arial"/>
      <charset val="134"/>
    </font>
    <font>
      <b/>
      <i/>
      <sz val="10"/>
      <name val="Arial"/>
      <charset val="134"/>
    </font>
    <font>
      <b/>
      <i/>
      <sz val="10"/>
      <color theme="1"/>
      <name val="Calibri"/>
      <charset val="134"/>
      <scheme val="minor"/>
    </font>
    <font>
      <b/>
      <i/>
      <sz val="1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2"/>
      <name val="____"/>
      <charset val="134"/>
    </font>
    <font>
      <b/>
      <sz val="12"/>
      <name val="Arial"/>
      <charset val="134"/>
    </font>
    <font>
      <sz val="12"/>
      <name val="Arial"/>
      <charset val="134"/>
    </font>
    <font>
      <sz val="12"/>
      <name val="Times New Roman"/>
      <charset val="134"/>
    </font>
    <font>
      <sz val="12"/>
      <name val="宋体"/>
      <charset val="134"/>
    </font>
    <font>
      <sz val="10"/>
      <color indexed="8"/>
      <name val="Arial"/>
      <charset val="134"/>
    </font>
    <font>
      <sz val="10"/>
      <name val="Helvetica"/>
      <charset val="134"/>
    </font>
    <font>
      <sz val="12"/>
      <name val="Calibri"/>
      <charset val="134"/>
    </font>
    <font>
      <sz val="9"/>
      <color rgb="FF000000"/>
      <name val="Calibri"/>
      <charset val="134"/>
    </font>
    <font>
      <b/>
      <sz val="9"/>
      <color rgb="FF000000"/>
      <name val="Calibri"/>
      <charset val="134"/>
    </font>
    <font>
      <sz val="9"/>
      <name val="Calibri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64">
    <xf numFmtId="0" fontId="0" fillId="0" borderId="0"/>
    <xf numFmtId="43" fontId="23" fillId="0" borderId="0" applyFont="0" applyFill="0" applyBorder="0" applyAlignment="0" applyProtection="0">
      <alignment vertical="center"/>
    </xf>
    <xf numFmtId="44" fontId="23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23" fillId="0" borderId="0" applyFon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3" fillId="8" borderId="17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1" fillId="0" borderId="19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9" borderId="20" applyNumberFormat="0" applyAlignment="0" applyProtection="0">
      <alignment vertical="center"/>
    </xf>
    <xf numFmtId="0" fontId="33" fillId="10" borderId="21" applyNumberFormat="0" applyAlignment="0" applyProtection="0">
      <alignment vertical="center"/>
    </xf>
    <xf numFmtId="0" fontId="34" fillId="10" borderId="20" applyNumberFormat="0" applyAlignment="0" applyProtection="0">
      <alignment vertical="center"/>
    </xf>
    <xf numFmtId="0" fontId="35" fillId="11" borderId="22" applyNumberForma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42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2" fillId="4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3" fillId="0" borderId="0"/>
    <xf numFmtId="176" fontId="3" fillId="0" borderId="0" applyFill="0" applyBorder="0" applyAlignment="0"/>
    <xf numFmtId="177" fontId="3" fillId="0" borderId="0" applyFill="0" applyBorder="0" applyAlignment="0"/>
    <xf numFmtId="0" fontId="44" fillId="0" borderId="25" applyNumberFormat="0" applyAlignment="0" applyProtection="0">
      <alignment horizontal="left" vertical="center"/>
    </xf>
    <xf numFmtId="0" fontId="44" fillId="0" borderId="5">
      <alignment horizontal="left" vertical="center"/>
    </xf>
    <xf numFmtId="177" fontId="3" fillId="0" borderId="0" applyFill="0" applyBorder="0" applyAlignment="0"/>
    <xf numFmtId="0" fontId="45" fillId="0" borderId="0"/>
    <xf numFmtId="0" fontId="45" fillId="0" borderId="0"/>
    <xf numFmtId="0" fontId="46" fillId="0" borderId="0"/>
    <xf numFmtId="9" fontId="47" fillId="0" borderId="0" applyFont="0" applyFill="0" applyBorder="0" applyAlignment="0" applyProtection="0"/>
    <xf numFmtId="177" fontId="3" fillId="0" borderId="0" applyFill="0" applyBorder="0" applyAlignment="0"/>
    <xf numFmtId="49" fontId="48" fillId="0" borderId="0" applyFill="0" applyBorder="0" applyAlignment="0"/>
    <xf numFmtId="177" fontId="3" fillId="0" borderId="0" applyFill="0" applyBorder="0" applyAlignment="0"/>
    <xf numFmtId="0" fontId="45" fillId="0" borderId="0"/>
    <xf numFmtId="0" fontId="49" fillId="0" borderId="0"/>
  </cellStyleXfs>
  <cellXfs count="12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4" fillId="0" borderId="0" xfId="0" applyFont="1"/>
    <xf numFmtId="0" fontId="5" fillId="3" borderId="0" xfId="0" applyFont="1" applyFill="1" applyBorder="1" applyAlignment="1" applyProtection="1">
      <alignment horizontal="center"/>
    </xf>
    <xf numFmtId="0" fontId="6" fillId="3" borderId="0" xfId="0" applyFont="1" applyFill="1" applyProtection="1"/>
    <xf numFmtId="0" fontId="3" fillId="3" borderId="0" xfId="0" applyFont="1" applyFill="1" applyProtection="1"/>
    <xf numFmtId="0" fontId="3" fillId="3" borderId="0" xfId="0" applyFont="1" applyFill="1" applyBorder="1" applyProtection="1"/>
    <xf numFmtId="0" fontId="3" fillId="3" borderId="2" xfId="0" applyFont="1" applyFill="1" applyBorder="1" applyAlignment="1" applyProtection="1">
      <alignment horizontal="right"/>
    </xf>
    <xf numFmtId="0" fontId="3" fillId="3" borderId="3" xfId="0" applyFont="1" applyFill="1" applyBorder="1" applyAlignment="1" applyProtection="1">
      <alignment horizontal="right"/>
    </xf>
    <xf numFmtId="14" fontId="7" fillId="4" borderId="1" xfId="0" applyNumberFormat="1" applyFont="1" applyFill="1" applyBorder="1" applyAlignment="1" applyProtection="1">
      <protection locked="0"/>
    </xf>
    <xf numFmtId="0" fontId="7" fillId="4" borderId="1" xfId="0" applyNumberFormat="1" applyFont="1" applyFill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8" fillId="5" borderId="4" xfId="0" applyFont="1" applyFill="1" applyBorder="1" applyAlignment="1" applyProtection="1"/>
    <xf numFmtId="0" fontId="8" fillId="5" borderId="2" xfId="0" applyFont="1" applyFill="1" applyBorder="1" applyAlignment="1" applyProtection="1">
      <alignment horizontal="center"/>
    </xf>
    <xf numFmtId="0" fontId="8" fillId="5" borderId="5" xfId="0" applyFont="1" applyFill="1" applyBorder="1" applyAlignment="1" applyProtection="1">
      <alignment horizontal="center"/>
    </xf>
    <xf numFmtId="0" fontId="8" fillId="5" borderId="6" xfId="0" applyFont="1" applyFill="1" applyBorder="1" applyAlignment="1" applyProtection="1"/>
    <xf numFmtId="179" fontId="9" fillId="2" borderId="4" xfId="62" applyNumberFormat="1" applyFont="1" applyFill="1" applyBorder="1" applyAlignment="1" applyProtection="1">
      <alignment wrapText="1"/>
      <protection locked="0"/>
    </xf>
    <xf numFmtId="0" fontId="10" fillId="6" borderId="6" xfId="0" applyFont="1" applyFill="1" applyBorder="1"/>
    <xf numFmtId="179" fontId="9" fillId="2" borderId="7" xfId="62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11" fillId="7" borderId="7" xfId="0" applyFont="1" applyFill="1" applyBorder="1" applyAlignment="1" applyProtection="1">
      <alignment horizontal="center"/>
      <protection locked="0"/>
    </xf>
    <xf numFmtId="0" fontId="11" fillId="7" borderId="8" xfId="0" applyFont="1" applyFill="1" applyBorder="1" applyAlignment="1" applyProtection="1">
      <alignment horizontal="center"/>
      <protection locked="0"/>
    </xf>
    <xf numFmtId="0" fontId="12" fillId="7" borderId="7" xfId="0" applyFont="1" applyFill="1" applyBorder="1" applyAlignment="1" applyProtection="1">
      <alignment horizontal="center"/>
      <protection locked="0"/>
    </xf>
    <xf numFmtId="0" fontId="13" fillId="4" borderId="7" xfId="0" applyNumberFormat="1" applyFont="1" applyFill="1" applyBorder="1" applyAlignment="1" applyProtection="1">
      <alignment horizontal="center"/>
      <protection locked="0"/>
    </xf>
    <xf numFmtId="0" fontId="12" fillId="7" borderId="8" xfId="0" applyFont="1" applyFill="1" applyBorder="1" applyAlignment="1" applyProtection="1">
      <alignment horizontal="center"/>
      <protection locked="0"/>
    </xf>
    <xf numFmtId="2" fontId="12" fillId="7" borderId="8" xfId="0" applyNumberFormat="1" applyFont="1" applyFill="1" applyBorder="1" applyAlignment="1" applyProtection="1">
      <alignment horizontal="center"/>
      <protection locked="0"/>
    </xf>
    <xf numFmtId="0" fontId="2" fillId="6" borderId="0" xfId="0" applyFont="1" applyFill="1"/>
    <xf numFmtId="14" fontId="7" fillId="2" borderId="6" xfId="0" applyNumberFormat="1" applyFont="1" applyFill="1" applyBorder="1" applyAlignment="1" applyProtection="1">
      <protection locked="0"/>
    </xf>
    <xf numFmtId="0" fontId="3" fillId="0" borderId="2" xfId="0" applyFont="1" applyBorder="1" applyAlignment="1" applyProtection="1">
      <alignment horizontal="right"/>
    </xf>
    <xf numFmtId="0" fontId="3" fillId="0" borderId="3" xfId="0" applyFont="1" applyBorder="1" applyAlignment="1" applyProtection="1">
      <alignment horizontal="right"/>
    </xf>
    <xf numFmtId="14" fontId="7" fillId="4" borderId="2" xfId="0" applyNumberFormat="1" applyFont="1" applyFill="1" applyBorder="1" applyAlignment="1" applyProtection="1">
      <alignment horizontal="left"/>
      <protection locked="0"/>
    </xf>
    <xf numFmtId="2" fontId="9" fillId="2" borderId="4" xfId="62" applyNumberFormat="1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horizontal="center" vertical="center" wrapText="1"/>
    </xf>
    <xf numFmtId="2" fontId="9" fillId="2" borderId="7" xfId="62" applyNumberFormat="1" applyFont="1" applyFill="1" applyBorder="1" applyAlignment="1" applyProtection="1">
      <alignment horizontal="center" vertical="center" wrapText="1"/>
      <protection locked="0"/>
    </xf>
    <xf numFmtId="49" fontId="9" fillId="2" borderId="7" xfId="0" applyNumberFormat="1" applyFont="1" applyFill="1" applyBorder="1" applyAlignment="1" applyProtection="1">
      <alignment horizontal="center" vertical="center" wrapText="1"/>
    </xf>
    <xf numFmtId="0" fontId="3" fillId="7" borderId="8" xfId="0" applyNumberFormat="1" applyFont="1" applyFill="1" applyBorder="1" applyAlignment="1" applyProtection="1">
      <alignment horizontal="center" wrapText="1"/>
      <protection locked="0"/>
    </xf>
    <xf numFmtId="49" fontId="3" fillId="4" borderId="1" xfId="62" applyNumberFormat="1" applyFont="1" applyFill="1" applyBorder="1" applyAlignment="1" applyProtection="1">
      <alignment horizontal="center" wrapText="1"/>
      <protection locked="0"/>
    </xf>
    <xf numFmtId="180" fontId="7" fillId="4" borderId="1" xfId="0" applyNumberFormat="1" applyFont="1" applyFill="1" applyBorder="1" applyAlignment="1" applyProtection="1">
      <alignment horizontal="center"/>
      <protection locked="0"/>
    </xf>
    <xf numFmtId="180" fontId="3" fillId="4" borderId="1" xfId="57" applyNumberFormat="1" applyFont="1" applyFill="1" applyBorder="1" applyAlignment="1" applyProtection="1">
      <alignment horizontal="center" wrapText="1"/>
      <protection locked="0"/>
    </xf>
    <xf numFmtId="10" fontId="3" fillId="4" borderId="1" xfId="3" applyNumberFormat="1" applyFont="1" applyFill="1" applyBorder="1" applyAlignment="1" applyProtection="1">
      <alignment horizontal="center" wrapText="1"/>
      <protection locked="0"/>
    </xf>
    <xf numFmtId="14" fontId="7" fillId="4" borderId="5" xfId="0" applyNumberFormat="1" applyFont="1" applyFill="1" applyBorder="1" applyAlignment="1" applyProtection="1">
      <alignment horizontal="left"/>
      <protection locked="0"/>
    </xf>
    <xf numFmtId="0" fontId="9" fillId="2" borderId="4" xfId="0" applyFont="1" applyFill="1" applyBorder="1" applyAlignment="1" applyProtection="1">
      <alignment wrapText="1"/>
    </xf>
    <xf numFmtId="0" fontId="9" fillId="3" borderId="4" xfId="62" applyFont="1" applyFill="1" applyBorder="1" applyAlignment="1" applyProtection="1">
      <alignment wrapText="1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3" borderId="7" xfId="62" applyFont="1" applyFill="1" applyBorder="1" applyAlignment="1" applyProtection="1">
      <alignment horizontal="center" wrapText="1"/>
    </xf>
    <xf numFmtId="49" fontId="3" fillId="4" borderId="1" xfId="57" applyNumberFormat="1" applyFont="1" applyFill="1" applyBorder="1" applyAlignment="1" applyProtection="1">
      <alignment horizontal="center" vertical="center" wrapText="1"/>
      <protection locked="0"/>
    </xf>
    <xf numFmtId="49" fontId="3" fillId="4" borderId="9" xfId="57" applyNumberFormat="1" applyFont="1" applyFill="1" applyBorder="1" applyAlignment="1" applyProtection="1">
      <alignment horizontal="center" vertical="center" wrapText="1"/>
      <protection locked="0"/>
    </xf>
    <xf numFmtId="180" fontId="3" fillId="2" borderId="9" xfId="0" applyNumberFormat="1" applyFont="1" applyFill="1" applyBorder="1" applyAlignment="1" applyProtection="1">
      <alignment horizontal="center"/>
      <protection locked="0"/>
    </xf>
    <xf numFmtId="14" fontId="7" fillId="4" borderId="3" xfId="0" applyNumberFormat="1" applyFont="1" applyFill="1" applyBorder="1" applyAlignment="1" applyProtection="1">
      <alignment horizontal="left"/>
      <protection locked="0"/>
    </xf>
    <xf numFmtId="0" fontId="3" fillId="3" borderId="10" xfId="0" applyFont="1" applyFill="1" applyBorder="1" applyProtection="1">
      <protection locked="0"/>
    </xf>
    <xf numFmtId="0" fontId="3" fillId="3" borderId="5" xfId="0" applyFont="1" applyFill="1" applyBorder="1" applyAlignment="1" applyProtection="1">
      <alignment horizontal="right"/>
    </xf>
    <xf numFmtId="0" fontId="8" fillId="5" borderId="3" xfId="0" applyFont="1" applyFill="1" applyBorder="1" applyAlignment="1" applyProtection="1">
      <alignment horizontal="center"/>
    </xf>
    <xf numFmtId="0" fontId="9" fillId="3" borderId="4" xfId="62" applyFont="1" applyFill="1" applyBorder="1" applyAlignment="1" applyProtection="1"/>
    <xf numFmtId="0" fontId="9" fillId="3" borderId="7" xfId="62" applyFont="1" applyFill="1" applyBorder="1" applyAlignment="1" applyProtection="1">
      <alignment horizontal="center" vertical="center"/>
    </xf>
    <xf numFmtId="0" fontId="13" fillId="6" borderId="6" xfId="0" applyFont="1" applyFill="1" applyBorder="1"/>
    <xf numFmtId="181" fontId="3" fillId="3" borderId="1" xfId="57" applyNumberFormat="1" applyFont="1" applyFill="1" applyBorder="1" applyAlignment="1" applyProtection="1">
      <alignment horizontal="center"/>
    </xf>
    <xf numFmtId="180" fontId="3" fillId="2" borderId="2" xfId="0" applyNumberFormat="1" applyFont="1" applyFill="1" applyBorder="1" applyAlignment="1" applyProtection="1">
      <alignment horizontal="center"/>
      <protection locked="0"/>
    </xf>
    <xf numFmtId="0" fontId="15" fillId="6" borderId="6" xfId="0" applyFont="1" applyFill="1" applyBorder="1"/>
    <xf numFmtId="0" fontId="16" fillId="6" borderId="6" xfId="0" applyFont="1" applyFill="1" applyBorder="1"/>
    <xf numFmtId="0" fontId="3" fillId="4" borderId="2" xfId="0" applyFont="1" applyFill="1" applyBorder="1" applyAlignment="1" applyProtection="1">
      <alignment horizontal="left"/>
    </xf>
    <xf numFmtId="0" fontId="3" fillId="4" borderId="5" xfId="0" applyFont="1" applyFill="1" applyBorder="1" applyAlignment="1" applyProtection="1">
      <alignment horizontal="left"/>
    </xf>
    <xf numFmtId="2" fontId="9" fillId="3" borderId="4" xfId="62" applyNumberFormat="1" applyFont="1" applyFill="1" applyBorder="1" applyAlignment="1" applyProtection="1"/>
    <xf numFmtId="180" fontId="9" fillId="3" borderId="4" xfId="62" applyNumberFormat="1" applyFont="1" applyFill="1" applyBorder="1" applyAlignment="1" applyProtection="1"/>
    <xf numFmtId="2" fontId="9" fillId="3" borderId="7" xfId="62" applyNumberFormat="1" applyFont="1" applyFill="1" applyBorder="1" applyAlignment="1" applyProtection="1">
      <alignment horizontal="center" vertical="center"/>
    </xf>
    <xf numFmtId="180" fontId="9" fillId="3" borderId="7" xfId="62" applyNumberFormat="1" applyFont="1" applyFill="1" applyBorder="1" applyAlignment="1" applyProtection="1">
      <alignment horizontal="center" vertical="center"/>
    </xf>
    <xf numFmtId="181" fontId="3" fillId="3" borderId="1" xfId="62" applyNumberFormat="1" applyFont="1" applyFill="1" applyBorder="1" applyAlignment="1" applyProtection="1">
      <alignment horizontal="center"/>
    </xf>
    <xf numFmtId="180" fontId="3" fillId="3" borderId="1" xfId="62" applyNumberFormat="1" applyFont="1" applyFill="1" applyBorder="1" applyAlignment="1" applyProtection="1">
      <alignment horizontal="center"/>
    </xf>
    <xf numFmtId="10" fontId="3" fillId="3" borderId="1" xfId="62" applyNumberFormat="1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center"/>
    </xf>
    <xf numFmtId="0" fontId="3" fillId="4" borderId="3" xfId="0" applyFont="1" applyFill="1" applyBorder="1" applyAlignment="1" applyProtection="1">
      <alignment horizontal="left"/>
    </xf>
    <xf numFmtId="0" fontId="9" fillId="2" borderId="2" xfId="0" applyFont="1" applyFill="1" applyBorder="1" applyAlignment="1" applyProtection="1">
      <alignment horizontal="center" vertical="center" wrapText="1"/>
    </xf>
    <xf numFmtId="0" fontId="9" fillId="2" borderId="3" xfId="0" applyFont="1" applyFill="1" applyBorder="1" applyAlignment="1" applyProtection="1">
      <alignment horizontal="center" vertical="center" wrapText="1"/>
    </xf>
    <xf numFmtId="180" fontId="9" fillId="2" borderId="7" xfId="62" applyNumberFormat="1" applyFont="1" applyFill="1" applyBorder="1" applyAlignment="1" applyProtection="1">
      <alignment horizontal="center" vertical="center"/>
    </xf>
    <xf numFmtId="9" fontId="3" fillId="3" borderId="2" xfId="3" applyFont="1" applyFill="1" applyBorder="1" applyAlignment="1" applyProtection="1">
      <alignment horizontal="center"/>
    </xf>
    <xf numFmtId="180" fontId="3" fillId="3" borderId="2" xfId="3" applyNumberFormat="1" applyFont="1" applyFill="1" applyBorder="1" applyAlignment="1" applyProtection="1">
      <alignment horizontal="center"/>
    </xf>
    <xf numFmtId="176" fontId="3" fillId="3" borderId="2" xfId="3" applyNumberFormat="1" applyFont="1" applyFill="1" applyBorder="1" applyAlignment="1" applyProtection="1">
      <alignment horizontal="center"/>
    </xf>
    <xf numFmtId="2" fontId="3" fillId="4" borderId="3" xfId="0" applyNumberFormat="1" applyFont="1" applyFill="1" applyBorder="1" applyAlignment="1" applyProtection="1">
      <alignment horizontal="center" vertical="center" wrapText="1"/>
    </xf>
    <xf numFmtId="0" fontId="17" fillId="0" borderId="4" xfId="62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vertical="center"/>
    </xf>
    <xf numFmtId="180" fontId="9" fillId="3" borderId="7" xfId="62" applyNumberFormat="1" applyFont="1" applyFill="1" applyBorder="1" applyAlignment="1" applyProtection="1">
      <alignment horizontal="center" vertical="center" wrapText="1"/>
    </xf>
    <xf numFmtId="0" fontId="9" fillId="3" borderId="7" xfId="62" applyFont="1" applyFill="1" applyBorder="1" applyAlignment="1" applyProtection="1">
      <alignment horizontal="center" wrapText="1"/>
      <protection locked="0"/>
    </xf>
    <xf numFmtId="180" fontId="3" fillId="3" borderId="1" xfId="57" applyNumberFormat="1" applyFont="1" applyFill="1" applyBorder="1" applyAlignment="1" applyProtection="1">
      <alignment horizontal="center"/>
      <protection locked="0"/>
    </xf>
    <xf numFmtId="0" fontId="9" fillId="3" borderId="1" xfId="57" applyFont="1" applyFill="1" applyBorder="1" applyAlignment="1" applyProtection="1">
      <alignment horizontal="center"/>
      <protection locked="0"/>
    </xf>
    <xf numFmtId="0" fontId="9" fillId="0" borderId="1" xfId="57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/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vertical="center"/>
    </xf>
    <xf numFmtId="0" fontId="8" fillId="2" borderId="11" xfId="0" applyFont="1" applyFill="1" applyBorder="1" applyAlignment="1" applyProtection="1">
      <alignment vertical="center"/>
    </xf>
    <xf numFmtId="0" fontId="8" fillId="5" borderId="11" xfId="0" applyFont="1" applyFill="1" applyBorder="1" applyAlignment="1" applyProtection="1"/>
    <xf numFmtId="0" fontId="10" fillId="6" borderId="11" xfId="0" applyFont="1" applyFill="1" applyBorder="1"/>
    <xf numFmtId="0" fontId="9" fillId="2" borderId="0" xfId="57" applyFont="1" applyFill="1" applyBorder="1" applyAlignment="1" applyProtection="1">
      <alignment horizontal="center"/>
      <protection locked="0"/>
    </xf>
    <xf numFmtId="0" fontId="9" fillId="2" borderId="11" xfId="57" applyFont="1" applyFill="1" applyBorder="1" applyAlignment="1" applyProtection="1">
      <alignment horizontal="center"/>
      <protection locked="0"/>
    </xf>
    <xf numFmtId="0" fontId="13" fillId="6" borderId="0" xfId="0" applyFont="1" applyFill="1"/>
    <xf numFmtId="0" fontId="15" fillId="6" borderId="0" xfId="0" applyFont="1" applyFill="1"/>
    <xf numFmtId="0" fontId="8" fillId="5" borderId="12" xfId="0" applyFont="1" applyFill="1" applyBorder="1" applyAlignment="1" applyProtection="1">
      <alignment horizontal="left" vertical="center"/>
    </xf>
    <xf numFmtId="0" fontId="8" fillId="5" borderId="13" xfId="0" applyFont="1" applyFill="1" applyBorder="1" applyAlignment="1" applyProtection="1">
      <alignment horizontal="left" vertical="center"/>
    </xf>
    <xf numFmtId="0" fontId="8" fillId="5" borderId="9" xfId="0" applyFont="1" applyFill="1" applyBorder="1" applyAlignment="1" applyProtection="1">
      <alignment vertical="center"/>
    </xf>
    <xf numFmtId="0" fontId="8" fillId="5" borderId="14" xfId="0" applyFont="1" applyFill="1" applyBorder="1" applyAlignment="1" applyProtection="1">
      <alignment vertical="center"/>
    </xf>
    <xf numFmtId="0" fontId="9" fillId="3" borderId="1" xfId="62" applyFont="1" applyFill="1" applyBorder="1" applyAlignment="1" applyProtection="1">
      <alignment horizontal="center" vertical="center"/>
      <protection locked="0"/>
    </xf>
    <xf numFmtId="180" fontId="18" fillId="0" borderId="1" xfId="0" applyNumberFormat="1" applyFont="1" applyBorder="1" applyAlignment="1">
      <alignment horizontal="center"/>
    </xf>
    <xf numFmtId="10" fontId="18" fillId="0" borderId="1" xfId="3" applyNumberFormat="1" applyFont="1" applyBorder="1" applyAlignment="1">
      <alignment horizontal="center"/>
    </xf>
    <xf numFmtId="180" fontId="19" fillId="0" borderId="1" xfId="0" applyNumberFormat="1" applyFont="1" applyBorder="1" applyAlignment="1">
      <alignment horizontal="center"/>
    </xf>
    <xf numFmtId="0" fontId="8" fillId="5" borderId="15" xfId="0" applyFont="1" applyFill="1" applyBorder="1" applyAlignment="1" applyProtection="1">
      <alignment horizontal="left" vertical="center"/>
    </xf>
    <xf numFmtId="0" fontId="8" fillId="5" borderId="8" xfId="0" applyFont="1" applyFill="1" applyBorder="1" applyAlignment="1" applyProtection="1">
      <alignment vertical="center"/>
    </xf>
    <xf numFmtId="0" fontId="9" fillId="3" borderId="2" xfId="62" applyFont="1" applyFill="1" applyBorder="1" applyAlignment="1" applyProtection="1">
      <alignment horizontal="center" vertical="center"/>
      <protection locked="0"/>
    </xf>
    <xf numFmtId="180" fontId="18" fillId="0" borderId="2" xfId="0" applyNumberFormat="1" applyFont="1" applyBorder="1" applyAlignment="1">
      <alignment horizontal="center"/>
    </xf>
    <xf numFmtId="0" fontId="9" fillId="3" borderId="16" xfId="62" applyFont="1" applyFill="1" applyBorder="1" applyAlignment="1" applyProtection="1">
      <alignment horizontal="center" vertical="center"/>
      <protection locked="0"/>
    </xf>
    <xf numFmtId="180" fontId="3" fillId="3" borderId="16" xfId="57" applyNumberFormat="1" applyFont="1" applyFill="1" applyBorder="1" applyAlignment="1" applyProtection="1">
      <alignment horizontal="center"/>
      <protection locked="0"/>
    </xf>
    <xf numFmtId="0" fontId="13" fillId="0" borderId="1" xfId="0" applyFont="1" applyBorder="1"/>
    <xf numFmtId="180" fontId="20" fillId="3" borderId="16" xfId="57" applyNumberFormat="1" applyFont="1" applyFill="1" applyBorder="1" applyAlignment="1" applyProtection="1">
      <alignment horizontal="center"/>
      <protection locked="0"/>
    </xf>
    <xf numFmtId="0" fontId="21" fillId="0" borderId="1" xfId="0" applyFont="1" applyBorder="1"/>
    <xf numFmtId="0" fontId="22" fillId="0" borderId="0" xfId="0" applyFont="1"/>
    <xf numFmtId="0" fontId="14" fillId="2" borderId="4" xfId="0" applyFont="1" applyFill="1" applyBorder="1" applyAlignment="1" applyProtection="1" quotePrefix="1">
      <alignment horizontal="center" vertical="center" wrapText="1"/>
    </xf>
    <xf numFmtId="49" fontId="9" fillId="2" borderId="7" xfId="0" applyNumberFormat="1" applyFont="1" applyFill="1" applyBorder="1" applyAlignment="1" applyProtection="1" quotePrefix="1">
      <alignment horizontal="center" vertical="center" wrapText="1"/>
    </xf>
    <xf numFmtId="180" fontId="9" fillId="2" borderId="7" xfId="62" applyNumberFormat="1" applyFont="1" applyFill="1" applyBorder="1" applyAlignment="1" applyProtection="1" quotePrefix="1">
      <alignment horizontal="center" vertical="center"/>
    </xf>
    <xf numFmtId="180" fontId="9" fillId="3" borderId="7" xfId="62" applyNumberFormat="1" applyFont="1" applyFill="1" applyBorder="1" applyAlignment="1" applyProtection="1" quotePrefix="1">
      <alignment horizontal="center" vertical="center"/>
    </xf>
    <xf numFmtId="180" fontId="9" fillId="3" borderId="7" xfId="62" applyNumberFormat="1" applyFont="1" applyFill="1" applyBorder="1" applyAlignment="1" applyProtection="1" quotePrefix="1">
      <alignment horizontal="center" vertical="center" wrapText="1"/>
    </xf>
  </cellXfs>
  <cellStyles count="64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___CPK__" xfId="49"/>
    <cellStyle name="Calc Percent (0)" xfId="50"/>
    <cellStyle name="Enter Currency (0)" xfId="51"/>
    <cellStyle name="Header1" xfId="52"/>
    <cellStyle name="Header2" xfId="53"/>
    <cellStyle name="Link Currency (0)" xfId="54"/>
    <cellStyle name="Normal 2" xfId="55"/>
    <cellStyle name="Normal 2 2" xfId="56"/>
    <cellStyle name="Normal_Capability Study - IPEG EVT1 0713a.xls" xfId="57"/>
    <cellStyle name="Percent 2" xfId="58"/>
    <cellStyle name="PrePop Currency (0)" xfId="59"/>
    <cellStyle name="Text Indent A" xfId="60"/>
    <cellStyle name="Text Indent B" xfId="61"/>
    <cellStyle name="常规_8364B 2009415" xfId="62"/>
    <cellStyle name="常规_K20 Top case Cpk Rev.39 2" xfId="63"/>
  </cellStyles>
  <dxfs count="12">
    <dxf>
      <font>
        <color auto="1"/>
      </font>
      <fill>
        <patternFill patternType="solid">
          <bgColor theme="3" tint="0.59999389629810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solid">
          <bgColor theme="7" tint="0.799981688894314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theme="0" tint="-0.499984740745262"/>
      </font>
      <fill>
        <patternFill patternType="solid">
          <bgColor theme="0" tint="-0.149998474074526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theme="0" tint="-0.249977111117893"/>
      </font>
      <fill>
        <patternFill patternType="none"/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{13.24,13.264,13.288,13.312,13.336,13.36,13.384,13.408,13.432,13.456,13.48,13.504,13.528,13.552,13.576,13.6,13.624,13.648,13.672,13.696,13.72}</c:f>
              <c:numCache>
                <c:formatCode>General</c:formatCode>
                <c:ptCount val="21"/>
                <c:pt idx="0">
                  <c:v>13.24</c:v>
                </c:pt>
                <c:pt idx="1">
                  <c:v>13.264</c:v>
                </c:pt>
                <c:pt idx="2">
                  <c:v>13.288</c:v>
                </c:pt>
                <c:pt idx="3">
                  <c:v>13.312</c:v>
                </c:pt>
                <c:pt idx="4">
                  <c:v>13.336</c:v>
                </c:pt>
                <c:pt idx="5">
                  <c:v>13.36</c:v>
                </c:pt>
                <c:pt idx="6">
                  <c:v>13.384</c:v>
                </c:pt>
                <c:pt idx="7">
                  <c:v>13.408</c:v>
                </c:pt>
                <c:pt idx="8">
                  <c:v>13.432</c:v>
                </c:pt>
                <c:pt idx="9">
                  <c:v>13.456</c:v>
                </c:pt>
                <c:pt idx="10">
                  <c:v>13.48</c:v>
                </c:pt>
                <c:pt idx="11">
                  <c:v>13.504</c:v>
                </c:pt>
                <c:pt idx="12">
                  <c:v>13.528</c:v>
                </c:pt>
                <c:pt idx="13">
                  <c:v>13.552</c:v>
                </c:pt>
                <c:pt idx="14">
                  <c:v>13.576</c:v>
                </c:pt>
                <c:pt idx="15">
                  <c:v>13.6</c:v>
                </c:pt>
                <c:pt idx="16">
                  <c:v>13.624</c:v>
                </c:pt>
                <c:pt idx="17">
                  <c:v>13.648</c:v>
                </c:pt>
                <c:pt idx="18">
                  <c:v>13.672</c:v>
                </c:pt>
                <c:pt idx="19">
                  <c:v>13.696</c:v>
                </c:pt>
                <c:pt idx="20">
                  <c:v>13.72</c:v>
                </c:pt>
              </c:numCache>
            </c:numRef>
          </c:cat>
          <c:val>
            <c:numRef>
              <c:f>{0,1,1,0,3,20,53,122,216,311,472,567,560,511,340,220,96,31,9,0,0}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20</c:v>
                </c:pt>
                <c:pt idx="6">
                  <c:v>53</c:v>
                </c:pt>
                <c:pt idx="7">
                  <c:v>122</c:v>
                </c:pt>
                <c:pt idx="8">
                  <c:v>216</c:v>
                </c:pt>
                <c:pt idx="9">
                  <c:v>311</c:v>
                </c:pt>
                <c:pt idx="10">
                  <c:v>472</c:v>
                </c:pt>
                <c:pt idx="11">
                  <c:v>567</c:v>
                </c:pt>
                <c:pt idx="12">
                  <c:v>560</c:v>
                </c:pt>
                <c:pt idx="13">
                  <c:v>511</c:v>
                </c:pt>
                <c:pt idx="14">
                  <c:v>340</c:v>
                </c:pt>
                <c:pt idx="15">
                  <c:v>220</c:v>
                </c:pt>
                <c:pt idx="16">
                  <c:v>96</c:v>
                </c:pt>
                <c:pt idx="17">
                  <c:v>31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144734152"/>
        <c:axId val="2144737080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0.0000281423764108834,0.000207639588381491,0.00128575912832599,0.00668204022989158,0.0291446420815867,0.106686242595537,0.327761567189568,0.845099288139588,1.82876349931851,3.32129502354437,5.06241174761716,6.47601098167735,6.95276880717878,6.26481284193241,4.73760135890164,3.00683106676154,1.60162059100592,0.715995609479151,0.268634121650334,0.0845886497437203,0}</c:f>
              <c:numCache>
                <c:formatCode>General</c:formatCode>
                <c:ptCount val="21"/>
                <c:pt idx="0">
                  <c:v>2.81423764108834e-5</c:v>
                </c:pt>
                <c:pt idx="1">
                  <c:v>0.000207639588381491</c:v>
                </c:pt>
                <c:pt idx="2">
                  <c:v>0.00128575912832599</c:v>
                </c:pt>
                <c:pt idx="3">
                  <c:v>0.00668204022989158</c:v>
                </c:pt>
                <c:pt idx="4">
                  <c:v>0.0291446420815867</c:v>
                </c:pt>
                <c:pt idx="5">
                  <c:v>0.106686242595537</c:v>
                </c:pt>
                <c:pt idx="6">
                  <c:v>0.327761567189568</c:v>
                </c:pt>
                <c:pt idx="7">
                  <c:v>0.845099288139588</c:v>
                </c:pt>
                <c:pt idx="8">
                  <c:v>1.82876349931851</c:v>
                </c:pt>
                <c:pt idx="9">
                  <c:v>3.32129502354437</c:v>
                </c:pt>
                <c:pt idx="10">
                  <c:v>5.06241174761716</c:v>
                </c:pt>
                <c:pt idx="11">
                  <c:v>6.47601098167735</c:v>
                </c:pt>
                <c:pt idx="12">
                  <c:v>6.95276880717878</c:v>
                </c:pt>
                <c:pt idx="13">
                  <c:v>6.26481284193241</c:v>
                </c:pt>
                <c:pt idx="14">
                  <c:v>4.73760135890164</c:v>
                </c:pt>
                <c:pt idx="15">
                  <c:v>3.00683106676154</c:v>
                </c:pt>
                <c:pt idx="16">
                  <c:v>1.60162059100592</c:v>
                </c:pt>
                <c:pt idx="17">
                  <c:v>0.715995609479151</c:v>
                </c:pt>
                <c:pt idx="18">
                  <c:v>0.268634121650334</c:v>
                </c:pt>
                <c:pt idx="19">
                  <c:v>0.0845886497437203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743848"/>
        <c:axId val="2144740792"/>
      </c:scatterChart>
      <c:catAx>
        <c:axId val="214473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37080"/>
        <c:crosses val="autoZero"/>
        <c:auto val="1"/>
        <c:lblAlgn val="ctr"/>
        <c:lblOffset val="100"/>
        <c:noMultiLvlLbl val="0"/>
      </c:catAx>
      <c:valAx>
        <c:axId val="2144737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34152"/>
        <c:crosses val="autoZero"/>
        <c:crossBetween val="between"/>
      </c:valAx>
      <c:valAx>
        <c:axId val="214474384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144740792"/>
        <c:crosses val="autoZero"/>
        <c:crossBetween val="midCat"/>
      </c:valAx>
      <c:valAx>
        <c:axId val="2144740792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14474384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{19.32,19.347,19.373,19.399,19.425,19.451,19.477,19.504,19.53,19.556,19.582,19.608,19.634,19.66,19.687,19.713,19.739,19.765,19.791,19.817,19.844}</c:f>
              <c:numCache>
                <c:formatCode>General</c:formatCode>
                <c:ptCount val="21"/>
                <c:pt idx="0">
                  <c:v>19.32</c:v>
                </c:pt>
                <c:pt idx="1">
                  <c:v>19.347</c:v>
                </c:pt>
                <c:pt idx="2">
                  <c:v>19.373</c:v>
                </c:pt>
                <c:pt idx="3">
                  <c:v>19.399</c:v>
                </c:pt>
                <c:pt idx="4">
                  <c:v>19.425</c:v>
                </c:pt>
                <c:pt idx="5">
                  <c:v>19.451</c:v>
                </c:pt>
                <c:pt idx="6">
                  <c:v>19.477</c:v>
                </c:pt>
                <c:pt idx="7">
                  <c:v>19.504</c:v>
                </c:pt>
                <c:pt idx="8">
                  <c:v>19.53</c:v>
                </c:pt>
                <c:pt idx="9">
                  <c:v>19.556</c:v>
                </c:pt>
                <c:pt idx="10">
                  <c:v>19.582</c:v>
                </c:pt>
                <c:pt idx="11">
                  <c:v>19.608</c:v>
                </c:pt>
                <c:pt idx="12">
                  <c:v>19.634</c:v>
                </c:pt>
                <c:pt idx="13">
                  <c:v>19.66</c:v>
                </c:pt>
                <c:pt idx="14">
                  <c:v>19.687</c:v>
                </c:pt>
                <c:pt idx="15">
                  <c:v>19.713</c:v>
                </c:pt>
                <c:pt idx="16">
                  <c:v>19.739</c:v>
                </c:pt>
                <c:pt idx="17">
                  <c:v>19.765</c:v>
                </c:pt>
                <c:pt idx="18">
                  <c:v>19.791</c:v>
                </c:pt>
                <c:pt idx="19">
                  <c:v>19.817</c:v>
                </c:pt>
                <c:pt idx="20">
                  <c:v>19.844</c:v>
                </c:pt>
              </c:numCache>
            </c:numRef>
          </c:cat>
          <c:val>
            <c:numRef>
              <c:f>{0,3,8,29,72,147,381,638,732,648,484,252,107,29,3,0,0,0,0,0,0}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29</c:v>
                </c:pt>
                <c:pt idx="4">
                  <c:v>72</c:v>
                </c:pt>
                <c:pt idx="5">
                  <c:v>147</c:v>
                </c:pt>
                <c:pt idx="6">
                  <c:v>381</c:v>
                </c:pt>
                <c:pt idx="7">
                  <c:v>638</c:v>
                </c:pt>
                <c:pt idx="8">
                  <c:v>732</c:v>
                </c:pt>
                <c:pt idx="9">
                  <c:v>648</c:v>
                </c:pt>
                <c:pt idx="10">
                  <c:v>484</c:v>
                </c:pt>
                <c:pt idx="11">
                  <c:v>252</c:v>
                </c:pt>
                <c:pt idx="12">
                  <c:v>107</c:v>
                </c:pt>
                <c:pt idx="13">
                  <c:v>29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249304"/>
        <c:axId val="206225223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0.000299344877469068,0.00274526166861288,0.0191908660947427,0.102259631295386,0.41534881287974,1.28593970070842,3.0347793153164,5.459244007475,7.48577512636595,7.82419971259229,6.23364473534138,3.78567373600635,1.7524406991511,0.618361573676185,0.166318542672347,0.0340987031680861,0.00532885702316296,0.00063478884712574,0.0000576399402482448,3.98948439130057E-06,0}</c:f>
              <c:numCache>
                <c:formatCode>General</c:formatCode>
                <c:ptCount val="21"/>
                <c:pt idx="0">
                  <c:v>0.000299344877469068</c:v>
                </c:pt>
                <c:pt idx="1">
                  <c:v>0.00274526166861288</c:v>
                </c:pt>
                <c:pt idx="2">
                  <c:v>0.0191908660947427</c:v>
                </c:pt>
                <c:pt idx="3">
                  <c:v>0.102259631295386</c:v>
                </c:pt>
                <c:pt idx="4">
                  <c:v>0.41534881287974</c:v>
                </c:pt>
                <c:pt idx="5">
                  <c:v>1.28593970070842</c:v>
                </c:pt>
                <c:pt idx="6">
                  <c:v>3.0347793153164</c:v>
                </c:pt>
                <c:pt idx="7">
                  <c:v>5.459244007475</c:v>
                </c:pt>
                <c:pt idx="8">
                  <c:v>7.48577512636595</c:v>
                </c:pt>
                <c:pt idx="9">
                  <c:v>7.82419971259229</c:v>
                </c:pt>
                <c:pt idx="10">
                  <c:v>6.23364473534138</c:v>
                </c:pt>
                <c:pt idx="11">
                  <c:v>3.78567373600635</c:v>
                </c:pt>
                <c:pt idx="12">
                  <c:v>1.7524406991511</c:v>
                </c:pt>
                <c:pt idx="13">
                  <c:v>0.618361573676185</c:v>
                </c:pt>
                <c:pt idx="14">
                  <c:v>0.166318542672347</c:v>
                </c:pt>
                <c:pt idx="15">
                  <c:v>0.0340987031680861</c:v>
                </c:pt>
                <c:pt idx="16">
                  <c:v>0.00532885702316296</c:v>
                </c:pt>
                <c:pt idx="17">
                  <c:v>0.00063478884712574</c:v>
                </c:pt>
                <c:pt idx="18">
                  <c:v>5.76399402482448e-5</c:v>
                </c:pt>
                <c:pt idx="19">
                  <c:v>3.98948439130057e-6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259000"/>
        <c:axId val="2062255944"/>
      </c:scatterChart>
      <c:catAx>
        <c:axId val="2062249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52232"/>
        <c:crosses val="autoZero"/>
        <c:auto val="1"/>
        <c:lblAlgn val="ctr"/>
        <c:lblOffset val="100"/>
        <c:noMultiLvlLbl val="0"/>
      </c:catAx>
      <c:valAx>
        <c:axId val="2062252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49304"/>
        <c:crosses val="autoZero"/>
        <c:crossBetween val="between"/>
      </c:valAx>
      <c:valAx>
        <c:axId val="20622590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255944"/>
        <c:crosses val="autoZero"/>
        <c:crossBetween val="midCat"/>
      </c:valAx>
      <c:valAx>
        <c:axId val="206225594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2590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{15.63,15.654,15.678,15.702,15.726,15.75,15.774,15.798,15.822,15.846,15.87,15.894,15.918,15.942,15.966,15.99,16.014,16.038,16.062,16.086,16.11}</c:f>
              <c:numCache>
                <c:formatCode>General</c:formatCode>
                <c:ptCount val="21"/>
                <c:pt idx="0">
                  <c:v>15.63</c:v>
                </c:pt>
                <c:pt idx="1">
                  <c:v>15.654</c:v>
                </c:pt>
                <c:pt idx="2">
                  <c:v>15.678</c:v>
                </c:pt>
                <c:pt idx="3">
                  <c:v>15.702</c:v>
                </c:pt>
                <c:pt idx="4">
                  <c:v>15.726</c:v>
                </c:pt>
                <c:pt idx="5">
                  <c:v>15.75</c:v>
                </c:pt>
                <c:pt idx="6">
                  <c:v>15.774</c:v>
                </c:pt>
                <c:pt idx="7">
                  <c:v>15.798</c:v>
                </c:pt>
                <c:pt idx="8">
                  <c:v>15.822</c:v>
                </c:pt>
                <c:pt idx="9">
                  <c:v>15.846</c:v>
                </c:pt>
                <c:pt idx="10">
                  <c:v>15.87</c:v>
                </c:pt>
                <c:pt idx="11">
                  <c:v>15.894</c:v>
                </c:pt>
                <c:pt idx="12">
                  <c:v>15.918</c:v>
                </c:pt>
                <c:pt idx="13">
                  <c:v>15.942</c:v>
                </c:pt>
                <c:pt idx="14">
                  <c:v>15.966</c:v>
                </c:pt>
                <c:pt idx="15">
                  <c:v>15.99</c:v>
                </c:pt>
                <c:pt idx="16">
                  <c:v>16.014</c:v>
                </c:pt>
                <c:pt idx="17">
                  <c:v>16.038</c:v>
                </c:pt>
                <c:pt idx="18">
                  <c:v>16.062</c:v>
                </c:pt>
                <c:pt idx="19">
                  <c:v>16.086</c:v>
                </c:pt>
                <c:pt idx="20">
                  <c:v>16.11</c:v>
                </c:pt>
              </c:numCache>
            </c:numRef>
          </c:cat>
          <c:val>
            <c:numRef>
              <c:f>{0,0,0,0,2,12,22,64,303,568,715,715,638,375,101,15,3,0,0,0,0}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22</c:v>
                </c:pt>
                <c:pt idx="7">
                  <c:v>64</c:v>
                </c:pt>
                <c:pt idx="8">
                  <c:v>303</c:v>
                </c:pt>
                <c:pt idx="9">
                  <c:v>568</c:v>
                </c:pt>
                <c:pt idx="10">
                  <c:v>715</c:v>
                </c:pt>
                <c:pt idx="11">
                  <c:v>715</c:v>
                </c:pt>
                <c:pt idx="12">
                  <c:v>638</c:v>
                </c:pt>
                <c:pt idx="13">
                  <c:v>375</c:v>
                </c:pt>
                <c:pt idx="14">
                  <c:v>101</c:v>
                </c:pt>
                <c:pt idx="15">
                  <c:v>15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319496"/>
        <c:axId val="206232250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5.95111756841092E-09,2.30930590674484E-07,6.34068101303066E-06,0.000123186113215509,0.00169339896777919,0.0164713163417926,0.113362278970617,0.552052525044482,1.90223341235985,4.63787226555236,8.00101958415399,9.76660123592352,8.435545093144,5.15530565086911,2.22929354955136,0.68210568982903,0.147675230576428,0.0226222196869087,0.00245207836786559,0.000188063731517512,0}</c:f>
              <c:numCache>
                <c:formatCode>General</c:formatCode>
                <c:ptCount val="21"/>
                <c:pt idx="0">
                  <c:v>5.95111756841092e-9</c:v>
                </c:pt>
                <c:pt idx="1">
                  <c:v>2.30930590674484e-7</c:v>
                </c:pt>
                <c:pt idx="2">
                  <c:v>6.34068101303066e-6</c:v>
                </c:pt>
                <c:pt idx="3">
                  <c:v>0.000123186113215509</c:v>
                </c:pt>
                <c:pt idx="4">
                  <c:v>0.00169339896777919</c:v>
                </c:pt>
                <c:pt idx="5">
                  <c:v>0.0164713163417926</c:v>
                </c:pt>
                <c:pt idx="6">
                  <c:v>0.113362278970617</c:v>
                </c:pt>
                <c:pt idx="7">
                  <c:v>0.552052525044482</c:v>
                </c:pt>
                <c:pt idx="8">
                  <c:v>1.90223341235985</c:v>
                </c:pt>
                <c:pt idx="9">
                  <c:v>4.63787226555236</c:v>
                </c:pt>
                <c:pt idx="10">
                  <c:v>8.00101958415399</c:v>
                </c:pt>
                <c:pt idx="11">
                  <c:v>9.76660123592352</c:v>
                </c:pt>
                <c:pt idx="12">
                  <c:v>8.435545093144</c:v>
                </c:pt>
                <c:pt idx="13">
                  <c:v>5.15530565086911</c:v>
                </c:pt>
                <c:pt idx="14">
                  <c:v>2.22929354955136</c:v>
                </c:pt>
                <c:pt idx="15">
                  <c:v>0.68210568982903</c:v>
                </c:pt>
                <c:pt idx="16">
                  <c:v>0.147675230576428</c:v>
                </c:pt>
                <c:pt idx="17">
                  <c:v>0.0226222196869087</c:v>
                </c:pt>
                <c:pt idx="18">
                  <c:v>0.00245207836786559</c:v>
                </c:pt>
                <c:pt idx="19">
                  <c:v>0.000188063731517512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{10,10}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29032"/>
        <c:axId val="2062325976"/>
      </c:scatterChart>
      <c:catAx>
        <c:axId val="206231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22504"/>
        <c:crosses val="autoZero"/>
        <c:auto val="1"/>
        <c:lblAlgn val="ctr"/>
        <c:lblOffset val="100"/>
        <c:noMultiLvlLbl val="0"/>
      </c:catAx>
      <c:valAx>
        <c:axId val="2062322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19496"/>
        <c:crosses val="autoZero"/>
        <c:crossBetween val="between"/>
      </c:valAx>
      <c:valAx>
        <c:axId val="206232903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325976"/>
        <c:crosses val="autoZero"/>
        <c:crossBetween val="midCat"/>
      </c:valAx>
      <c:valAx>
        <c:axId val="2062325976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2903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{37.913,38.325,38.737,39.15,39.562,39.974,40.386,40.798,41.211,41.623,42.035,42.447,42.859,43.272,43.684,44.096,44.508,44.92,45.333,45.745,46.157}</c:f>
              <c:numCache>
                <c:formatCode>General</c:formatCode>
                <c:ptCount val="21"/>
                <c:pt idx="0">
                  <c:v>37.913</c:v>
                </c:pt>
                <c:pt idx="1">
                  <c:v>38.325</c:v>
                </c:pt>
                <c:pt idx="2">
                  <c:v>38.737</c:v>
                </c:pt>
                <c:pt idx="3">
                  <c:v>39.15</c:v>
                </c:pt>
                <c:pt idx="4">
                  <c:v>39.562</c:v>
                </c:pt>
                <c:pt idx="5">
                  <c:v>39.974</c:v>
                </c:pt>
                <c:pt idx="6">
                  <c:v>40.386</c:v>
                </c:pt>
                <c:pt idx="7">
                  <c:v>40.798</c:v>
                </c:pt>
                <c:pt idx="8">
                  <c:v>41.211</c:v>
                </c:pt>
                <c:pt idx="9">
                  <c:v>41.623</c:v>
                </c:pt>
                <c:pt idx="10">
                  <c:v>42.035</c:v>
                </c:pt>
                <c:pt idx="11">
                  <c:v>42.447</c:v>
                </c:pt>
                <c:pt idx="12">
                  <c:v>42.859</c:v>
                </c:pt>
                <c:pt idx="13">
                  <c:v>43.272</c:v>
                </c:pt>
                <c:pt idx="14">
                  <c:v>43.684</c:v>
                </c:pt>
                <c:pt idx="15">
                  <c:v>44.096</c:v>
                </c:pt>
                <c:pt idx="16">
                  <c:v>44.508</c:v>
                </c:pt>
                <c:pt idx="17">
                  <c:v>44.92</c:v>
                </c:pt>
                <c:pt idx="18">
                  <c:v>45.333</c:v>
                </c:pt>
                <c:pt idx="19">
                  <c:v>45.745</c:v>
                </c:pt>
                <c:pt idx="20">
                  <c:v>46.157</c:v>
                </c:pt>
              </c:numCache>
            </c:numRef>
          </c:cat>
          <c:val>
            <c:numRef>
              <c:f>{0,0,3,3,5,8,26,76,334,640,759,708,477,270,140,75,5,3,1,0,0}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8</c:v>
                </c:pt>
                <c:pt idx="6">
                  <c:v>26</c:v>
                </c:pt>
                <c:pt idx="7">
                  <c:v>76</c:v>
                </c:pt>
                <c:pt idx="8">
                  <c:v>334</c:v>
                </c:pt>
                <c:pt idx="9">
                  <c:v>640</c:v>
                </c:pt>
                <c:pt idx="10">
                  <c:v>759</c:v>
                </c:pt>
                <c:pt idx="11">
                  <c:v>708</c:v>
                </c:pt>
                <c:pt idx="12">
                  <c:v>477</c:v>
                </c:pt>
                <c:pt idx="13">
                  <c:v>270</c:v>
                </c:pt>
                <c:pt idx="14">
                  <c:v>140</c:v>
                </c:pt>
                <c:pt idx="15">
                  <c:v>75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386216"/>
        <c:axId val="206238922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1.36524596821481E-08,2.84364934035357E-07,4.43257687722317E-06,0.000051707252759169,0.000451400503212439,0.00294908760916071,0.0144187751914863,0.0527574902718258,0.144462439732446,0.296033475126088,0.453985196110086,0.521024044143355,0.447495884995151,0.28763089517442,0.138355754181328,0.0498051354455564,0.0134173340118762,0.00270503907709991,0.00040812769055748,0.0000460822617437617,0}</c:f>
              <c:numCache>
                <c:formatCode>General</c:formatCode>
                <c:ptCount val="21"/>
                <c:pt idx="0">
                  <c:v>1.36524596821481e-8</c:v>
                </c:pt>
                <c:pt idx="1">
                  <c:v>2.84364934035357e-7</c:v>
                </c:pt>
                <c:pt idx="2">
                  <c:v>4.43257687722317e-6</c:v>
                </c:pt>
                <c:pt idx="3">
                  <c:v>5.1707252759169e-5</c:v>
                </c:pt>
                <c:pt idx="4">
                  <c:v>0.000451400503212439</c:v>
                </c:pt>
                <c:pt idx="5">
                  <c:v>0.00294908760916071</c:v>
                </c:pt>
                <c:pt idx="6">
                  <c:v>0.0144187751914863</c:v>
                </c:pt>
                <c:pt idx="7">
                  <c:v>0.0527574902718258</c:v>
                </c:pt>
                <c:pt idx="8">
                  <c:v>0.144462439732446</c:v>
                </c:pt>
                <c:pt idx="9">
                  <c:v>0.296033475126088</c:v>
                </c:pt>
                <c:pt idx="10">
                  <c:v>0.453985196110086</c:v>
                </c:pt>
                <c:pt idx="11">
                  <c:v>0.521024044143355</c:v>
                </c:pt>
                <c:pt idx="12">
                  <c:v>0.447495884995151</c:v>
                </c:pt>
                <c:pt idx="13">
                  <c:v>0.28763089517442</c:v>
                </c:pt>
                <c:pt idx="14">
                  <c:v>0.138355754181328</c:v>
                </c:pt>
                <c:pt idx="15">
                  <c:v>0.0498051354455564</c:v>
                </c:pt>
                <c:pt idx="16">
                  <c:v>0.0134173340118762</c:v>
                </c:pt>
                <c:pt idx="17">
                  <c:v>0.00270503907709991</c:v>
                </c:pt>
                <c:pt idx="18">
                  <c:v>0.00040812769055748</c:v>
                </c:pt>
                <c:pt idx="19">
                  <c:v>4.60822617437617e-5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{9,9}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{17,17}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95752"/>
        <c:axId val="2062392696"/>
      </c:scatterChart>
      <c:catAx>
        <c:axId val="2062386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89224"/>
        <c:crosses val="autoZero"/>
        <c:auto val="1"/>
        <c:lblAlgn val="ctr"/>
        <c:lblOffset val="100"/>
        <c:noMultiLvlLbl val="0"/>
      </c:catAx>
      <c:valAx>
        <c:axId val="20623892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86216"/>
        <c:crosses val="autoZero"/>
        <c:crossBetween val="between"/>
      </c:valAx>
      <c:valAx>
        <c:axId val="206239575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392696"/>
        <c:crosses val="autoZero"/>
        <c:crossBetween val="midCat"/>
      </c:valAx>
      <c:valAx>
        <c:axId val="2062392696"/>
        <c:scaling>
          <c:orientation val="minMax"/>
          <c:max val="0.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39575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{38,38.36,38.72,39.08,39.44,39.8,40.16,40.52,40.88,41.24,41.6,41.96,42.32,42.68,43.04,43.4,43.76,44.12,44.48,44.84,45.2}</c:f>
              <c:numCache>
                <c:formatCode>General</c:formatCode>
                <c:ptCount val="21"/>
                <c:pt idx="0">
                  <c:v>38</c:v>
                </c:pt>
                <c:pt idx="1">
                  <c:v>38.36</c:v>
                </c:pt>
                <c:pt idx="2">
                  <c:v>38.72</c:v>
                </c:pt>
                <c:pt idx="3">
                  <c:v>39.08</c:v>
                </c:pt>
                <c:pt idx="4">
                  <c:v>39.44</c:v>
                </c:pt>
                <c:pt idx="5">
                  <c:v>39.8</c:v>
                </c:pt>
                <c:pt idx="6">
                  <c:v>40.16</c:v>
                </c:pt>
                <c:pt idx="7">
                  <c:v>40.52</c:v>
                </c:pt>
                <c:pt idx="8">
                  <c:v>40.88</c:v>
                </c:pt>
                <c:pt idx="9">
                  <c:v>41.24</c:v>
                </c:pt>
                <c:pt idx="10">
                  <c:v>41.6</c:v>
                </c:pt>
                <c:pt idx="11">
                  <c:v>41.96</c:v>
                </c:pt>
                <c:pt idx="12">
                  <c:v>42.32</c:v>
                </c:pt>
                <c:pt idx="13">
                  <c:v>42.68</c:v>
                </c:pt>
                <c:pt idx="14">
                  <c:v>43.04</c:v>
                </c:pt>
                <c:pt idx="15">
                  <c:v>43.4</c:v>
                </c:pt>
                <c:pt idx="16">
                  <c:v>43.76</c:v>
                </c:pt>
                <c:pt idx="17">
                  <c:v>44.12</c:v>
                </c:pt>
                <c:pt idx="18">
                  <c:v>44.48</c:v>
                </c:pt>
                <c:pt idx="19">
                  <c:v>44.84</c:v>
                </c:pt>
                <c:pt idx="20">
                  <c:v>45.2</c:v>
                </c:pt>
              </c:numCache>
            </c:numRef>
          </c:cat>
          <c:val>
            <c:numRef>
              <c:f>{0,0,7,10,24,88,229,384,502,574,732,573,273,87,28,11,9,1,1,0,0}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10</c:v>
                </c:pt>
                <c:pt idx="4">
                  <c:v>24</c:v>
                </c:pt>
                <c:pt idx="5">
                  <c:v>88</c:v>
                </c:pt>
                <c:pt idx="6">
                  <c:v>229</c:v>
                </c:pt>
                <c:pt idx="7">
                  <c:v>384</c:v>
                </c:pt>
                <c:pt idx="8">
                  <c:v>502</c:v>
                </c:pt>
                <c:pt idx="9">
                  <c:v>574</c:v>
                </c:pt>
                <c:pt idx="10">
                  <c:v>732</c:v>
                </c:pt>
                <c:pt idx="11">
                  <c:v>573</c:v>
                </c:pt>
                <c:pt idx="12">
                  <c:v>273</c:v>
                </c:pt>
                <c:pt idx="13">
                  <c:v>87</c:v>
                </c:pt>
                <c:pt idx="14">
                  <c:v>28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452936"/>
        <c:axId val="206245594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8.07688764098053E-06,0.000070770194712176,0.00048987094107929,0.0026787845805394,0.011572283608069,0.0394934661497093,0.106477130497961,0.226783957904445,0.381586697960507,0.507223104476079,0.532635039700122,0.441860666621242,0.289578299524491,0.149924194345476,0.0613200463021242,0.0198133661183307,0.00505753731075249,0.001019870350459,0.000162471008863022,0.0000204471050572806,0}</c:f>
              <c:numCache>
                <c:formatCode>General</c:formatCode>
                <c:ptCount val="21"/>
                <c:pt idx="0">
                  <c:v>8.07688764098053e-6</c:v>
                </c:pt>
                <c:pt idx="1">
                  <c:v>7.0770194712176e-5</c:v>
                </c:pt>
                <c:pt idx="2">
                  <c:v>0.00048987094107929</c:v>
                </c:pt>
                <c:pt idx="3">
                  <c:v>0.0026787845805394</c:v>
                </c:pt>
                <c:pt idx="4">
                  <c:v>0.011572283608069</c:v>
                </c:pt>
                <c:pt idx="5">
                  <c:v>0.0394934661497093</c:v>
                </c:pt>
                <c:pt idx="6">
                  <c:v>0.106477130497961</c:v>
                </c:pt>
                <c:pt idx="7">
                  <c:v>0.226783957904445</c:v>
                </c:pt>
                <c:pt idx="8">
                  <c:v>0.381586697960507</c:v>
                </c:pt>
                <c:pt idx="9">
                  <c:v>0.507223104476079</c:v>
                </c:pt>
                <c:pt idx="10">
                  <c:v>0.532635039700122</c:v>
                </c:pt>
                <c:pt idx="11">
                  <c:v>0.441860666621242</c:v>
                </c:pt>
                <c:pt idx="12">
                  <c:v>0.289578299524491</c:v>
                </c:pt>
                <c:pt idx="13">
                  <c:v>0.149924194345476</c:v>
                </c:pt>
                <c:pt idx="14">
                  <c:v>0.0613200463021242</c:v>
                </c:pt>
                <c:pt idx="15">
                  <c:v>0.0198133661183307</c:v>
                </c:pt>
                <c:pt idx="16">
                  <c:v>0.00505753731075249</c:v>
                </c:pt>
                <c:pt idx="17">
                  <c:v>0.001019870350459</c:v>
                </c:pt>
                <c:pt idx="18">
                  <c:v>0.000162471008863022</c:v>
                </c:pt>
                <c:pt idx="19">
                  <c:v>2.04471050572806e-5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{0,0.6}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462472"/>
        <c:axId val="2062459416"/>
      </c:scatterChart>
      <c:catAx>
        <c:axId val="206245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55944"/>
        <c:crosses val="autoZero"/>
        <c:auto val="1"/>
        <c:lblAlgn val="ctr"/>
        <c:lblOffset val="100"/>
        <c:noMultiLvlLbl val="0"/>
      </c:catAx>
      <c:valAx>
        <c:axId val="20624559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52936"/>
        <c:crosses val="autoZero"/>
        <c:crossBetween val="between"/>
      </c:valAx>
      <c:valAx>
        <c:axId val="206246247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459416"/>
        <c:crosses val="autoZero"/>
        <c:crossBetween val="midCat"/>
      </c:valAx>
      <c:valAx>
        <c:axId val="2062459416"/>
        <c:scaling>
          <c:orientation val="minMax"/>
          <c:max val="0.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46247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{8.9,8.918,8.936,8.954,8.972,8.99,9.008,9.026,9.044,9.062,9.08,9.098,9.116,9.134,9.152,9.17,9.188,9.206,9.224,9.242,9.26}</c:f>
              <c:numCache>
                <c:formatCode>General</c:formatCode>
                <c:ptCount val="21"/>
                <c:pt idx="0">
                  <c:v>8.9</c:v>
                </c:pt>
                <c:pt idx="1">
                  <c:v>8.918</c:v>
                </c:pt>
                <c:pt idx="2">
                  <c:v>8.936</c:v>
                </c:pt>
                <c:pt idx="3">
                  <c:v>8.954</c:v>
                </c:pt>
                <c:pt idx="4">
                  <c:v>8.972</c:v>
                </c:pt>
                <c:pt idx="5">
                  <c:v>8.99</c:v>
                </c:pt>
                <c:pt idx="6">
                  <c:v>9.008</c:v>
                </c:pt>
                <c:pt idx="7">
                  <c:v>9.026</c:v>
                </c:pt>
                <c:pt idx="8">
                  <c:v>9.044</c:v>
                </c:pt>
                <c:pt idx="9">
                  <c:v>9.062</c:v>
                </c:pt>
                <c:pt idx="10">
                  <c:v>9.08</c:v>
                </c:pt>
                <c:pt idx="11">
                  <c:v>9.098</c:v>
                </c:pt>
                <c:pt idx="12">
                  <c:v>9.116</c:v>
                </c:pt>
                <c:pt idx="13">
                  <c:v>9.134</c:v>
                </c:pt>
                <c:pt idx="14">
                  <c:v>9.152</c:v>
                </c:pt>
                <c:pt idx="15">
                  <c:v>9.17</c:v>
                </c:pt>
                <c:pt idx="16">
                  <c:v>9.188</c:v>
                </c:pt>
                <c:pt idx="17">
                  <c:v>9.206</c:v>
                </c:pt>
                <c:pt idx="18">
                  <c:v>9.224</c:v>
                </c:pt>
                <c:pt idx="19">
                  <c:v>9.242</c:v>
                </c:pt>
                <c:pt idx="20">
                  <c:v>9.26</c:v>
                </c:pt>
              </c:numCache>
            </c:numRef>
          </c:cat>
          <c:val>
            <c:numRef>
              <c:f>{0,0,3,22,67,220,647,965,781,559,213,55,1,0,0,0,0,0,0,0,0}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22</c:v>
                </c:pt>
                <c:pt idx="4">
                  <c:v>67</c:v>
                </c:pt>
                <c:pt idx="5">
                  <c:v>220</c:v>
                </c:pt>
                <c:pt idx="6">
                  <c:v>647</c:v>
                </c:pt>
                <c:pt idx="7">
                  <c:v>965</c:v>
                </c:pt>
                <c:pt idx="8">
                  <c:v>781</c:v>
                </c:pt>
                <c:pt idx="9">
                  <c:v>559</c:v>
                </c:pt>
                <c:pt idx="10">
                  <c:v>213</c:v>
                </c:pt>
                <c:pt idx="11">
                  <c:v>55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2519688"/>
        <c:axId val="20625226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9.60397220673137E-06,0.00028495546929274,0.00534085775513316,0.0632343177175918,0.472936437911489,2.23439826603197,6.66847098672863,12.5718681303544,14.9720492978949,11.2634313325394,5.35264226257668,1.60684415626302,0.304710438650653,0.0365013513229673,0.00276208842874513,0.000132030751553172,0.0000039867651029735,7.60456255342832E-08,9.16296148270037E-10,6.97437863204183E-12,0}</c:f>
              <c:numCache>
                <c:formatCode>General</c:formatCode>
                <c:ptCount val="21"/>
                <c:pt idx="0">
                  <c:v>9.60397220673137e-6</c:v>
                </c:pt>
                <c:pt idx="1">
                  <c:v>0.00028495546929274</c:v>
                </c:pt>
                <c:pt idx="2">
                  <c:v>0.00534085775513316</c:v>
                </c:pt>
                <c:pt idx="3">
                  <c:v>0.0632343177175918</c:v>
                </c:pt>
                <c:pt idx="4">
                  <c:v>0.472936437911489</c:v>
                </c:pt>
                <c:pt idx="5">
                  <c:v>2.23439826603197</c:v>
                </c:pt>
                <c:pt idx="6">
                  <c:v>6.66847098672863</c:v>
                </c:pt>
                <c:pt idx="7">
                  <c:v>12.5718681303544</c:v>
                </c:pt>
                <c:pt idx="8">
                  <c:v>14.9720492978949</c:v>
                </c:pt>
                <c:pt idx="9">
                  <c:v>11.2634313325394</c:v>
                </c:pt>
                <c:pt idx="10">
                  <c:v>5.35264226257668</c:v>
                </c:pt>
                <c:pt idx="11">
                  <c:v>1.60684415626302</c:v>
                </c:pt>
                <c:pt idx="12">
                  <c:v>0.304710438650653</c:v>
                </c:pt>
                <c:pt idx="13">
                  <c:v>0.0365013513229673</c:v>
                </c:pt>
                <c:pt idx="14">
                  <c:v>0.00276208842874513</c:v>
                </c:pt>
                <c:pt idx="15">
                  <c:v>0.000132030751553172</c:v>
                </c:pt>
                <c:pt idx="16">
                  <c:v>3.9867651029735e-6</c:v>
                </c:pt>
                <c:pt idx="17">
                  <c:v>7.60456255342832e-8</c:v>
                </c:pt>
                <c:pt idx="18">
                  <c:v>9.16296148270037e-10</c:v>
                </c:pt>
                <c:pt idx="19">
                  <c:v>6.97437863204183e-12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{9,9}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{0,20}</c:f>
              <c:numCache>
                <c:formatCode>General</c:formatCode>
                <c:ptCount val="2"/>
                <c:pt idx="0">
                  <c:v>0</c:v>
                </c:pt>
                <c:pt idx="1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529224"/>
        <c:axId val="2062526168"/>
      </c:scatterChart>
      <c:catAx>
        <c:axId val="206251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22696"/>
        <c:crosses val="autoZero"/>
        <c:auto val="1"/>
        <c:lblAlgn val="ctr"/>
        <c:lblOffset val="100"/>
        <c:noMultiLvlLbl val="0"/>
      </c:catAx>
      <c:valAx>
        <c:axId val="20625226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19688"/>
        <c:crosses val="autoZero"/>
        <c:crossBetween val="between"/>
      </c:valAx>
      <c:valAx>
        <c:axId val="20625292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2526168"/>
        <c:crosses val="autoZero"/>
        <c:crossBetween val="midCat"/>
      </c:valAx>
      <c:valAx>
        <c:axId val="2062526168"/>
        <c:scaling>
          <c:orientation val="minMax"/>
          <c:max val="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25292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{2.19,2.235,2.279,2.323,2.367,2.411,2.455,2.5,2.544,2.588,2.632,2.676,2.72,2.764,2.809,2.853,2.897,2.941,2.985,3.029,3.074}</c:f>
              <c:numCache>
                <c:formatCode>General</c:formatCode>
                <c:ptCount val="21"/>
                <c:pt idx="0">
                  <c:v>2.19</c:v>
                </c:pt>
                <c:pt idx="1">
                  <c:v>2.235</c:v>
                </c:pt>
                <c:pt idx="2">
                  <c:v>2.279</c:v>
                </c:pt>
                <c:pt idx="3">
                  <c:v>2.323</c:v>
                </c:pt>
                <c:pt idx="4">
                  <c:v>2.367</c:v>
                </c:pt>
                <c:pt idx="5">
                  <c:v>2.411</c:v>
                </c:pt>
                <c:pt idx="6">
                  <c:v>2.455</c:v>
                </c:pt>
                <c:pt idx="7">
                  <c:v>2.5</c:v>
                </c:pt>
                <c:pt idx="8">
                  <c:v>2.544</c:v>
                </c:pt>
                <c:pt idx="9">
                  <c:v>2.588</c:v>
                </c:pt>
                <c:pt idx="10">
                  <c:v>2.632</c:v>
                </c:pt>
                <c:pt idx="11">
                  <c:v>2.676</c:v>
                </c:pt>
                <c:pt idx="12">
                  <c:v>2.72</c:v>
                </c:pt>
                <c:pt idx="13">
                  <c:v>2.764</c:v>
                </c:pt>
                <c:pt idx="14">
                  <c:v>2.809</c:v>
                </c:pt>
                <c:pt idx="15">
                  <c:v>2.853</c:v>
                </c:pt>
                <c:pt idx="16">
                  <c:v>2.897</c:v>
                </c:pt>
                <c:pt idx="17">
                  <c:v>2.941</c:v>
                </c:pt>
                <c:pt idx="18">
                  <c:v>2.985</c:v>
                </c:pt>
                <c:pt idx="19">
                  <c:v>3.029</c:v>
                </c:pt>
                <c:pt idx="20">
                  <c:v>3.074</c:v>
                </c:pt>
              </c:numCache>
            </c:numRef>
          </c:cat>
          <c:val>
            <c:numRef>
              <c:f>{0,1,1,1,1,12,44,151,384,595,725,618,479,291,127,61,25,15,2,0,0}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12</c:v>
                </c:pt>
                <c:pt idx="6">
                  <c:v>44</c:v>
                </c:pt>
                <c:pt idx="7">
                  <c:v>151</c:v>
                </c:pt>
                <c:pt idx="8">
                  <c:v>384</c:v>
                </c:pt>
                <c:pt idx="9">
                  <c:v>595</c:v>
                </c:pt>
                <c:pt idx="10">
                  <c:v>725</c:v>
                </c:pt>
                <c:pt idx="11">
                  <c:v>618</c:v>
                </c:pt>
                <c:pt idx="12">
                  <c:v>479</c:v>
                </c:pt>
                <c:pt idx="13">
                  <c:v>291</c:v>
                </c:pt>
                <c:pt idx="14">
                  <c:v>127</c:v>
                </c:pt>
                <c:pt idx="15">
                  <c:v>61</c:v>
                </c:pt>
                <c:pt idx="16">
                  <c:v>25</c:v>
                </c:pt>
                <c:pt idx="17">
                  <c:v>15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61543928"/>
        <c:axId val="206154090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1.98025625216664E-06,0.0000255550488437721,0.00025799141259331,0.00203754401134406,0.0125887311630011,0.0608457337541436,0.230065511270089,0.680528187664314,1.57475838927985,2.85072257975842,4.03709708473945,4.47256482808691,3.87629934448542,2.62815626621096,1.39398555476405,0.578413706125265,0.187755250367305,0.047678086606558,0.00947149989569692,0.00147194611720945,0}</c:f>
              <c:numCache>
                <c:formatCode>General</c:formatCode>
                <c:ptCount val="21"/>
                <c:pt idx="0">
                  <c:v>1.98025625216664e-6</c:v>
                </c:pt>
                <c:pt idx="1">
                  <c:v>2.55550488437721e-5</c:v>
                </c:pt>
                <c:pt idx="2">
                  <c:v>0.00025799141259331</c:v>
                </c:pt>
                <c:pt idx="3">
                  <c:v>0.00203754401134406</c:v>
                </c:pt>
                <c:pt idx="4">
                  <c:v>0.0125887311630011</c:v>
                </c:pt>
                <c:pt idx="5">
                  <c:v>0.0608457337541436</c:v>
                </c:pt>
                <c:pt idx="6">
                  <c:v>0.230065511270089</c:v>
                </c:pt>
                <c:pt idx="7">
                  <c:v>0.680528187664314</c:v>
                </c:pt>
                <c:pt idx="8">
                  <c:v>1.57475838927985</c:v>
                </c:pt>
                <c:pt idx="9">
                  <c:v>2.85072257975842</c:v>
                </c:pt>
                <c:pt idx="10">
                  <c:v>4.03709708473945</c:v>
                </c:pt>
                <c:pt idx="11">
                  <c:v>4.47256482808691</c:v>
                </c:pt>
                <c:pt idx="12">
                  <c:v>3.87629934448542</c:v>
                </c:pt>
                <c:pt idx="13">
                  <c:v>2.62815626621096</c:v>
                </c:pt>
                <c:pt idx="14">
                  <c:v>1.39398555476405</c:v>
                </c:pt>
                <c:pt idx="15">
                  <c:v>0.578413706125265</c:v>
                </c:pt>
                <c:pt idx="16">
                  <c:v>0.187755250367305</c:v>
                </c:pt>
                <c:pt idx="17">
                  <c:v>0.047678086606558</c:v>
                </c:pt>
                <c:pt idx="18">
                  <c:v>0.00947149989569692</c:v>
                </c:pt>
                <c:pt idx="19">
                  <c:v>0.00147194611720945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{0,6}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34376"/>
        <c:axId val="2061537432"/>
      </c:scatterChart>
      <c:catAx>
        <c:axId val="206154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40904"/>
        <c:crosses val="autoZero"/>
        <c:auto val="1"/>
        <c:lblAlgn val="ctr"/>
        <c:lblOffset val="100"/>
        <c:noMultiLvlLbl val="0"/>
      </c:catAx>
      <c:valAx>
        <c:axId val="20615409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43928"/>
        <c:crosses val="autoZero"/>
        <c:crossBetween val="between"/>
      </c:valAx>
      <c:valAx>
        <c:axId val="2061534376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061537432"/>
        <c:crosses val="autoZero"/>
        <c:crossBetween val="midCat"/>
      </c:valAx>
      <c:valAx>
        <c:axId val="2061537432"/>
        <c:scaling>
          <c:orientation val="minMax"/>
          <c:max val="6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2061534376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{2.347,2.396,2.444,2.492,2.541,2.589,2.637,2.686,2.734,2.782,2.83,2.879,2.927,2.975,3.024,3.072,3.12,3.169,3.217,3.265,3.314}</c:f>
              <c:numCache>
                <c:formatCode>General</c:formatCode>
                <c:ptCount val="21"/>
                <c:pt idx="0">
                  <c:v>2.347</c:v>
                </c:pt>
                <c:pt idx="1">
                  <c:v>2.396</c:v>
                </c:pt>
                <c:pt idx="2">
                  <c:v>2.444</c:v>
                </c:pt>
                <c:pt idx="3">
                  <c:v>2.492</c:v>
                </c:pt>
                <c:pt idx="4">
                  <c:v>2.541</c:v>
                </c:pt>
                <c:pt idx="5">
                  <c:v>2.589</c:v>
                </c:pt>
                <c:pt idx="6">
                  <c:v>2.637</c:v>
                </c:pt>
                <c:pt idx="7">
                  <c:v>2.686</c:v>
                </c:pt>
                <c:pt idx="8">
                  <c:v>2.734</c:v>
                </c:pt>
                <c:pt idx="9">
                  <c:v>2.782</c:v>
                </c:pt>
                <c:pt idx="10">
                  <c:v>2.83</c:v>
                </c:pt>
                <c:pt idx="11">
                  <c:v>2.879</c:v>
                </c:pt>
                <c:pt idx="12">
                  <c:v>2.927</c:v>
                </c:pt>
                <c:pt idx="13">
                  <c:v>2.975</c:v>
                </c:pt>
                <c:pt idx="14">
                  <c:v>3.024</c:v>
                </c:pt>
                <c:pt idx="15">
                  <c:v>3.072</c:v>
                </c:pt>
                <c:pt idx="16">
                  <c:v>3.12</c:v>
                </c:pt>
                <c:pt idx="17">
                  <c:v>3.169</c:v>
                </c:pt>
                <c:pt idx="18">
                  <c:v>3.217</c:v>
                </c:pt>
                <c:pt idx="19">
                  <c:v>3.265</c:v>
                </c:pt>
                <c:pt idx="20">
                  <c:v>3.314</c:v>
                </c:pt>
              </c:numCache>
            </c:numRef>
          </c:cat>
          <c:val>
            <c:numRef>
              <c:f>{0,3,12,25,75,138,269,438,603,579,578,384,243,103,64,14,4,0,1,0,0}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12</c:v>
                </c:pt>
                <c:pt idx="3">
                  <c:v>25</c:v>
                </c:pt>
                <c:pt idx="4">
                  <c:v>75</c:v>
                </c:pt>
                <c:pt idx="5">
                  <c:v>138</c:v>
                </c:pt>
                <c:pt idx="6">
                  <c:v>269</c:v>
                </c:pt>
                <c:pt idx="7">
                  <c:v>438</c:v>
                </c:pt>
                <c:pt idx="8">
                  <c:v>603</c:v>
                </c:pt>
                <c:pt idx="9">
                  <c:v>579</c:v>
                </c:pt>
                <c:pt idx="10">
                  <c:v>578</c:v>
                </c:pt>
                <c:pt idx="11">
                  <c:v>384</c:v>
                </c:pt>
                <c:pt idx="12">
                  <c:v>243</c:v>
                </c:pt>
                <c:pt idx="13">
                  <c:v>103</c:v>
                </c:pt>
                <c:pt idx="14">
                  <c:v>64</c:v>
                </c:pt>
                <c:pt idx="15">
                  <c:v>14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585336"/>
        <c:axId val="-21305823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0.000871131633579602,0.00470394175496544,0.0209930394160097,0.0774326321732056,0.236052060853111,0.594739564451182,1.23845754901018,2.1314280613813,3.03176471301412,3.56414667913244,3.46298733932588,2.78087519982926,1.84564095679117,1.01239058394766,0.458969824622698,0.171971043947116,0.0532551583001082,0.0136302301893315,0.0028832337881537,0.000504070968357318,0}</c:f>
              <c:numCache>
                <c:formatCode>General</c:formatCode>
                <c:ptCount val="21"/>
                <c:pt idx="0">
                  <c:v>0.000871131633579602</c:v>
                </c:pt>
                <c:pt idx="1">
                  <c:v>0.00470394175496544</c:v>
                </c:pt>
                <c:pt idx="2">
                  <c:v>0.0209930394160097</c:v>
                </c:pt>
                <c:pt idx="3">
                  <c:v>0.0774326321732056</c:v>
                </c:pt>
                <c:pt idx="4">
                  <c:v>0.236052060853111</c:v>
                </c:pt>
                <c:pt idx="5">
                  <c:v>0.594739564451182</c:v>
                </c:pt>
                <c:pt idx="6">
                  <c:v>1.23845754901018</c:v>
                </c:pt>
                <c:pt idx="7">
                  <c:v>2.1314280613813</c:v>
                </c:pt>
                <c:pt idx="8">
                  <c:v>3.03176471301412</c:v>
                </c:pt>
                <c:pt idx="9">
                  <c:v>3.56414667913244</c:v>
                </c:pt>
                <c:pt idx="10">
                  <c:v>3.46298733932588</c:v>
                </c:pt>
                <c:pt idx="11">
                  <c:v>2.78087519982926</c:v>
                </c:pt>
                <c:pt idx="12">
                  <c:v>1.84564095679117</c:v>
                </c:pt>
                <c:pt idx="13">
                  <c:v>1.01239058394766</c:v>
                </c:pt>
                <c:pt idx="14">
                  <c:v>0.458969824622698</c:v>
                </c:pt>
                <c:pt idx="15">
                  <c:v>0.171971043947116</c:v>
                </c:pt>
                <c:pt idx="16">
                  <c:v>0.0532551583001082</c:v>
                </c:pt>
                <c:pt idx="17">
                  <c:v>0.0136302301893315</c:v>
                </c:pt>
                <c:pt idx="18">
                  <c:v>0.0028832337881537</c:v>
                </c:pt>
                <c:pt idx="19">
                  <c:v>0.000504070968357318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{3,3}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{10,10}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{17,17}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{0,4}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75800"/>
        <c:axId val="-2130578856"/>
      </c:scatterChart>
      <c:catAx>
        <c:axId val="-213058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82328"/>
        <c:crosses val="autoZero"/>
        <c:auto val="1"/>
        <c:lblAlgn val="ctr"/>
        <c:lblOffset val="100"/>
        <c:noMultiLvlLbl val="0"/>
      </c:catAx>
      <c:valAx>
        <c:axId val="-21305823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85336"/>
        <c:crosses val="autoZero"/>
        <c:crossBetween val="between"/>
      </c:valAx>
      <c:valAx>
        <c:axId val="-2130575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578856"/>
        <c:crosses val="autoZero"/>
        <c:crossBetween val="midCat"/>
      </c:valAx>
      <c:valAx>
        <c:axId val="-2130578856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75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{8.614,8.64,8.667,8.693,8.72,8.746,8.773,8.799,8.826,8.852,8.879,8.906,8.932,8.959,8.985,9.012,9.038,9.065,9.091,9.118,9.144}</c:f>
              <c:numCache>
                <c:formatCode>General</c:formatCode>
                <c:ptCount val="21"/>
                <c:pt idx="0">
                  <c:v>8.614</c:v>
                </c:pt>
                <c:pt idx="1">
                  <c:v>8.64</c:v>
                </c:pt>
                <c:pt idx="2">
                  <c:v>8.667</c:v>
                </c:pt>
                <c:pt idx="3">
                  <c:v>8.693</c:v>
                </c:pt>
                <c:pt idx="4">
                  <c:v>8.72</c:v>
                </c:pt>
                <c:pt idx="5">
                  <c:v>8.746</c:v>
                </c:pt>
                <c:pt idx="6">
                  <c:v>8.773</c:v>
                </c:pt>
                <c:pt idx="7">
                  <c:v>8.799</c:v>
                </c:pt>
                <c:pt idx="8">
                  <c:v>8.826</c:v>
                </c:pt>
                <c:pt idx="9">
                  <c:v>8.852</c:v>
                </c:pt>
                <c:pt idx="10">
                  <c:v>8.879</c:v>
                </c:pt>
                <c:pt idx="11">
                  <c:v>8.906</c:v>
                </c:pt>
                <c:pt idx="12">
                  <c:v>8.932</c:v>
                </c:pt>
                <c:pt idx="13">
                  <c:v>8.959</c:v>
                </c:pt>
                <c:pt idx="14">
                  <c:v>8.985</c:v>
                </c:pt>
                <c:pt idx="15">
                  <c:v>9.012</c:v>
                </c:pt>
                <c:pt idx="16">
                  <c:v>9.038</c:v>
                </c:pt>
                <c:pt idx="17">
                  <c:v>9.065</c:v>
                </c:pt>
                <c:pt idx="18">
                  <c:v>9.091</c:v>
                </c:pt>
                <c:pt idx="19">
                  <c:v>9.118</c:v>
                </c:pt>
                <c:pt idx="20">
                  <c:v>9.144</c:v>
                </c:pt>
              </c:numCache>
            </c:numRef>
          </c:cat>
          <c:val>
            <c:numRef>
              <c:f>{0,4,12,20,78,158,371,561,776,695,474,250,107,23,4,0,0,0,0,0,0}</c:f>
              <c:numCache>
                <c:formatCode>General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20</c:v>
                </c:pt>
                <c:pt idx="4">
                  <c:v>78</c:v>
                </c:pt>
                <c:pt idx="5">
                  <c:v>158</c:v>
                </c:pt>
                <c:pt idx="6">
                  <c:v>371</c:v>
                </c:pt>
                <c:pt idx="7">
                  <c:v>561</c:v>
                </c:pt>
                <c:pt idx="8">
                  <c:v>776</c:v>
                </c:pt>
                <c:pt idx="9">
                  <c:v>695</c:v>
                </c:pt>
                <c:pt idx="10">
                  <c:v>474</c:v>
                </c:pt>
                <c:pt idx="11">
                  <c:v>250</c:v>
                </c:pt>
                <c:pt idx="12">
                  <c:v>107</c:v>
                </c:pt>
                <c:pt idx="13">
                  <c:v>23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527496"/>
        <c:axId val="-213052456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0.000220643317011148,0.00214881147250236,0.0158475194086987,0.0885074264175059,0.37432908710701,1.19889977753397,2.90782071545727,5.34081844369358,7.42853964467918,7.82446258493399,6.24109844390882,3.76984062164023,1.7244094284445,0.597328490707378,0.156690083783491,0.0311261379488283,0.00468235573024507,0.000533407372835089,0.0000460160213183839,0.0000030061770774657,0}</c:f>
              <c:numCache>
                <c:formatCode>General</c:formatCode>
                <c:ptCount val="21"/>
                <c:pt idx="0">
                  <c:v>0.000220643317011148</c:v>
                </c:pt>
                <c:pt idx="1">
                  <c:v>0.00214881147250236</c:v>
                </c:pt>
                <c:pt idx="2">
                  <c:v>0.0158475194086987</c:v>
                </c:pt>
                <c:pt idx="3">
                  <c:v>0.0885074264175059</c:v>
                </c:pt>
                <c:pt idx="4">
                  <c:v>0.37432908710701</c:v>
                </c:pt>
                <c:pt idx="5">
                  <c:v>1.19889977753397</c:v>
                </c:pt>
                <c:pt idx="6">
                  <c:v>2.90782071545727</c:v>
                </c:pt>
                <c:pt idx="7">
                  <c:v>5.34081844369358</c:v>
                </c:pt>
                <c:pt idx="8">
                  <c:v>7.42853964467918</c:v>
                </c:pt>
                <c:pt idx="9">
                  <c:v>7.82446258493399</c:v>
                </c:pt>
                <c:pt idx="10">
                  <c:v>6.24109844390882</c:v>
                </c:pt>
                <c:pt idx="11">
                  <c:v>3.76984062164023</c:v>
                </c:pt>
                <c:pt idx="12">
                  <c:v>1.7244094284445</c:v>
                </c:pt>
                <c:pt idx="13">
                  <c:v>0.597328490707378</c:v>
                </c:pt>
                <c:pt idx="14">
                  <c:v>0.156690083783491</c:v>
                </c:pt>
                <c:pt idx="15">
                  <c:v>0.0311261379488283</c:v>
                </c:pt>
                <c:pt idx="16">
                  <c:v>0.00468235573024507</c:v>
                </c:pt>
                <c:pt idx="17">
                  <c:v>0.000533407372835089</c:v>
                </c:pt>
                <c:pt idx="18">
                  <c:v>4.60160213183839e-5</c:v>
                </c:pt>
                <c:pt idx="19">
                  <c:v>3.0061770774657e-6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517800"/>
        <c:axId val="-2130520856"/>
      </c:scatterChart>
      <c:catAx>
        <c:axId val="-213052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24568"/>
        <c:crosses val="autoZero"/>
        <c:auto val="1"/>
        <c:lblAlgn val="ctr"/>
        <c:lblOffset val="100"/>
        <c:noMultiLvlLbl val="0"/>
      </c:catAx>
      <c:valAx>
        <c:axId val="-2130524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27496"/>
        <c:crosses val="autoZero"/>
        <c:crossBetween val="between"/>
      </c:valAx>
      <c:valAx>
        <c:axId val="-2130517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520856"/>
        <c:crosses val="autoZero"/>
        <c:crossBetween val="midCat"/>
      </c:valAx>
      <c:valAx>
        <c:axId val="-213052085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517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{8.57,8.599,8.628,8.657,8.685,8.714,8.743,8.772,8.801,8.83,8.859,8.888,8.917,8.946,8.975,9.004,9.033,9.061,9.09,9.119,9.148}</c:f>
              <c:numCache>
                <c:formatCode>General</c:formatCode>
                <c:ptCount val="21"/>
                <c:pt idx="0">
                  <c:v>8.57</c:v>
                </c:pt>
                <c:pt idx="1">
                  <c:v>8.599</c:v>
                </c:pt>
                <c:pt idx="2">
                  <c:v>8.628</c:v>
                </c:pt>
                <c:pt idx="3">
                  <c:v>8.657</c:v>
                </c:pt>
                <c:pt idx="4">
                  <c:v>8.685</c:v>
                </c:pt>
                <c:pt idx="5">
                  <c:v>8.714</c:v>
                </c:pt>
                <c:pt idx="6">
                  <c:v>8.743</c:v>
                </c:pt>
                <c:pt idx="7">
                  <c:v>8.772</c:v>
                </c:pt>
                <c:pt idx="8">
                  <c:v>8.801</c:v>
                </c:pt>
                <c:pt idx="9">
                  <c:v>8.83</c:v>
                </c:pt>
                <c:pt idx="10">
                  <c:v>8.859</c:v>
                </c:pt>
                <c:pt idx="11">
                  <c:v>8.888</c:v>
                </c:pt>
                <c:pt idx="12">
                  <c:v>8.917</c:v>
                </c:pt>
                <c:pt idx="13">
                  <c:v>8.946</c:v>
                </c:pt>
                <c:pt idx="14">
                  <c:v>8.975</c:v>
                </c:pt>
                <c:pt idx="15">
                  <c:v>9.004</c:v>
                </c:pt>
                <c:pt idx="16">
                  <c:v>9.033</c:v>
                </c:pt>
                <c:pt idx="17">
                  <c:v>9.061</c:v>
                </c:pt>
                <c:pt idx="18">
                  <c:v>9.09</c:v>
                </c:pt>
                <c:pt idx="19">
                  <c:v>9.119</c:v>
                </c:pt>
                <c:pt idx="20">
                  <c:v>9.148</c:v>
                </c:pt>
              </c:numCache>
            </c:numRef>
          </c:cat>
          <c:val>
            <c:numRef>
              <c:f>{0,1,1,9,13,66,152,383,627,792,756,438,216,66,11,2,0,0,0,0,0}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9</c:v>
                </c:pt>
                <c:pt idx="4">
                  <c:v>13</c:v>
                </c:pt>
                <c:pt idx="5">
                  <c:v>66</c:v>
                </c:pt>
                <c:pt idx="6">
                  <c:v>152</c:v>
                </c:pt>
                <c:pt idx="7">
                  <c:v>383</c:v>
                </c:pt>
                <c:pt idx="8">
                  <c:v>627</c:v>
                </c:pt>
                <c:pt idx="9">
                  <c:v>792</c:v>
                </c:pt>
                <c:pt idx="10">
                  <c:v>756</c:v>
                </c:pt>
                <c:pt idx="11">
                  <c:v>438</c:v>
                </c:pt>
                <c:pt idx="12">
                  <c:v>216</c:v>
                </c:pt>
                <c:pt idx="13">
                  <c:v>66</c:v>
                </c:pt>
                <c:pt idx="14">
                  <c:v>11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467064"/>
        <c:axId val="-213046413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2.40220783330371E-06,0.0000464650330774845,0.000649061314187247,0.00654770525464636,0.0477019441825799,0.250972927803765,0.953589615545485,2.61661596966636,5.18516165820977,7.42041941425027,7.66899429519973,5.72390041751583,3.08524329544992,1.20096529641568,0.337609914448256,0.0685399240383479,0.0100488355425951,0.00106397531386069,0.0000813562753780373,4.49256383473802E-06,0}</c:f>
              <c:numCache>
                <c:formatCode>General</c:formatCode>
                <c:ptCount val="21"/>
                <c:pt idx="0">
                  <c:v>2.40220783330371e-6</c:v>
                </c:pt>
                <c:pt idx="1">
                  <c:v>4.64650330774845e-5</c:v>
                </c:pt>
                <c:pt idx="2">
                  <c:v>0.000649061314187247</c:v>
                </c:pt>
                <c:pt idx="3">
                  <c:v>0.00654770525464636</c:v>
                </c:pt>
                <c:pt idx="4">
                  <c:v>0.0477019441825799</c:v>
                </c:pt>
                <c:pt idx="5">
                  <c:v>0.250972927803765</c:v>
                </c:pt>
                <c:pt idx="6">
                  <c:v>0.953589615545485</c:v>
                </c:pt>
                <c:pt idx="7">
                  <c:v>2.61661596966636</c:v>
                </c:pt>
                <c:pt idx="8">
                  <c:v>5.18516165820977</c:v>
                </c:pt>
                <c:pt idx="9">
                  <c:v>7.42041941425027</c:v>
                </c:pt>
                <c:pt idx="10">
                  <c:v>7.66899429519973</c:v>
                </c:pt>
                <c:pt idx="11">
                  <c:v>5.72390041751583</c:v>
                </c:pt>
                <c:pt idx="12">
                  <c:v>3.08524329544992</c:v>
                </c:pt>
                <c:pt idx="13">
                  <c:v>1.20096529641568</c:v>
                </c:pt>
                <c:pt idx="14">
                  <c:v>0.337609914448256</c:v>
                </c:pt>
                <c:pt idx="15">
                  <c:v>0.0685399240383479</c:v>
                </c:pt>
                <c:pt idx="16">
                  <c:v>0.0100488355425951</c:v>
                </c:pt>
                <c:pt idx="17">
                  <c:v>0.00106397531386069</c:v>
                </c:pt>
                <c:pt idx="18">
                  <c:v>8.13562753780373e-5</c:v>
                </c:pt>
                <c:pt idx="19">
                  <c:v>4.49256383473802e-6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457368"/>
        <c:axId val="-2130460424"/>
      </c:scatterChart>
      <c:catAx>
        <c:axId val="-213046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64136"/>
        <c:crosses val="autoZero"/>
        <c:auto val="1"/>
        <c:lblAlgn val="ctr"/>
        <c:lblOffset val="100"/>
        <c:noMultiLvlLbl val="0"/>
      </c:catAx>
      <c:valAx>
        <c:axId val="-2130464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67064"/>
        <c:crosses val="autoZero"/>
        <c:crossBetween val="between"/>
      </c:valAx>
      <c:valAx>
        <c:axId val="-213045736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460424"/>
        <c:crosses val="autoZero"/>
        <c:crossBetween val="midCat"/>
      </c:valAx>
      <c:valAx>
        <c:axId val="-213046042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5736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{8.571,8.6,8.629,8.657,8.686,8.715,8.744,8.773,8.802,8.831,8.859,8.888,8.917,8.946,8.975,9.004,9.033,9.062,9.09,9.119,9.148}</c:f>
              <c:numCache>
                <c:formatCode>General</c:formatCode>
                <c:ptCount val="21"/>
                <c:pt idx="0">
                  <c:v>8.571</c:v>
                </c:pt>
                <c:pt idx="1">
                  <c:v>8.6</c:v>
                </c:pt>
                <c:pt idx="2">
                  <c:v>8.629</c:v>
                </c:pt>
                <c:pt idx="3">
                  <c:v>8.657</c:v>
                </c:pt>
                <c:pt idx="4">
                  <c:v>8.686</c:v>
                </c:pt>
                <c:pt idx="5">
                  <c:v>8.715</c:v>
                </c:pt>
                <c:pt idx="6">
                  <c:v>8.744</c:v>
                </c:pt>
                <c:pt idx="7">
                  <c:v>8.773</c:v>
                </c:pt>
                <c:pt idx="8">
                  <c:v>8.802</c:v>
                </c:pt>
                <c:pt idx="9">
                  <c:v>8.831</c:v>
                </c:pt>
                <c:pt idx="10">
                  <c:v>8.859</c:v>
                </c:pt>
                <c:pt idx="11">
                  <c:v>8.888</c:v>
                </c:pt>
                <c:pt idx="12">
                  <c:v>8.917</c:v>
                </c:pt>
                <c:pt idx="13">
                  <c:v>8.946</c:v>
                </c:pt>
                <c:pt idx="14">
                  <c:v>8.975</c:v>
                </c:pt>
                <c:pt idx="15">
                  <c:v>9.004</c:v>
                </c:pt>
                <c:pt idx="16">
                  <c:v>9.033</c:v>
                </c:pt>
                <c:pt idx="17">
                  <c:v>9.062</c:v>
                </c:pt>
                <c:pt idx="18">
                  <c:v>9.09</c:v>
                </c:pt>
                <c:pt idx="19">
                  <c:v>9.119</c:v>
                </c:pt>
                <c:pt idx="20">
                  <c:v>9.148</c:v>
                </c:pt>
              </c:numCache>
            </c:numRef>
          </c:cat>
          <c:val>
            <c:numRef>
              <c:f>{0,1,0,10,15,65,145,346,607,810,736,473,220,84,19,2,0,0,0,0,0}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10</c:v>
                </c:pt>
                <c:pt idx="4">
                  <c:v>15</c:v>
                </c:pt>
                <c:pt idx="5">
                  <c:v>65</c:v>
                </c:pt>
                <c:pt idx="6">
                  <c:v>145</c:v>
                </c:pt>
                <c:pt idx="7">
                  <c:v>346</c:v>
                </c:pt>
                <c:pt idx="8">
                  <c:v>607</c:v>
                </c:pt>
                <c:pt idx="9">
                  <c:v>810</c:v>
                </c:pt>
                <c:pt idx="10">
                  <c:v>736</c:v>
                </c:pt>
                <c:pt idx="11">
                  <c:v>473</c:v>
                </c:pt>
                <c:pt idx="12">
                  <c:v>220</c:v>
                </c:pt>
                <c:pt idx="13">
                  <c:v>84</c:v>
                </c:pt>
                <c:pt idx="14">
                  <c:v>19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407224"/>
        <c:axId val="-21304042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3.68114625603901E-06,0.0000636386276843454,0.000806702349658267,0.00749826317099353,0.05110491883358,0.255399196750172,0.935903949049899,2.51476706153249,4.95471841269117,7.15805321495298,7.58273011131724,5.88994182504434,3.35468033388118,1.40102540656479,0.429037852340298,0.0963385132581518,0.0158620385264798,0.00191501769716899,0.000169528402966744,0.0000110044200348454,0}</c:f>
              <c:numCache>
                <c:formatCode>General</c:formatCode>
                <c:ptCount val="21"/>
                <c:pt idx="0">
                  <c:v>3.68114625603901e-6</c:v>
                </c:pt>
                <c:pt idx="1">
                  <c:v>6.36386276843454e-5</c:v>
                </c:pt>
                <c:pt idx="2">
                  <c:v>0.000806702349658267</c:v>
                </c:pt>
                <c:pt idx="3">
                  <c:v>0.00749826317099353</c:v>
                </c:pt>
                <c:pt idx="4">
                  <c:v>0.05110491883358</c:v>
                </c:pt>
                <c:pt idx="5">
                  <c:v>0.255399196750172</c:v>
                </c:pt>
                <c:pt idx="6">
                  <c:v>0.935903949049899</c:v>
                </c:pt>
                <c:pt idx="7">
                  <c:v>2.51476706153249</c:v>
                </c:pt>
                <c:pt idx="8">
                  <c:v>4.95471841269117</c:v>
                </c:pt>
                <c:pt idx="9">
                  <c:v>7.15805321495298</c:v>
                </c:pt>
                <c:pt idx="10">
                  <c:v>7.58273011131724</c:v>
                </c:pt>
                <c:pt idx="11">
                  <c:v>5.88994182504434</c:v>
                </c:pt>
                <c:pt idx="12">
                  <c:v>3.35468033388118</c:v>
                </c:pt>
                <c:pt idx="13">
                  <c:v>1.40102540656479</c:v>
                </c:pt>
                <c:pt idx="14">
                  <c:v>0.429037852340298</c:v>
                </c:pt>
                <c:pt idx="15">
                  <c:v>0.0963385132581518</c:v>
                </c:pt>
                <c:pt idx="16">
                  <c:v>0.0158620385264798</c:v>
                </c:pt>
                <c:pt idx="17">
                  <c:v>0.00191501769716899</c:v>
                </c:pt>
                <c:pt idx="18">
                  <c:v>0.000169528402966744</c:v>
                </c:pt>
                <c:pt idx="19">
                  <c:v>1.10044200348454e-5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397528"/>
        <c:axId val="-2130400584"/>
      </c:scatterChart>
      <c:catAx>
        <c:axId val="-213040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04296"/>
        <c:crosses val="autoZero"/>
        <c:auto val="1"/>
        <c:lblAlgn val="ctr"/>
        <c:lblOffset val="100"/>
        <c:noMultiLvlLbl val="0"/>
      </c:catAx>
      <c:valAx>
        <c:axId val="-2130404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407224"/>
        <c:crosses val="autoZero"/>
        <c:crossBetween val="between"/>
      </c:valAx>
      <c:valAx>
        <c:axId val="-213039752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400584"/>
        <c:crosses val="autoZero"/>
        <c:crossBetween val="midCat"/>
      </c:valAx>
      <c:valAx>
        <c:axId val="-2130400584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9752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{8.485,8.519,8.552,8.586,8.619,8.653,8.686,8.72,8.753,8.787,8.821,8.854,8.888,8.921,8.955,8.988,9.022,9.055,9.089,9.122,9.156}</c:f>
              <c:numCache>
                <c:formatCode>General</c:formatCode>
                <c:ptCount val="21"/>
                <c:pt idx="0">
                  <c:v>8.485</c:v>
                </c:pt>
                <c:pt idx="1">
                  <c:v>8.519</c:v>
                </c:pt>
                <c:pt idx="2">
                  <c:v>8.552</c:v>
                </c:pt>
                <c:pt idx="3">
                  <c:v>8.586</c:v>
                </c:pt>
                <c:pt idx="4">
                  <c:v>8.619</c:v>
                </c:pt>
                <c:pt idx="5">
                  <c:v>8.653</c:v>
                </c:pt>
                <c:pt idx="6">
                  <c:v>8.686</c:v>
                </c:pt>
                <c:pt idx="7">
                  <c:v>8.72</c:v>
                </c:pt>
                <c:pt idx="8">
                  <c:v>8.753</c:v>
                </c:pt>
                <c:pt idx="9">
                  <c:v>8.787</c:v>
                </c:pt>
                <c:pt idx="10">
                  <c:v>8.821</c:v>
                </c:pt>
                <c:pt idx="11">
                  <c:v>8.854</c:v>
                </c:pt>
                <c:pt idx="12">
                  <c:v>8.888</c:v>
                </c:pt>
                <c:pt idx="13">
                  <c:v>8.921</c:v>
                </c:pt>
                <c:pt idx="14">
                  <c:v>8.955</c:v>
                </c:pt>
                <c:pt idx="15">
                  <c:v>8.988</c:v>
                </c:pt>
                <c:pt idx="16">
                  <c:v>9.022</c:v>
                </c:pt>
                <c:pt idx="17">
                  <c:v>9.055</c:v>
                </c:pt>
                <c:pt idx="18">
                  <c:v>9.089</c:v>
                </c:pt>
                <c:pt idx="19">
                  <c:v>9.122</c:v>
                </c:pt>
                <c:pt idx="20">
                  <c:v>9.156</c:v>
                </c:pt>
              </c:numCache>
            </c:numRef>
          </c:cat>
          <c:val>
            <c:numRef>
              <c:f>{0,1,0,0,0,12,15,95,249,554,929,873,512,222,62,8,1,0,0,0,0}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15</c:v>
                </c:pt>
                <c:pt idx="7">
                  <c:v>95</c:v>
                </c:pt>
                <c:pt idx="8">
                  <c:v>249</c:v>
                </c:pt>
                <c:pt idx="9">
                  <c:v>554</c:v>
                </c:pt>
                <c:pt idx="10">
                  <c:v>929</c:v>
                </c:pt>
                <c:pt idx="11">
                  <c:v>873</c:v>
                </c:pt>
                <c:pt idx="12">
                  <c:v>512</c:v>
                </c:pt>
                <c:pt idx="13">
                  <c:v>222</c:v>
                </c:pt>
                <c:pt idx="14">
                  <c:v>62</c:v>
                </c:pt>
                <c:pt idx="15">
                  <c:v>8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347320"/>
        <c:axId val="-213034439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9.39087002627539E-11,7.63557902662158E-09,4.06820077912536E-07,0.000014203222005798,0.000324934593604088,0.00487112461416927,0.0478505291271131,0.308012586736087,1.29919446444247,3.59090765609354,6.50367289954434,7.71858199222828,6.00261834816685,3.0589214079631,1.02145745974558,0.223509486117656,0.0320476743175896,0.00301107418088658,0.000185383368574082,7.47901599231642E-06,0}</c:f>
              <c:numCache>
                <c:formatCode>General</c:formatCode>
                <c:ptCount val="21"/>
                <c:pt idx="0">
                  <c:v>9.39087002627539e-11</c:v>
                </c:pt>
                <c:pt idx="1">
                  <c:v>7.63557902662158e-9</c:v>
                </c:pt>
                <c:pt idx="2">
                  <c:v>4.06820077912536e-7</c:v>
                </c:pt>
                <c:pt idx="3">
                  <c:v>1.4203222005798e-5</c:v>
                </c:pt>
                <c:pt idx="4">
                  <c:v>0.000324934593604088</c:v>
                </c:pt>
                <c:pt idx="5">
                  <c:v>0.00487112461416927</c:v>
                </c:pt>
                <c:pt idx="6">
                  <c:v>0.0478505291271131</c:v>
                </c:pt>
                <c:pt idx="7">
                  <c:v>0.308012586736087</c:v>
                </c:pt>
                <c:pt idx="8">
                  <c:v>1.29919446444247</c:v>
                </c:pt>
                <c:pt idx="9">
                  <c:v>3.59090765609354</c:v>
                </c:pt>
                <c:pt idx="10">
                  <c:v>6.50367289954434</c:v>
                </c:pt>
                <c:pt idx="11">
                  <c:v>7.71858199222828</c:v>
                </c:pt>
                <c:pt idx="12">
                  <c:v>6.00261834816685</c:v>
                </c:pt>
                <c:pt idx="13">
                  <c:v>3.0589214079631</c:v>
                </c:pt>
                <c:pt idx="14">
                  <c:v>1.02145745974558</c:v>
                </c:pt>
                <c:pt idx="15">
                  <c:v>0.223509486117656</c:v>
                </c:pt>
                <c:pt idx="16">
                  <c:v>0.0320476743175896</c:v>
                </c:pt>
                <c:pt idx="17">
                  <c:v>0.00301107418088658</c:v>
                </c:pt>
                <c:pt idx="18">
                  <c:v>0.000185383368574082</c:v>
                </c:pt>
                <c:pt idx="19">
                  <c:v>7.47901599231642e-6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337624"/>
        <c:axId val="-2130340680"/>
      </c:scatterChart>
      <c:catAx>
        <c:axId val="-2130347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44392"/>
        <c:crosses val="autoZero"/>
        <c:auto val="1"/>
        <c:lblAlgn val="ctr"/>
        <c:lblOffset val="100"/>
        <c:noMultiLvlLbl val="0"/>
      </c:catAx>
      <c:valAx>
        <c:axId val="-2130344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47320"/>
        <c:crosses val="autoZero"/>
        <c:crossBetween val="between"/>
      </c:valAx>
      <c:valAx>
        <c:axId val="-21303376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340680"/>
        <c:crosses val="autoZero"/>
        <c:crossBetween val="midCat"/>
      </c:valAx>
      <c:valAx>
        <c:axId val="-213034068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3376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{8.607,8.634,8.661,8.688,8.715,8.742,8.768,8.795,8.822,8.849,8.876,8.903,8.93,8.957,8.984,9.01,9.037,9.064,9.091,9.118,9.145}</c:f>
              <c:numCache>
                <c:formatCode>General</c:formatCode>
                <c:ptCount val="21"/>
                <c:pt idx="0">
                  <c:v>8.607</c:v>
                </c:pt>
                <c:pt idx="1">
                  <c:v>8.634</c:v>
                </c:pt>
                <c:pt idx="2">
                  <c:v>8.661</c:v>
                </c:pt>
                <c:pt idx="3">
                  <c:v>8.688</c:v>
                </c:pt>
                <c:pt idx="4">
                  <c:v>8.715</c:v>
                </c:pt>
                <c:pt idx="5">
                  <c:v>8.742</c:v>
                </c:pt>
                <c:pt idx="6">
                  <c:v>8.768</c:v>
                </c:pt>
                <c:pt idx="7">
                  <c:v>8.795</c:v>
                </c:pt>
                <c:pt idx="8">
                  <c:v>8.822</c:v>
                </c:pt>
                <c:pt idx="9">
                  <c:v>8.849</c:v>
                </c:pt>
                <c:pt idx="10">
                  <c:v>8.876</c:v>
                </c:pt>
                <c:pt idx="11">
                  <c:v>8.903</c:v>
                </c:pt>
                <c:pt idx="12">
                  <c:v>8.93</c:v>
                </c:pt>
                <c:pt idx="13">
                  <c:v>8.957</c:v>
                </c:pt>
                <c:pt idx="14">
                  <c:v>8.984</c:v>
                </c:pt>
                <c:pt idx="15">
                  <c:v>9.01</c:v>
                </c:pt>
                <c:pt idx="16">
                  <c:v>9.037</c:v>
                </c:pt>
                <c:pt idx="17">
                  <c:v>9.064</c:v>
                </c:pt>
                <c:pt idx="18">
                  <c:v>9.091</c:v>
                </c:pt>
                <c:pt idx="19">
                  <c:v>9.118</c:v>
                </c:pt>
                <c:pt idx="20">
                  <c:v>9.145</c:v>
                </c:pt>
              </c:numCache>
            </c:numRef>
          </c:cat>
          <c:val>
            <c:numRef>
              <c:f>{0,1,9,12,47,118,278,465,696,713,610,330,177,60,14,2,1,0,0,0,0}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12</c:v>
                </c:pt>
                <c:pt idx="4">
                  <c:v>47</c:v>
                </c:pt>
                <c:pt idx="5">
                  <c:v>118</c:v>
                </c:pt>
                <c:pt idx="6">
                  <c:v>278</c:v>
                </c:pt>
                <c:pt idx="7">
                  <c:v>465</c:v>
                </c:pt>
                <c:pt idx="8">
                  <c:v>696</c:v>
                </c:pt>
                <c:pt idx="9">
                  <c:v>713</c:v>
                </c:pt>
                <c:pt idx="10">
                  <c:v>610</c:v>
                </c:pt>
                <c:pt idx="11">
                  <c:v>330</c:v>
                </c:pt>
                <c:pt idx="12">
                  <c:v>177</c:v>
                </c:pt>
                <c:pt idx="13">
                  <c:v>60</c:v>
                </c:pt>
                <c:pt idx="14">
                  <c:v>14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287496"/>
        <c:axId val="-213028456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0.0000983043973568182,0.00100418306723775,0.00784541215608977,0.046879336458656,0.214244789347663,0.748862303705394,2.00196536632321,4.09330437297009,6.40109699340364,7.65592491559111,7.00331830672813,4.89974055413975,2.62183478403577,1.07300210946243,0.335860436986125,0.0804044600468337,0.0147219198514596,0.00206163498992103,0.000220811720654701,0.0000180882055942816,0}</c:f>
              <c:numCache>
                <c:formatCode>General</c:formatCode>
                <c:ptCount val="21"/>
                <c:pt idx="0">
                  <c:v>9.83043973568182e-5</c:v>
                </c:pt>
                <c:pt idx="1">
                  <c:v>0.00100418306723775</c:v>
                </c:pt>
                <c:pt idx="2">
                  <c:v>0.00784541215608977</c:v>
                </c:pt>
                <c:pt idx="3">
                  <c:v>0.046879336458656</c:v>
                </c:pt>
                <c:pt idx="4">
                  <c:v>0.214244789347663</c:v>
                </c:pt>
                <c:pt idx="5">
                  <c:v>0.748862303705394</c:v>
                </c:pt>
                <c:pt idx="6">
                  <c:v>2.00196536632321</c:v>
                </c:pt>
                <c:pt idx="7">
                  <c:v>4.09330437297009</c:v>
                </c:pt>
                <c:pt idx="8">
                  <c:v>6.40109699340364</c:v>
                </c:pt>
                <c:pt idx="9">
                  <c:v>7.65592491559111</c:v>
                </c:pt>
                <c:pt idx="10">
                  <c:v>7.00331830672813</c:v>
                </c:pt>
                <c:pt idx="11">
                  <c:v>4.89974055413975</c:v>
                </c:pt>
                <c:pt idx="12">
                  <c:v>2.62183478403577</c:v>
                </c:pt>
                <c:pt idx="13">
                  <c:v>1.07300210946243</c:v>
                </c:pt>
                <c:pt idx="14">
                  <c:v>0.335860436986125</c:v>
                </c:pt>
                <c:pt idx="15">
                  <c:v>0.0804044600468337</c:v>
                </c:pt>
                <c:pt idx="16">
                  <c:v>0.0147219198514596</c:v>
                </c:pt>
                <c:pt idx="17">
                  <c:v>0.00206163498992103</c:v>
                </c:pt>
                <c:pt idx="18">
                  <c:v>0.000220811720654701</c:v>
                </c:pt>
                <c:pt idx="19">
                  <c:v>1.80882055942816e-5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77800"/>
        <c:axId val="-2130280856"/>
      </c:scatterChart>
      <c:catAx>
        <c:axId val="-2130287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84568"/>
        <c:crosses val="autoZero"/>
        <c:auto val="1"/>
        <c:lblAlgn val="ctr"/>
        <c:lblOffset val="100"/>
        <c:noMultiLvlLbl val="0"/>
      </c:catAx>
      <c:valAx>
        <c:axId val="-2130284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87496"/>
        <c:crosses val="autoZero"/>
        <c:crossBetween val="between"/>
      </c:valAx>
      <c:valAx>
        <c:axId val="-213027780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280856"/>
        <c:crosses val="autoZero"/>
        <c:crossBetween val="midCat"/>
      </c:valAx>
      <c:valAx>
        <c:axId val="-213028085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7780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{8.577,8.614,8.65,8.687,8.724,8.76,8.797,8.834,8.871,8.907,8.944,8.981,9.017,9.054,9.091,9.128,9.164,9.201,9.238,9.274,9.311}</c:f>
              <c:numCache>
                <c:formatCode>General</c:formatCode>
                <c:ptCount val="21"/>
                <c:pt idx="0">
                  <c:v>8.577</c:v>
                </c:pt>
                <c:pt idx="1">
                  <c:v>8.614</c:v>
                </c:pt>
                <c:pt idx="2">
                  <c:v>8.65</c:v>
                </c:pt>
                <c:pt idx="3">
                  <c:v>8.687</c:v>
                </c:pt>
                <c:pt idx="4">
                  <c:v>8.724</c:v>
                </c:pt>
                <c:pt idx="5">
                  <c:v>8.76</c:v>
                </c:pt>
                <c:pt idx="6">
                  <c:v>8.797</c:v>
                </c:pt>
                <c:pt idx="7">
                  <c:v>8.834</c:v>
                </c:pt>
                <c:pt idx="8">
                  <c:v>8.871</c:v>
                </c:pt>
                <c:pt idx="9">
                  <c:v>8.907</c:v>
                </c:pt>
                <c:pt idx="10">
                  <c:v>8.944</c:v>
                </c:pt>
                <c:pt idx="11">
                  <c:v>8.981</c:v>
                </c:pt>
                <c:pt idx="12">
                  <c:v>9.017</c:v>
                </c:pt>
                <c:pt idx="13">
                  <c:v>9.054</c:v>
                </c:pt>
                <c:pt idx="14">
                  <c:v>9.091</c:v>
                </c:pt>
                <c:pt idx="15">
                  <c:v>9.128</c:v>
                </c:pt>
                <c:pt idx="16">
                  <c:v>9.164</c:v>
                </c:pt>
                <c:pt idx="17">
                  <c:v>9.201</c:v>
                </c:pt>
                <c:pt idx="18">
                  <c:v>9.238</c:v>
                </c:pt>
                <c:pt idx="19">
                  <c:v>9.274</c:v>
                </c:pt>
                <c:pt idx="20">
                  <c:v>9.311</c:v>
                </c:pt>
              </c:numCache>
            </c:numRef>
          </c:cat>
          <c:val>
            <c:numRef>
              <c:f>{0,3,3,6,73,448,1144,1305,483,66,0,1,0,0,0,0,1,0,0,0,0}</c:f>
              <c:numCache>
                <c:formatCode>General</c:formatCode>
                <c:ptCount val="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73</c:v>
                </c:pt>
                <c:pt idx="5">
                  <c:v>448</c:v>
                </c:pt>
                <c:pt idx="6">
                  <c:v>1144</c:v>
                </c:pt>
                <c:pt idx="7">
                  <c:v>1305</c:v>
                </c:pt>
                <c:pt idx="8">
                  <c:v>483</c:v>
                </c:pt>
                <c:pt idx="9">
                  <c:v>66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227656"/>
        <c:axId val="-21302247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3.99411164662724E-10,2.29060640316053E-07,0.0000496107391096195,0.004057848990267,0.125346156519326,1.46224828058671,6.44208089211306,10.7183068299082,6.73474495541237,1.59812622734906,0.143217458002146,0.00484703103141321,0.0000619513245353246,2.99033847739382E-07,5.451111417683E-10,3.7527075896874E-13,9.75661907364416E-17,9.57963428792142E-21,3.55216775181943E-25,4.97431131157908E-30,0}</c:f>
              <c:numCache>
                <c:formatCode>General</c:formatCode>
                <c:ptCount val="21"/>
                <c:pt idx="0">
                  <c:v>3.99411164662724e-10</c:v>
                </c:pt>
                <c:pt idx="1">
                  <c:v>2.29060640316053e-7</c:v>
                </c:pt>
                <c:pt idx="2">
                  <c:v>4.96107391096195e-5</c:v>
                </c:pt>
                <c:pt idx="3">
                  <c:v>0.004057848990267</c:v>
                </c:pt>
                <c:pt idx="4">
                  <c:v>0.125346156519326</c:v>
                </c:pt>
                <c:pt idx="5">
                  <c:v>1.46224828058671</c:v>
                </c:pt>
                <c:pt idx="6">
                  <c:v>6.44208089211306</c:v>
                </c:pt>
                <c:pt idx="7">
                  <c:v>10.7183068299082</c:v>
                </c:pt>
                <c:pt idx="8">
                  <c:v>6.73474495541237</c:v>
                </c:pt>
                <c:pt idx="9">
                  <c:v>1.59812622734906</c:v>
                </c:pt>
                <c:pt idx="10">
                  <c:v>0.143217458002146</c:v>
                </c:pt>
                <c:pt idx="11">
                  <c:v>0.00484703103141321</c:v>
                </c:pt>
                <c:pt idx="12">
                  <c:v>6.19513245353246e-5</c:v>
                </c:pt>
                <c:pt idx="13">
                  <c:v>2.99033847739382e-7</c:v>
                </c:pt>
                <c:pt idx="14">
                  <c:v>5.451111417683e-10</c:v>
                </c:pt>
                <c:pt idx="15">
                  <c:v>3.7527075896874e-13</c:v>
                </c:pt>
                <c:pt idx="16">
                  <c:v>9.75661907364416e-17</c:v>
                </c:pt>
                <c:pt idx="17">
                  <c:v>9.57963428792142e-21</c:v>
                </c:pt>
                <c:pt idx="18">
                  <c:v>3.55216775181943e-25</c:v>
                </c:pt>
                <c:pt idx="19">
                  <c:v>4.97431131157908e-30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217960"/>
        <c:axId val="-2130221016"/>
      </c:scatterChart>
      <c:catAx>
        <c:axId val="-213022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24728"/>
        <c:crosses val="autoZero"/>
        <c:auto val="1"/>
        <c:lblAlgn val="ctr"/>
        <c:lblOffset val="100"/>
        <c:noMultiLvlLbl val="0"/>
      </c:catAx>
      <c:valAx>
        <c:axId val="-21302247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27656"/>
        <c:crosses val="autoZero"/>
        <c:crossBetween val="between"/>
      </c:valAx>
      <c:valAx>
        <c:axId val="-213021796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221016"/>
        <c:crosses val="autoZero"/>
        <c:crossBetween val="midCat"/>
      </c:valAx>
      <c:valAx>
        <c:axId val="-2130221016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21796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{8.278,8.331,8.384,8.437,8.49,8.543,8.596,8.649,8.702,8.755,8.808,8.861,8.914,8.967,9.02,9.073,9.126,9.179,9.232,9.285,9.338}</c:f>
              <c:numCache>
                <c:formatCode>General</c:formatCode>
                <c:ptCount val="21"/>
                <c:pt idx="0">
                  <c:v>8.278</c:v>
                </c:pt>
                <c:pt idx="1">
                  <c:v>8.331</c:v>
                </c:pt>
                <c:pt idx="2">
                  <c:v>8.384</c:v>
                </c:pt>
                <c:pt idx="3">
                  <c:v>8.437</c:v>
                </c:pt>
                <c:pt idx="4">
                  <c:v>8.49</c:v>
                </c:pt>
                <c:pt idx="5">
                  <c:v>8.543</c:v>
                </c:pt>
                <c:pt idx="6">
                  <c:v>8.596</c:v>
                </c:pt>
                <c:pt idx="7">
                  <c:v>8.649</c:v>
                </c:pt>
                <c:pt idx="8">
                  <c:v>8.702</c:v>
                </c:pt>
                <c:pt idx="9">
                  <c:v>8.755</c:v>
                </c:pt>
                <c:pt idx="10">
                  <c:v>8.808</c:v>
                </c:pt>
                <c:pt idx="11">
                  <c:v>8.861</c:v>
                </c:pt>
                <c:pt idx="12">
                  <c:v>8.914</c:v>
                </c:pt>
                <c:pt idx="13">
                  <c:v>8.967</c:v>
                </c:pt>
                <c:pt idx="14">
                  <c:v>9.02</c:v>
                </c:pt>
                <c:pt idx="15">
                  <c:v>9.073</c:v>
                </c:pt>
                <c:pt idx="16">
                  <c:v>9.126</c:v>
                </c:pt>
                <c:pt idx="17">
                  <c:v>9.179</c:v>
                </c:pt>
                <c:pt idx="18">
                  <c:v>9.232</c:v>
                </c:pt>
                <c:pt idx="19">
                  <c:v>9.285</c:v>
                </c:pt>
                <c:pt idx="20">
                  <c:v>9.338</c:v>
                </c:pt>
              </c:numCache>
            </c:numRef>
          </c:cat>
          <c:val>
            <c:numRef>
              <c:f>{0,1,1,0,0,0,2,4,57,691,1900,814,59,0,3,0,0,0,1,0,0}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57</c:v>
                </c:pt>
                <c:pt idx="9">
                  <c:v>691</c:v>
                </c:pt>
                <c:pt idx="10">
                  <c:v>1900</c:v>
                </c:pt>
                <c:pt idx="11">
                  <c:v>814</c:v>
                </c:pt>
                <c:pt idx="12">
                  <c:v>59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167816"/>
        <c:axId val="-213016488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5.84443399257382E-42,2.51340261027217E-34,1.87695197039392E-27,2.43397071552817E-21,5.48087423928659E-16,2.14316551624376E-11,0.0000001455231228813,0.00017158531391425,0.0351317703864884,1.24908436462352,7.71179227790755,8.26781382147198,1.5392099715751,0.0497595979278975,0.00027933648963671,2.7230166338396E-07,4.60940354879454E-11,1.35491167136663E-15,6.91590549877762E-21,6.12997821610742E-27,0}</c:f>
              <c:numCache>
                <c:formatCode>General</c:formatCode>
                <c:ptCount val="21"/>
                <c:pt idx="0">
                  <c:v>5.84443399257382e-42</c:v>
                </c:pt>
                <c:pt idx="1">
                  <c:v>2.51340261027217e-34</c:v>
                </c:pt>
                <c:pt idx="2">
                  <c:v>1.87695197039392e-27</c:v>
                </c:pt>
                <c:pt idx="3">
                  <c:v>2.43397071552817e-21</c:v>
                </c:pt>
                <c:pt idx="4">
                  <c:v>5.48087423928659e-16</c:v>
                </c:pt>
                <c:pt idx="5">
                  <c:v>2.14316551624376e-11</c:v>
                </c:pt>
                <c:pt idx="6">
                  <c:v>1.455231228813e-7</c:v>
                </c:pt>
                <c:pt idx="7">
                  <c:v>0.00017158531391425</c:v>
                </c:pt>
                <c:pt idx="8">
                  <c:v>0.0351317703864884</c:v>
                </c:pt>
                <c:pt idx="9">
                  <c:v>1.24908436462352</c:v>
                </c:pt>
                <c:pt idx="10">
                  <c:v>7.71179227790755</c:v>
                </c:pt>
                <c:pt idx="11">
                  <c:v>8.26781382147198</c:v>
                </c:pt>
                <c:pt idx="12">
                  <c:v>1.5392099715751</c:v>
                </c:pt>
                <c:pt idx="13">
                  <c:v>0.0497595979278975</c:v>
                </c:pt>
                <c:pt idx="14">
                  <c:v>0.00027933648963671</c:v>
                </c:pt>
                <c:pt idx="15">
                  <c:v>2.7230166338396e-7</c:v>
                </c:pt>
                <c:pt idx="16">
                  <c:v>4.60940354879454e-11</c:v>
                </c:pt>
                <c:pt idx="17">
                  <c:v>1.35491167136663e-15</c:v>
                </c:pt>
                <c:pt idx="18">
                  <c:v>6.91590549877762e-21</c:v>
                </c:pt>
                <c:pt idx="19">
                  <c:v>6.12997821610742e-27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158120"/>
        <c:axId val="-2130161176"/>
      </c:scatterChart>
      <c:catAx>
        <c:axId val="-213016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64888"/>
        <c:crosses val="autoZero"/>
        <c:auto val="1"/>
        <c:lblAlgn val="ctr"/>
        <c:lblOffset val="100"/>
        <c:noMultiLvlLbl val="0"/>
      </c:catAx>
      <c:valAx>
        <c:axId val="-2130164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67816"/>
        <c:crosses val="autoZero"/>
        <c:crossBetween val="between"/>
      </c:valAx>
      <c:valAx>
        <c:axId val="-213015812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161176"/>
        <c:crosses val="autoZero"/>
        <c:crossBetween val="midCat"/>
      </c:valAx>
      <c:valAx>
        <c:axId val="-213016117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5812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{8.531,8.57,8.609,8.648,8.688,8.727,8.766,8.805,8.845,8.884,8.923,8.962,9.001,9.041,9.08,9.119,9.158,9.198,9.237,9.276,9.315}</c:f>
              <c:numCache>
                <c:formatCode>General</c:formatCode>
                <c:ptCount val="21"/>
                <c:pt idx="0">
                  <c:v>8.531</c:v>
                </c:pt>
                <c:pt idx="1">
                  <c:v>8.57</c:v>
                </c:pt>
                <c:pt idx="2">
                  <c:v>8.609</c:v>
                </c:pt>
                <c:pt idx="3">
                  <c:v>8.648</c:v>
                </c:pt>
                <c:pt idx="4">
                  <c:v>8.688</c:v>
                </c:pt>
                <c:pt idx="5">
                  <c:v>8.727</c:v>
                </c:pt>
                <c:pt idx="6">
                  <c:v>8.766</c:v>
                </c:pt>
                <c:pt idx="7">
                  <c:v>8.805</c:v>
                </c:pt>
                <c:pt idx="8">
                  <c:v>8.845</c:v>
                </c:pt>
                <c:pt idx="9">
                  <c:v>8.884</c:v>
                </c:pt>
                <c:pt idx="10">
                  <c:v>8.923</c:v>
                </c:pt>
                <c:pt idx="11">
                  <c:v>8.962</c:v>
                </c:pt>
                <c:pt idx="12">
                  <c:v>9.001</c:v>
                </c:pt>
                <c:pt idx="13">
                  <c:v>9.041</c:v>
                </c:pt>
                <c:pt idx="14">
                  <c:v>9.08</c:v>
                </c:pt>
                <c:pt idx="15">
                  <c:v>9.119</c:v>
                </c:pt>
                <c:pt idx="16">
                  <c:v>9.158</c:v>
                </c:pt>
                <c:pt idx="17">
                  <c:v>9.198</c:v>
                </c:pt>
                <c:pt idx="18">
                  <c:v>9.237</c:v>
                </c:pt>
                <c:pt idx="19">
                  <c:v>9.276</c:v>
                </c:pt>
                <c:pt idx="20">
                  <c:v>9.315</c:v>
                </c:pt>
              </c:numCache>
            </c:numRef>
          </c:cat>
          <c:val>
            <c:numRef>
              <c:f>{0,1,1,3,12,103,576,1326,1134,337,38,1,0,0,1,0,0,0,0,0,0}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12</c:v>
                </c:pt>
                <c:pt idx="5">
                  <c:v>103</c:v>
                </c:pt>
                <c:pt idx="6">
                  <c:v>576</c:v>
                </c:pt>
                <c:pt idx="7">
                  <c:v>1326</c:v>
                </c:pt>
                <c:pt idx="8">
                  <c:v>1134</c:v>
                </c:pt>
                <c:pt idx="9">
                  <c:v>337</c:v>
                </c:pt>
                <c:pt idx="10">
                  <c:v>38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107864"/>
        <c:axId val="-213010493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1.84902916014097E-13,0.000000000367746999,2.5846844030752E-07,0.0000641976180596932,0.00563486239379017,0.174783713819408,1.9158938679015,7.42155256714837,10.1594670141207,4.91473286738148,0.840198199211218,0.0507593920076978,0.00108368712280137,8.17606339494783E-06,2.17991495259368E-08,2.05394293234044E-11,6.8389702985944E-15,0.0000000000000000008,3.3462314315009E-23,4.91721147130408E-28,0}</c:f>
              <c:numCache>
                <c:formatCode>General</c:formatCode>
                <c:ptCount val="21"/>
                <c:pt idx="0">
                  <c:v>1.84902916014097e-13</c:v>
                </c:pt>
                <c:pt idx="1">
                  <c:v>3.67746999e-10</c:v>
                </c:pt>
                <c:pt idx="2">
                  <c:v>2.5846844030752e-7</c:v>
                </c:pt>
                <c:pt idx="3">
                  <c:v>6.41976180596932e-5</c:v>
                </c:pt>
                <c:pt idx="4">
                  <c:v>0.00563486239379017</c:v>
                </c:pt>
                <c:pt idx="5">
                  <c:v>0.174783713819408</c:v>
                </c:pt>
                <c:pt idx="6">
                  <c:v>1.9158938679015</c:v>
                </c:pt>
                <c:pt idx="7">
                  <c:v>7.42155256714837</c:v>
                </c:pt>
                <c:pt idx="8">
                  <c:v>10.1594670141207</c:v>
                </c:pt>
                <c:pt idx="9">
                  <c:v>4.91473286738148</c:v>
                </c:pt>
                <c:pt idx="10">
                  <c:v>0.840198199211218</c:v>
                </c:pt>
                <c:pt idx="11">
                  <c:v>0.0507593920076978</c:v>
                </c:pt>
                <c:pt idx="12">
                  <c:v>0.00108368712280137</c:v>
                </c:pt>
                <c:pt idx="13">
                  <c:v>8.17606339494783e-6</c:v>
                </c:pt>
                <c:pt idx="14">
                  <c:v>2.17991495259368e-8</c:v>
                </c:pt>
                <c:pt idx="15">
                  <c:v>2.05394293234044e-11</c:v>
                </c:pt>
                <c:pt idx="16">
                  <c:v>6.8389702985944e-15</c:v>
                </c:pt>
                <c:pt idx="17">
                  <c:v>8e-19</c:v>
                </c:pt>
                <c:pt idx="18">
                  <c:v>3.3462314315009e-23</c:v>
                </c:pt>
                <c:pt idx="19">
                  <c:v>4.91721147130408e-28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98168"/>
        <c:axId val="-2130101224"/>
      </c:scatterChart>
      <c:catAx>
        <c:axId val="-213010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04936"/>
        <c:crosses val="autoZero"/>
        <c:auto val="1"/>
        <c:lblAlgn val="ctr"/>
        <c:lblOffset val="100"/>
        <c:noMultiLvlLbl val="0"/>
      </c:catAx>
      <c:valAx>
        <c:axId val="-2130104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107864"/>
        <c:crosses val="autoZero"/>
        <c:crossBetween val="between"/>
      </c:valAx>
      <c:valAx>
        <c:axId val="-213009816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101224"/>
        <c:crosses val="autoZero"/>
        <c:crossBetween val="midCat"/>
      </c:valAx>
      <c:valAx>
        <c:axId val="-213010122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9816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{8.462,8.505,8.548,8.591,8.634,8.677,8.72,8.763,8.806,8.849,8.892,8.935,8.978,9.021,9.064,9.107,9.15,9.193,9.236,9.279,9.322}</c:f>
              <c:numCache>
                <c:formatCode>General</c:formatCode>
                <c:ptCount val="21"/>
                <c:pt idx="0">
                  <c:v>8.462</c:v>
                </c:pt>
                <c:pt idx="1">
                  <c:v>8.505</c:v>
                </c:pt>
                <c:pt idx="2">
                  <c:v>8.548</c:v>
                </c:pt>
                <c:pt idx="3">
                  <c:v>8.591</c:v>
                </c:pt>
                <c:pt idx="4">
                  <c:v>8.634</c:v>
                </c:pt>
                <c:pt idx="5">
                  <c:v>8.677</c:v>
                </c:pt>
                <c:pt idx="6">
                  <c:v>8.72</c:v>
                </c:pt>
                <c:pt idx="7">
                  <c:v>8.763</c:v>
                </c:pt>
                <c:pt idx="8">
                  <c:v>8.806</c:v>
                </c:pt>
                <c:pt idx="9">
                  <c:v>8.849</c:v>
                </c:pt>
                <c:pt idx="10">
                  <c:v>8.892</c:v>
                </c:pt>
                <c:pt idx="11">
                  <c:v>8.935</c:v>
                </c:pt>
                <c:pt idx="12">
                  <c:v>8.978</c:v>
                </c:pt>
                <c:pt idx="13">
                  <c:v>9.021</c:v>
                </c:pt>
                <c:pt idx="14">
                  <c:v>9.064</c:v>
                </c:pt>
                <c:pt idx="15">
                  <c:v>9.107</c:v>
                </c:pt>
                <c:pt idx="16">
                  <c:v>9.15</c:v>
                </c:pt>
                <c:pt idx="17">
                  <c:v>9.193</c:v>
                </c:pt>
                <c:pt idx="18">
                  <c:v>9.236</c:v>
                </c:pt>
                <c:pt idx="19">
                  <c:v>9.279</c:v>
                </c:pt>
                <c:pt idx="20">
                  <c:v>9.322</c:v>
                </c:pt>
              </c:numCache>
            </c:numRef>
          </c:cat>
          <c:val>
            <c:numRef>
              <c:f>{0,1,0,0,3,11,102,645,1450,1069,240,12,0,0,0,0,0,0,0,0,0}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102</c:v>
                </c:pt>
                <c:pt idx="7">
                  <c:v>645</c:v>
                </c:pt>
                <c:pt idx="8">
                  <c:v>1450</c:v>
                </c:pt>
                <c:pt idx="9">
                  <c:v>1069</c:v>
                </c:pt>
                <c:pt idx="10">
                  <c:v>240</c:v>
                </c:pt>
                <c:pt idx="11">
                  <c:v>12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30048024"/>
        <c:axId val="-2130045096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6.13981797299327E-20,1.48241006517003E-15,1.04521071516911E-11,2.15209904497345E-08,0.0000129402529825897,0.00227219714984939,0.116512490806469,1.74470225971843,7.62943752873242,9.74285142781271,3.63330619518697,0.395676520310608,0.0125834845713356,0.000116864854601734,3.16948927157137E-07,2.51025019756871E-10,5.80586715805747E-14,3.92138551508104E-18,7.73453745316591E-23,4.4550390401136E-28,0}</c:f>
              <c:numCache>
                <c:formatCode>General</c:formatCode>
                <c:ptCount val="21"/>
                <c:pt idx="0">
                  <c:v>6.13981797299327e-20</c:v>
                </c:pt>
                <c:pt idx="1">
                  <c:v>1.48241006517003e-15</c:v>
                </c:pt>
                <c:pt idx="2">
                  <c:v>1.04521071516911e-11</c:v>
                </c:pt>
                <c:pt idx="3">
                  <c:v>2.15209904497345e-8</c:v>
                </c:pt>
                <c:pt idx="4">
                  <c:v>1.29402529825897e-5</c:v>
                </c:pt>
                <c:pt idx="5">
                  <c:v>0.00227219714984939</c:v>
                </c:pt>
                <c:pt idx="6">
                  <c:v>0.116512490806469</c:v>
                </c:pt>
                <c:pt idx="7">
                  <c:v>1.74470225971843</c:v>
                </c:pt>
                <c:pt idx="8">
                  <c:v>7.62943752873242</c:v>
                </c:pt>
                <c:pt idx="9">
                  <c:v>9.74285142781271</c:v>
                </c:pt>
                <c:pt idx="10">
                  <c:v>3.63330619518697</c:v>
                </c:pt>
                <c:pt idx="11">
                  <c:v>0.395676520310608</c:v>
                </c:pt>
                <c:pt idx="12">
                  <c:v>0.0125834845713356</c:v>
                </c:pt>
                <c:pt idx="13">
                  <c:v>0.000116864854601734</c:v>
                </c:pt>
                <c:pt idx="14">
                  <c:v>3.16948927157137e-7</c:v>
                </c:pt>
                <c:pt idx="15">
                  <c:v>2.51025019756871e-10</c:v>
                </c:pt>
                <c:pt idx="16">
                  <c:v>5.80586715805747e-14</c:v>
                </c:pt>
                <c:pt idx="17">
                  <c:v>3.92138551508104e-18</c:v>
                </c:pt>
                <c:pt idx="18">
                  <c:v>7.73453745316591e-23</c:v>
                </c:pt>
                <c:pt idx="19">
                  <c:v>4.4550390401136e-28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{0,15}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0038328"/>
        <c:axId val="-2130041384"/>
      </c:scatterChart>
      <c:catAx>
        <c:axId val="-2130048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45096"/>
        <c:crosses val="autoZero"/>
        <c:auto val="1"/>
        <c:lblAlgn val="ctr"/>
        <c:lblOffset val="100"/>
        <c:noMultiLvlLbl val="0"/>
      </c:catAx>
      <c:valAx>
        <c:axId val="-21300450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48024"/>
        <c:crosses val="autoZero"/>
        <c:crossBetween val="between"/>
      </c:valAx>
      <c:valAx>
        <c:axId val="-2130038328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30041384"/>
        <c:crosses val="autoZero"/>
        <c:crossBetween val="midCat"/>
      </c:valAx>
      <c:valAx>
        <c:axId val="-213004138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30038328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{8.307,8.359,8.41,8.462,8.513,8.564,8.616,8.667,8.719,8.77,8.821,8.873,8.924,8.976,9.027,9.079,9.13,9.181,9.233,9.284,9.336}</c:f>
              <c:numCache>
                <c:formatCode>General</c:formatCode>
                <c:ptCount val="21"/>
                <c:pt idx="0">
                  <c:v>8.307</c:v>
                </c:pt>
                <c:pt idx="1">
                  <c:v>8.359</c:v>
                </c:pt>
                <c:pt idx="2">
                  <c:v>8.41</c:v>
                </c:pt>
                <c:pt idx="3">
                  <c:v>8.462</c:v>
                </c:pt>
                <c:pt idx="4">
                  <c:v>8.513</c:v>
                </c:pt>
                <c:pt idx="5">
                  <c:v>8.564</c:v>
                </c:pt>
                <c:pt idx="6">
                  <c:v>8.616</c:v>
                </c:pt>
                <c:pt idx="7">
                  <c:v>8.667</c:v>
                </c:pt>
                <c:pt idx="8">
                  <c:v>8.719</c:v>
                </c:pt>
                <c:pt idx="9">
                  <c:v>8.77</c:v>
                </c:pt>
                <c:pt idx="10">
                  <c:v>8.821</c:v>
                </c:pt>
                <c:pt idx="11">
                  <c:v>8.873</c:v>
                </c:pt>
                <c:pt idx="12">
                  <c:v>8.924</c:v>
                </c:pt>
                <c:pt idx="13">
                  <c:v>8.976</c:v>
                </c:pt>
                <c:pt idx="14">
                  <c:v>9.027</c:v>
                </c:pt>
                <c:pt idx="15">
                  <c:v>9.079</c:v>
                </c:pt>
                <c:pt idx="16">
                  <c:v>9.13</c:v>
                </c:pt>
                <c:pt idx="17">
                  <c:v>9.181</c:v>
                </c:pt>
                <c:pt idx="18">
                  <c:v>9.233</c:v>
                </c:pt>
                <c:pt idx="19">
                  <c:v>9.284</c:v>
                </c:pt>
                <c:pt idx="20">
                  <c:v>9.336</c:v>
                </c:pt>
              </c:numCache>
            </c:numRef>
          </c:cat>
          <c:val>
            <c:numRef>
              <c:f>{0,1,0,0,0,0,3,11,169,1057,1713,546,31,2,0,0,0,0,0,0,0}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11</c:v>
                </c:pt>
                <c:pt idx="8">
                  <c:v>169</c:v>
                </c:pt>
                <c:pt idx="9">
                  <c:v>1057</c:v>
                </c:pt>
                <c:pt idx="10">
                  <c:v>1713</c:v>
                </c:pt>
                <c:pt idx="11">
                  <c:v>546</c:v>
                </c:pt>
                <c:pt idx="12">
                  <c:v>31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988056"/>
        <c:axId val="-2129985128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5.81093809796438E-37,4.63951291473421E-30,7.27264030261634E-24,2.23823551272276E-18,1.35242220716672E-13,1.60439939126383E-09,3.73686355725412E-06,0.00170881586477455,0.153418088714321,2.70427680222286,9.3587746829932,6.35887246128834,0.848270788332064,0.0222168346494056,0.000114241297788295,1.15333998155834E-07,2.2860453471677E-11,8.89622193344127E-16,6.79703725711226E-21,1.01959328450157E-26,0}</c:f>
              <c:numCache>
                <c:formatCode>General</c:formatCode>
                <c:ptCount val="21"/>
                <c:pt idx="0">
                  <c:v>5.81093809796438e-37</c:v>
                </c:pt>
                <c:pt idx="1">
                  <c:v>4.63951291473421e-30</c:v>
                </c:pt>
                <c:pt idx="2">
                  <c:v>7.27264030261634e-24</c:v>
                </c:pt>
                <c:pt idx="3">
                  <c:v>2.23823551272276e-18</c:v>
                </c:pt>
                <c:pt idx="4">
                  <c:v>1.35242220716672e-13</c:v>
                </c:pt>
                <c:pt idx="5">
                  <c:v>1.60439939126383e-9</c:v>
                </c:pt>
                <c:pt idx="6">
                  <c:v>3.73686355725412e-6</c:v>
                </c:pt>
                <c:pt idx="7">
                  <c:v>0.00170881586477455</c:v>
                </c:pt>
                <c:pt idx="8">
                  <c:v>0.153418088714321</c:v>
                </c:pt>
                <c:pt idx="9">
                  <c:v>2.70427680222286</c:v>
                </c:pt>
                <c:pt idx="10">
                  <c:v>9.3587746829932</c:v>
                </c:pt>
                <c:pt idx="11">
                  <c:v>6.35887246128834</c:v>
                </c:pt>
                <c:pt idx="12">
                  <c:v>0.848270788332064</c:v>
                </c:pt>
                <c:pt idx="13">
                  <c:v>0.0222168346494056</c:v>
                </c:pt>
                <c:pt idx="14">
                  <c:v>0.000114241297788295</c:v>
                </c:pt>
                <c:pt idx="15">
                  <c:v>1.15333998155834e-7</c:v>
                </c:pt>
                <c:pt idx="16">
                  <c:v>2.2860453471677e-11</c:v>
                </c:pt>
                <c:pt idx="17">
                  <c:v>8.89622193344127e-16</c:v>
                </c:pt>
                <c:pt idx="18">
                  <c:v>6.79703725711226e-21</c:v>
                </c:pt>
                <c:pt idx="19">
                  <c:v>1.01959328450157e-26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78360"/>
        <c:axId val="-2129981416"/>
      </c:scatterChart>
      <c:catAx>
        <c:axId val="-212998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85128"/>
        <c:crosses val="autoZero"/>
        <c:auto val="1"/>
        <c:lblAlgn val="ctr"/>
        <c:lblOffset val="100"/>
        <c:noMultiLvlLbl val="0"/>
      </c:catAx>
      <c:valAx>
        <c:axId val="-2129985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88056"/>
        <c:crosses val="autoZero"/>
        <c:crossBetween val="between"/>
      </c:valAx>
      <c:valAx>
        <c:axId val="-2129978360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981416"/>
        <c:crosses val="autoZero"/>
        <c:crossBetween val="midCat"/>
      </c:valAx>
      <c:valAx>
        <c:axId val="-2129981416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78360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{24.46,25.12,25.78,26.44,27.1,27.76,28.42,29.08,29.74,30.4,31.06,31.72,32.38,33.04,33.7,34.36,35.02,35.68,36.34,37,37.66}</c:f>
              <c:numCache>
                <c:formatCode>General</c:formatCode>
                <c:ptCount val="21"/>
                <c:pt idx="0">
                  <c:v>24.46</c:v>
                </c:pt>
                <c:pt idx="1">
                  <c:v>25.12</c:v>
                </c:pt>
                <c:pt idx="2">
                  <c:v>25.78</c:v>
                </c:pt>
                <c:pt idx="3">
                  <c:v>26.44</c:v>
                </c:pt>
                <c:pt idx="4">
                  <c:v>27.1</c:v>
                </c:pt>
                <c:pt idx="5">
                  <c:v>27.76</c:v>
                </c:pt>
                <c:pt idx="6">
                  <c:v>28.42</c:v>
                </c:pt>
                <c:pt idx="7">
                  <c:v>29.08</c:v>
                </c:pt>
                <c:pt idx="8">
                  <c:v>29.74</c:v>
                </c:pt>
                <c:pt idx="9">
                  <c:v>30.4</c:v>
                </c:pt>
                <c:pt idx="10">
                  <c:v>31.06</c:v>
                </c:pt>
                <c:pt idx="11">
                  <c:v>31.72</c:v>
                </c:pt>
                <c:pt idx="12">
                  <c:v>32.38</c:v>
                </c:pt>
                <c:pt idx="13">
                  <c:v>33.04</c:v>
                </c:pt>
                <c:pt idx="14">
                  <c:v>33.7</c:v>
                </c:pt>
                <c:pt idx="15">
                  <c:v>34.36</c:v>
                </c:pt>
                <c:pt idx="16">
                  <c:v>35.02</c:v>
                </c:pt>
                <c:pt idx="17">
                  <c:v>35.68</c:v>
                </c:pt>
                <c:pt idx="18">
                  <c:v>36.34</c:v>
                </c:pt>
                <c:pt idx="19">
                  <c:v>37</c:v>
                </c:pt>
                <c:pt idx="20">
                  <c:v>37.66</c:v>
                </c:pt>
              </c:numCache>
            </c:numRef>
          </c:cat>
          <c:val>
            <c:numRef>
              <c:f>{0,0,0,8,34,96,321,513,661,670,532,347,220,82,29,15,4,1,0,0,0}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34</c:v>
                </c:pt>
                <c:pt idx="5">
                  <c:v>96</c:v>
                </c:pt>
                <c:pt idx="6">
                  <c:v>321</c:v>
                </c:pt>
                <c:pt idx="7">
                  <c:v>513</c:v>
                </c:pt>
                <c:pt idx="8">
                  <c:v>661</c:v>
                </c:pt>
                <c:pt idx="9">
                  <c:v>670</c:v>
                </c:pt>
                <c:pt idx="10">
                  <c:v>532</c:v>
                </c:pt>
                <c:pt idx="11">
                  <c:v>347</c:v>
                </c:pt>
                <c:pt idx="12">
                  <c:v>220</c:v>
                </c:pt>
                <c:pt idx="13">
                  <c:v>82</c:v>
                </c:pt>
                <c:pt idx="14">
                  <c:v>29</c:v>
                </c:pt>
                <c:pt idx="15">
                  <c:v>15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917752"/>
        <c:axId val="-2129914744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0.0000087014015735969,0.0000730455824053517,0.000481303626284081,0.00248922838681202,0.0101048713734125,0.0321971379174532,0.0805237848269971,0.158070754020067,0.243556264066542,0.294555757523322,0.279612229208326,0.208336441214084,0.121841364554471,0.0559299847141971,0.0201518573661187,0.00569909496897602,0.00126507752735167,0.000220418895366706,0.0000301440037842765,3.23573899819548E-06,0}</c:f>
              <c:numCache>
                <c:formatCode>General</c:formatCode>
                <c:ptCount val="21"/>
                <c:pt idx="0">
                  <c:v>8.7014015735969e-6</c:v>
                </c:pt>
                <c:pt idx="1">
                  <c:v>7.30455824053517e-5</c:v>
                </c:pt>
                <c:pt idx="2">
                  <c:v>0.000481303626284081</c:v>
                </c:pt>
                <c:pt idx="3">
                  <c:v>0.00248922838681202</c:v>
                </c:pt>
                <c:pt idx="4">
                  <c:v>0.0101048713734125</c:v>
                </c:pt>
                <c:pt idx="5">
                  <c:v>0.0321971379174532</c:v>
                </c:pt>
                <c:pt idx="6">
                  <c:v>0.0805237848269971</c:v>
                </c:pt>
                <c:pt idx="7">
                  <c:v>0.158070754020067</c:v>
                </c:pt>
                <c:pt idx="8">
                  <c:v>0.243556264066542</c:v>
                </c:pt>
                <c:pt idx="9">
                  <c:v>0.294555757523322</c:v>
                </c:pt>
                <c:pt idx="10">
                  <c:v>0.279612229208326</c:v>
                </c:pt>
                <c:pt idx="11">
                  <c:v>0.208336441214084</c:v>
                </c:pt>
                <c:pt idx="12">
                  <c:v>0.121841364554471</c:v>
                </c:pt>
                <c:pt idx="13">
                  <c:v>0.0559299847141971</c:v>
                </c:pt>
                <c:pt idx="14">
                  <c:v>0.0201518573661187</c:v>
                </c:pt>
                <c:pt idx="15">
                  <c:v>0.00569909496897602</c:v>
                </c:pt>
                <c:pt idx="16">
                  <c:v>0.00126507752735167</c:v>
                </c:pt>
                <c:pt idx="17">
                  <c:v>0.000220418895366706</c:v>
                </c:pt>
                <c:pt idx="18">
                  <c:v>3.01440037842765e-5</c:v>
                </c:pt>
                <c:pt idx="19">
                  <c:v>3.23573899819548e-6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908216"/>
        <c:axId val="-2129911272"/>
      </c:scatterChart>
      <c:catAx>
        <c:axId val="-2129917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14744"/>
        <c:crosses val="autoZero"/>
        <c:auto val="1"/>
        <c:lblAlgn val="ctr"/>
        <c:lblOffset val="100"/>
        <c:noMultiLvlLbl val="0"/>
      </c:catAx>
      <c:valAx>
        <c:axId val="-21299147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17752"/>
        <c:crosses val="autoZero"/>
        <c:crossBetween val="between"/>
      </c:valAx>
      <c:valAx>
        <c:axId val="-2129908216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911272"/>
        <c:crosses val="autoZero"/>
        <c:crossBetween val="midCat"/>
      </c:valAx>
      <c:valAx>
        <c:axId val="-2129911272"/>
        <c:scaling>
          <c:orientation val="minMax"/>
          <c:max val="0.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908216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{34.83,35.49,36.15,36.81,37.47,38.13,38.79,39.45,40.11,40.77,41.43,42.09,42.75,43.41,44.07,44.73,45.39,46.05,46.71,47.37,48.03}</c:f>
              <c:numCache>
                <c:formatCode>General</c:formatCode>
                <c:ptCount val="21"/>
                <c:pt idx="0">
                  <c:v>34.83</c:v>
                </c:pt>
                <c:pt idx="1">
                  <c:v>35.49</c:v>
                </c:pt>
                <c:pt idx="2">
                  <c:v>36.15</c:v>
                </c:pt>
                <c:pt idx="3">
                  <c:v>36.81</c:v>
                </c:pt>
                <c:pt idx="4">
                  <c:v>37.47</c:v>
                </c:pt>
                <c:pt idx="5">
                  <c:v>38.13</c:v>
                </c:pt>
                <c:pt idx="6">
                  <c:v>38.79</c:v>
                </c:pt>
                <c:pt idx="7">
                  <c:v>39.45</c:v>
                </c:pt>
                <c:pt idx="8">
                  <c:v>40.11</c:v>
                </c:pt>
                <c:pt idx="9">
                  <c:v>40.77</c:v>
                </c:pt>
                <c:pt idx="10">
                  <c:v>41.43</c:v>
                </c:pt>
                <c:pt idx="11">
                  <c:v>42.09</c:v>
                </c:pt>
                <c:pt idx="12">
                  <c:v>42.75</c:v>
                </c:pt>
                <c:pt idx="13">
                  <c:v>43.41</c:v>
                </c:pt>
                <c:pt idx="14">
                  <c:v>44.07</c:v>
                </c:pt>
                <c:pt idx="15">
                  <c:v>44.73</c:v>
                </c:pt>
                <c:pt idx="16">
                  <c:v>45.39</c:v>
                </c:pt>
                <c:pt idx="17">
                  <c:v>46.05</c:v>
                </c:pt>
                <c:pt idx="18">
                  <c:v>46.71</c:v>
                </c:pt>
                <c:pt idx="19">
                  <c:v>47.37</c:v>
                </c:pt>
                <c:pt idx="20">
                  <c:v>48.03</c:v>
                </c:pt>
              </c:numCache>
            </c:numRef>
          </c:cat>
          <c:val>
            <c:numRef>
              <c:f>{0,0,0,3,6,10,26,99,269,553,727,735,538,350,151,52,8,5,1,0,0}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10</c:v>
                </c:pt>
                <c:pt idx="6">
                  <c:v>26</c:v>
                </c:pt>
                <c:pt idx="7">
                  <c:v>99</c:v>
                </c:pt>
                <c:pt idx="8">
                  <c:v>269</c:v>
                </c:pt>
                <c:pt idx="9">
                  <c:v>553</c:v>
                </c:pt>
                <c:pt idx="10">
                  <c:v>727</c:v>
                </c:pt>
                <c:pt idx="11">
                  <c:v>735</c:v>
                </c:pt>
                <c:pt idx="12">
                  <c:v>538</c:v>
                </c:pt>
                <c:pt idx="13">
                  <c:v>350</c:v>
                </c:pt>
                <c:pt idx="14">
                  <c:v>151</c:v>
                </c:pt>
                <c:pt idx="15">
                  <c:v>52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850920"/>
        <c:axId val="-212984791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5.27342645834743E-09,1.14695839960287E-07,1.86696342069251E-06,0.0000227435011921065,0.000207353898550741,0.00141481761618217,0.0072247376696954,0.0276106783426436,0.0789706005922365,0.169039101492798,0.270796022180199,0.324661473784156,0.291308127277981,0.195617550796308,0.0983097073188748,0.0369758664467058,0.010408153441237,0.00219261501117726,0.000345688116451255,0.0000407887022419318,0}</c:f>
              <c:numCache>
                <c:formatCode>General</c:formatCode>
                <c:ptCount val="21"/>
                <c:pt idx="0">
                  <c:v>5.27342645834743e-9</c:v>
                </c:pt>
                <c:pt idx="1">
                  <c:v>1.14695839960287e-7</c:v>
                </c:pt>
                <c:pt idx="2">
                  <c:v>1.86696342069251e-6</c:v>
                </c:pt>
                <c:pt idx="3">
                  <c:v>2.27435011921065e-5</c:v>
                </c:pt>
                <c:pt idx="4">
                  <c:v>0.000207353898550741</c:v>
                </c:pt>
                <c:pt idx="5">
                  <c:v>0.00141481761618217</c:v>
                </c:pt>
                <c:pt idx="6">
                  <c:v>0.0072247376696954</c:v>
                </c:pt>
                <c:pt idx="7">
                  <c:v>0.0276106783426436</c:v>
                </c:pt>
                <c:pt idx="8">
                  <c:v>0.0789706005922365</c:v>
                </c:pt>
                <c:pt idx="9">
                  <c:v>0.169039101492798</c:v>
                </c:pt>
                <c:pt idx="10">
                  <c:v>0.270796022180199</c:v>
                </c:pt>
                <c:pt idx="11">
                  <c:v>0.324661473784156</c:v>
                </c:pt>
                <c:pt idx="12">
                  <c:v>0.291308127277981</c:v>
                </c:pt>
                <c:pt idx="13">
                  <c:v>0.195617550796308</c:v>
                </c:pt>
                <c:pt idx="14">
                  <c:v>0.0983097073188748</c:v>
                </c:pt>
                <c:pt idx="15">
                  <c:v>0.0369758664467058</c:v>
                </c:pt>
                <c:pt idx="16">
                  <c:v>0.010408153441237</c:v>
                </c:pt>
                <c:pt idx="17">
                  <c:v>0.00219261501117726</c:v>
                </c:pt>
                <c:pt idx="18">
                  <c:v>0.000345688116451255</c:v>
                </c:pt>
                <c:pt idx="19">
                  <c:v>4.07887022419318e-5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{0,0.4}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41384"/>
        <c:axId val="-2129844440"/>
      </c:scatterChart>
      <c:catAx>
        <c:axId val="-212985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47912"/>
        <c:crosses val="autoZero"/>
        <c:auto val="1"/>
        <c:lblAlgn val="ctr"/>
        <c:lblOffset val="100"/>
        <c:noMultiLvlLbl val="0"/>
      </c:catAx>
      <c:valAx>
        <c:axId val="-21298479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50920"/>
        <c:crosses val="autoZero"/>
        <c:crossBetween val="between"/>
      </c:valAx>
      <c:valAx>
        <c:axId val="-212984138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844440"/>
        <c:crosses val="autoZero"/>
        <c:crossBetween val="midCat"/>
      </c:valAx>
      <c:valAx>
        <c:axId val="-2129844440"/>
        <c:scaling>
          <c:orientation val="minMax"/>
          <c:max val="0.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84138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{1.95,1.98,2.01,2.04,2.07,2.1,2.13,2.16,2.19,2.22,2.25,2.28,2.31,2.34,2.37,2.4,2.43,2.46,2.49,2.52,2.55}</c:f>
              <c:numCache>
                <c:formatCode>General</c:formatCode>
                <c:ptCount val="21"/>
                <c:pt idx="0">
                  <c:v>1.95</c:v>
                </c:pt>
                <c:pt idx="1">
                  <c:v>1.98</c:v>
                </c:pt>
                <c:pt idx="2">
                  <c:v>2.01</c:v>
                </c:pt>
                <c:pt idx="3">
                  <c:v>2.04</c:v>
                </c:pt>
                <c:pt idx="4">
                  <c:v>2.07</c:v>
                </c:pt>
                <c:pt idx="5">
                  <c:v>2.1</c:v>
                </c:pt>
                <c:pt idx="6">
                  <c:v>2.13</c:v>
                </c:pt>
                <c:pt idx="7">
                  <c:v>2.16</c:v>
                </c:pt>
                <c:pt idx="8">
                  <c:v>2.19</c:v>
                </c:pt>
                <c:pt idx="9">
                  <c:v>2.22</c:v>
                </c:pt>
                <c:pt idx="10">
                  <c:v>2.25</c:v>
                </c:pt>
                <c:pt idx="11">
                  <c:v>2.28</c:v>
                </c:pt>
                <c:pt idx="12">
                  <c:v>2.31</c:v>
                </c:pt>
                <c:pt idx="13">
                  <c:v>2.34</c:v>
                </c:pt>
                <c:pt idx="14">
                  <c:v>2.37</c:v>
                </c:pt>
                <c:pt idx="15">
                  <c:v>2.4</c:v>
                </c:pt>
                <c:pt idx="16">
                  <c:v>2.43</c:v>
                </c:pt>
                <c:pt idx="17">
                  <c:v>2.46</c:v>
                </c:pt>
                <c:pt idx="18">
                  <c:v>2.49</c:v>
                </c:pt>
                <c:pt idx="19">
                  <c:v>2.52</c:v>
                </c:pt>
                <c:pt idx="20">
                  <c:v>2.55</c:v>
                </c:pt>
              </c:numCache>
            </c:numRef>
          </c:cat>
          <c:val>
            <c:numRef>
              <c:f>{0,0,0,7,11,19,55,156,324,497,613,597,517,334,199,119,59,21,5,0,0}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11</c:v>
                </c:pt>
                <c:pt idx="5">
                  <c:v>19</c:v>
                </c:pt>
                <c:pt idx="6">
                  <c:v>55</c:v>
                </c:pt>
                <c:pt idx="7">
                  <c:v>156</c:v>
                </c:pt>
                <c:pt idx="8">
                  <c:v>324</c:v>
                </c:pt>
                <c:pt idx="9">
                  <c:v>497</c:v>
                </c:pt>
                <c:pt idx="10">
                  <c:v>613</c:v>
                </c:pt>
                <c:pt idx="11">
                  <c:v>597</c:v>
                </c:pt>
                <c:pt idx="12">
                  <c:v>517</c:v>
                </c:pt>
                <c:pt idx="13">
                  <c:v>334</c:v>
                </c:pt>
                <c:pt idx="14">
                  <c:v>199</c:v>
                </c:pt>
                <c:pt idx="15">
                  <c:v>119</c:v>
                </c:pt>
                <c:pt idx="16">
                  <c:v>59</c:v>
                </c:pt>
                <c:pt idx="17">
                  <c:v>21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783688"/>
        <c:axId val="-2129780680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0.0000382737971291567,0.000292708779656247,0.00185105953760742,0.00967955759572278,0.0418543869363167,0.149650065723109,0.442449181296888,1.08168370924661,2.18669187650547,3.65531916425065,5.05258262762382,5.77499955260553,5.45809253920637,4.26560113863909,2.75657619877636,1.47302517606956,0.650879729673499,0.237816362854214,0.0718511437341744,0.017950486021768,0}</c:f>
              <c:numCache>
                <c:formatCode>General</c:formatCode>
                <c:ptCount val="21"/>
                <c:pt idx="0">
                  <c:v>3.82737971291567e-5</c:v>
                </c:pt>
                <c:pt idx="1">
                  <c:v>0.000292708779656247</c:v>
                </c:pt>
                <c:pt idx="2">
                  <c:v>0.00185105953760742</c:v>
                </c:pt>
                <c:pt idx="3">
                  <c:v>0.00967955759572278</c:v>
                </c:pt>
                <c:pt idx="4">
                  <c:v>0.0418543869363167</c:v>
                </c:pt>
                <c:pt idx="5">
                  <c:v>0.149650065723109</c:v>
                </c:pt>
                <c:pt idx="6">
                  <c:v>0.442449181296888</c:v>
                </c:pt>
                <c:pt idx="7">
                  <c:v>1.08168370924661</c:v>
                </c:pt>
                <c:pt idx="8">
                  <c:v>2.18669187650547</c:v>
                </c:pt>
                <c:pt idx="9">
                  <c:v>3.65531916425065</c:v>
                </c:pt>
                <c:pt idx="10">
                  <c:v>5.05258262762382</c:v>
                </c:pt>
                <c:pt idx="11">
                  <c:v>5.77499955260553</c:v>
                </c:pt>
                <c:pt idx="12">
                  <c:v>5.45809253920637</c:v>
                </c:pt>
                <c:pt idx="13">
                  <c:v>4.26560113863909</c:v>
                </c:pt>
                <c:pt idx="14">
                  <c:v>2.75657619877636</c:v>
                </c:pt>
                <c:pt idx="15">
                  <c:v>1.47302517606956</c:v>
                </c:pt>
                <c:pt idx="16">
                  <c:v>0.650879729673499</c:v>
                </c:pt>
                <c:pt idx="17">
                  <c:v>0.237816362854214</c:v>
                </c:pt>
                <c:pt idx="18">
                  <c:v>0.0718511437341744</c:v>
                </c:pt>
                <c:pt idx="19">
                  <c:v>0.017950486021768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74152"/>
        <c:axId val="-2129777208"/>
      </c:scatterChart>
      <c:catAx>
        <c:axId val="-212978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80680"/>
        <c:crosses val="autoZero"/>
        <c:auto val="1"/>
        <c:lblAlgn val="ctr"/>
        <c:lblOffset val="100"/>
        <c:noMultiLvlLbl val="0"/>
      </c:catAx>
      <c:valAx>
        <c:axId val="-21297806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83688"/>
        <c:crosses val="autoZero"/>
        <c:crossBetween val="between"/>
      </c:valAx>
      <c:valAx>
        <c:axId val="-2129774152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777208"/>
        <c:crosses val="autoZero"/>
        <c:crossBetween val="midCat"/>
      </c:valAx>
      <c:valAx>
        <c:axId val="-212977720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74152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ln w="6350">
              <a:solidFill>
                <a:srgbClr val="4F81BD"/>
              </a:solidFill>
              <a:prstDash val="solid"/>
            </a:ln>
          </c:spPr>
          <c:invertIfNegative val="0"/>
          <c:dLbls>
            <c:delete val="1"/>
          </c:dLbls>
          <c:cat>
            <c:numRef>
              <c:f>{1.95,1.98,2.01,2.04,2.07,2.1,2.13,2.16,2.19,2.22,2.25,2.28,2.31,2.34,2.37,2.4,2.43,2.46,2.49,2.52,2.55}</c:f>
              <c:numCache>
                <c:formatCode>General</c:formatCode>
                <c:ptCount val="21"/>
                <c:pt idx="0">
                  <c:v>1.95</c:v>
                </c:pt>
                <c:pt idx="1">
                  <c:v>1.98</c:v>
                </c:pt>
                <c:pt idx="2">
                  <c:v>2.01</c:v>
                </c:pt>
                <c:pt idx="3">
                  <c:v>2.04</c:v>
                </c:pt>
                <c:pt idx="4">
                  <c:v>2.07</c:v>
                </c:pt>
                <c:pt idx="5">
                  <c:v>2.1</c:v>
                </c:pt>
                <c:pt idx="6">
                  <c:v>2.13</c:v>
                </c:pt>
                <c:pt idx="7">
                  <c:v>2.16</c:v>
                </c:pt>
                <c:pt idx="8">
                  <c:v>2.19</c:v>
                </c:pt>
                <c:pt idx="9">
                  <c:v>2.22</c:v>
                </c:pt>
                <c:pt idx="10">
                  <c:v>2.25</c:v>
                </c:pt>
                <c:pt idx="11">
                  <c:v>2.28</c:v>
                </c:pt>
                <c:pt idx="12">
                  <c:v>2.31</c:v>
                </c:pt>
                <c:pt idx="13">
                  <c:v>2.34</c:v>
                </c:pt>
                <c:pt idx="14">
                  <c:v>2.37</c:v>
                </c:pt>
                <c:pt idx="15">
                  <c:v>2.4</c:v>
                </c:pt>
                <c:pt idx="16">
                  <c:v>2.43</c:v>
                </c:pt>
                <c:pt idx="17">
                  <c:v>2.46</c:v>
                </c:pt>
                <c:pt idx="18">
                  <c:v>2.49</c:v>
                </c:pt>
                <c:pt idx="19">
                  <c:v>2.52</c:v>
                </c:pt>
                <c:pt idx="20">
                  <c:v>2.55</c:v>
                </c:pt>
              </c:numCache>
            </c:numRef>
          </c:cat>
          <c:val>
            <c:numRef>
              <c:f>{0,0,3,4,18,34,108,218,409,550,584,600,447,270,156,76,40,14,2,0,0}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18</c:v>
                </c:pt>
                <c:pt idx="5">
                  <c:v>34</c:v>
                </c:pt>
                <c:pt idx="6">
                  <c:v>108</c:v>
                </c:pt>
                <c:pt idx="7">
                  <c:v>218</c:v>
                </c:pt>
                <c:pt idx="8">
                  <c:v>409</c:v>
                </c:pt>
                <c:pt idx="9">
                  <c:v>550</c:v>
                </c:pt>
                <c:pt idx="10">
                  <c:v>584</c:v>
                </c:pt>
                <c:pt idx="11">
                  <c:v>600</c:v>
                </c:pt>
                <c:pt idx="12">
                  <c:v>447</c:v>
                </c:pt>
                <c:pt idx="13">
                  <c:v>270</c:v>
                </c:pt>
                <c:pt idx="14">
                  <c:v>156</c:v>
                </c:pt>
                <c:pt idx="15">
                  <c:v>76</c:v>
                </c:pt>
                <c:pt idx="16">
                  <c:v>40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2129716360"/>
        <c:axId val="-2129713352"/>
      </c:barChart>
      <c:scatterChart>
        <c:scatterStyle val="smooth"/>
        <c:varyColors val="0"/>
        <c:ser>
          <c:idx val="1"/>
          <c:order val="1"/>
          <c:spPr>
            <a:ln w="25400" cap="rnd" cmpd="sng" algn="ctr">
              <a:solidFill>
                <a:srgbClr val="00FF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yVal>
            <c:numRef>
              <c:f>{0.00010977409155336,0.00075596862944514,0.00431211791811764,0.0203732565829446,0.0797284158159451,0.258433469169305,0.693852918124396,1.54301085989917,2.8421922323368,4.33631492814613,5.47988046370083,5.73593546402844,4.97302141771241,3.57124220023634,2.12422825899916,1.0465644084052,0.427084334954998,0.144359119747088,0.0404164626260252,0.00937249979024852,0}</c:f>
              <c:numCache>
                <c:formatCode>General</c:formatCode>
                <c:ptCount val="21"/>
                <c:pt idx="0">
                  <c:v>0.00010977409155336</c:v>
                </c:pt>
                <c:pt idx="1">
                  <c:v>0.00075596862944514</c:v>
                </c:pt>
                <c:pt idx="2">
                  <c:v>0.00431211791811764</c:v>
                </c:pt>
                <c:pt idx="3">
                  <c:v>0.0203732565829446</c:v>
                </c:pt>
                <c:pt idx="4">
                  <c:v>0.0797284158159451</c:v>
                </c:pt>
                <c:pt idx="5">
                  <c:v>0.258433469169305</c:v>
                </c:pt>
                <c:pt idx="6">
                  <c:v>0.693852918124396</c:v>
                </c:pt>
                <c:pt idx="7">
                  <c:v>1.54301085989917</c:v>
                </c:pt>
                <c:pt idx="8">
                  <c:v>2.8421922323368</c:v>
                </c:pt>
                <c:pt idx="9">
                  <c:v>4.33631492814613</c:v>
                </c:pt>
                <c:pt idx="10">
                  <c:v>5.47988046370083</c:v>
                </c:pt>
                <c:pt idx="11">
                  <c:v>5.73593546402844</c:v>
                </c:pt>
                <c:pt idx="12">
                  <c:v>4.97302141771241</c:v>
                </c:pt>
                <c:pt idx="13">
                  <c:v>3.57124220023634</c:v>
                </c:pt>
                <c:pt idx="14">
                  <c:v>2.12422825899916</c:v>
                </c:pt>
                <c:pt idx="15">
                  <c:v>1.0465644084052</c:v>
                </c:pt>
                <c:pt idx="16">
                  <c:v>0.427084334954998</c:v>
                </c:pt>
                <c:pt idx="17">
                  <c:v>0.144359119747088</c:v>
                </c:pt>
                <c:pt idx="18">
                  <c:v>0.0404164626260252</c:v>
                </c:pt>
                <c:pt idx="19">
                  <c:v>0.00937249979024852</c:v>
                </c:pt>
                <c:pt idx="20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{2,2}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3"/>
          <c:order val="3"/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{11,11}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ser>
          <c:idx val="4"/>
          <c:order val="4"/>
          <c:spPr>
            <a:ln w="12700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{19,19}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{0,10}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706824"/>
        <c:axId val="-2129709880"/>
      </c:scatterChart>
      <c:catAx>
        <c:axId val="-212971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6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13352"/>
        <c:crosses val="autoZero"/>
        <c:auto val="1"/>
        <c:lblAlgn val="ctr"/>
        <c:lblOffset val="100"/>
        <c:noMultiLvlLbl val="0"/>
      </c:catAx>
      <c:valAx>
        <c:axId val="-2129713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16360"/>
        <c:crosses val="autoZero"/>
        <c:crossBetween val="between"/>
      </c:valAx>
      <c:valAx>
        <c:axId val="-2129706824"/>
        <c:scaling>
          <c:orientation val="minMax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-2129709880"/>
        <c:crosses val="autoZero"/>
        <c:crossBetween val="midCat"/>
      </c:valAx>
      <c:valAx>
        <c:axId val="-212970988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500" b="0" i="0" u="none" strike="noStrike" kern="1200" baseline="0">
                <a:solidFill>
                  <a:schemeClr val="tx1"/>
                </a:solidFill>
                <a:latin typeface="Helvetica Light"/>
                <a:ea typeface="Helvetica Light"/>
                <a:cs typeface="Helvetica Light"/>
              </a:defRPr>
            </a:pPr>
          </a:p>
        </c:txPr>
        <c:crossAx val="-2129706824"/>
        <c:crosses val="max"/>
        <c:crossBetween val="midCat"/>
      </c:valAx>
      <c:spPr>
        <a:ln>
          <a:solidFill>
            <a:sysClr val="window" lastClr="FFFFFF">
              <a:lumMod val="65000"/>
            </a:sysClr>
          </a:solidFill>
        </a:ln>
      </c:spPr>
    </c:plotArea>
    <c:plotVisOnly val="1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9" Type="http://schemas.openxmlformats.org/officeDocument/2006/relationships/chart" Target="../charts/chart9.xml"/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3" Type="http://schemas.openxmlformats.org/officeDocument/2006/relationships/image" Target="../media/image1.png"/><Relationship Id="rId22" Type="http://schemas.openxmlformats.org/officeDocument/2006/relationships/chart" Target="../charts/chart22.xml"/><Relationship Id="rId21" Type="http://schemas.openxmlformats.org/officeDocument/2006/relationships/chart" Target="../charts/chart21.xml"/><Relationship Id="rId20" Type="http://schemas.openxmlformats.org/officeDocument/2006/relationships/chart" Target="../charts/chart20.xml"/><Relationship Id="rId2" Type="http://schemas.openxmlformats.org/officeDocument/2006/relationships/chart" Target="../charts/chart2.xml"/><Relationship Id="rId19" Type="http://schemas.openxmlformats.org/officeDocument/2006/relationships/chart" Target="../charts/chart19.xml"/><Relationship Id="rId18" Type="http://schemas.openxmlformats.org/officeDocument/2006/relationships/chart" Target="../charts/chart18.xml"/><Relationship Id="rId17" Type="http://schemas.openxmlformats.org/officeDocument/2006/relationships/chart" Target="../charts/chart17.xml"/><Relationship Id="rId16" Type="http://schemas.openxmlformats.org/officeDocument/2006/relationships/chart" Target="../charts/chart16.xml"/><Relationship Id="rId15" Type="http://schemas.openxmlformats.org/officeDocument/2006/relationships/chart" Target="../charts/chart15.xml"/><Relationship Id="rId14" Type="http://schemas.openxmlformats.org/officeDocument/2006/relationships/chart" Target="../charts/chart14.xml"/><Relationship Id="rId13" Type="http://schemas.openxmlformats.org/officeDocument/2006/relationships/chart" Target="../charts/chart13.xml"/><Relationship Id="rId12" Type="http://schemas.openxmlformats.org/officeDocument/2006/relationships/chart" Target="../charts/chart12.xml"/><Relationship Id="rId11" Type="http://schemas.openxmlformats.org/officeDocument/2006/relationships/chart" Target="../charts/chart11.xml"/><Relationship Id="rId10" Type="http://schemas.openxmlformats.org/officeDocument/2006/relationships/chart" Target="../charts/chart10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3</xdr:col>
          <xdr:colOff>1079500</xdr:colOff>
          <xdr:row>2</xdr:row>
          <xdr:rowOff>76200</xdr:rowOff>
        </xdr:to>
        <xdr:sp macro="[0]!updateNormForm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760730" y="292100"/>
              <a:ext cx="174307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Update Normality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1130300</xdr:colOff>
          <xdr:row>1</xdr:row>
          <xdr:rowOff>12700</xdr:rowOff>
        </xdr:from>
        <xdr:to>
          <xdr:col>5</xdr:col>
          <xdr:colOff>406400</xdr:colOff>
          <xdr:row>2</xdr:row>
          <xdr:rowOff>76200</xdr:rowOff>
        </xdr:to>
        <xdr:sp macro="[0]!showAddShtFrm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2554605" y="292100"/>
              <a:ext cx="270827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Manage Data Tabs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1</xdr:row>
          <xdr:rowOff>12700</xdr:rowOff>
        </xdr:from>
        <xdr:to>
          <xdr:col>7</xdr:col>
          <xdr:colOff>330200</xdr:colOff>
          <xdr:row>2</xdr:row>
          <xdr:rowOff>76200</xdr:rowOff>
        </xdr:to>
        <xdr:sp macro="[0]!showExportFrm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5300980" y="292100"/>
              <a:ext cx="1339215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Export Data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12700</xdr:rowOff>
        </xdr:from>
        <xdr:to>
          <xdr:col>9</xdr:col>
          <xdr:colOff>571500</xdr:colOff>
          <xdr:row>2</xdr:row>
          <xdr:rowOff>76200</xdr:rowOff>
        </xdr:to>
        <xdr:sp macro="[0]!showImport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6678295" y="292100"/>
              <a:ext cx="1642110" cy="2413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Import Report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</xdr:row>
          <xdr:rowOff>12700</xdr:rowOff>
        </xdr:from>
        <xdr:to>
          <xdr:col>12</xdr:col>
          <xdr:colOff>292100</xdr:colOff>
          <xdr:row>2</xdr:row>
          <xdr:rowOff>63500</xdr:rowOff>
        </xdr:to>
        <xdr:sp macro="[0]!detectOutliers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8450580" y="292100"/>
              <a:ext cx="16192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Detect Outliers</a:t>
              </a:r>
              <a:endParaRPr lang="en-US" sz="12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[0]!showUF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525270" y="0"/>
              <a:ext cx="152527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Dim Blocks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[0]!updateCircle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152527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Circles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sp macro="[0]!showClear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3978275" y="0"/>
              <a:ext cx="200787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ucida Grande" panose="020B0600040502020204" pitchFamily="2" charset="0"/>
                  <a:cs typeface="Lucida Grande" panose="020B0600040502020204" pitchFamily="2" charset="0"/>
                </a:rPr>
                <a:t>Drawing Tab Clean-up Options</a:t>
              </a:r>
              <a:endParaRPr lang="en-US" sz="800" b="0" i="0" u="none" strike="noStrike" baseline="0">
                <a:solidFill>
                  <a:srgbClr val="000000"/>
                </a:solidFill>
                <a:latin typeface="Lucida Grande" panose="020B0600040502020204" pitchFamily="2" charset="0"/>
                <a:cs typeface="Lucida Grande" panose="020B0600040502020204" pitchFamily="2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635000</xdr:colOff>
      <xdr:row>2</xdr:row>
      <xdr:rowOff>127000</xdr:rowOff>
    </xdr:from>
    <xdr:to>
      <xdr:col>1</xdr:col>
      <xdr:colOff>215900</xdr:colOff>
      <xdr:row>3</xdr:row>
      <xdr:rowOff>127000</xdr:rowOff>
    </xdr:to>
    <xdr:grpSp>
      <xdr:nvGrpSpPr>
        <xdr:cNvPr id="1484" name="11CircleGroup"/>
        <xdr:cNvGrpSpPr/>
      </xdr:nvGrpSpPr>
      <xdr:grpSpPr>
        <a:xfrm>
          <a:off x="635000" y="641350"/>
          <a:ext cx="343535" cy="257175"/>
          <a:chOff x="635000" y="635000"/>
          <a:chExt cx="254000" cy="254000"/>
        </a:xfrm>
      </xdr:grpSpPr>
      <xdr:sp>
        <xdr:nvSpPr>
          <xdr:cNvPr id="1481" name="11Circle"/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C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82" name="11CircleCover"/>
          <xdr:cNvSpPr/>
        </xdr:nvSpPr>
        <xdr:spPr>
          <a:xfrm>
            <a:off x="63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10</xdr:row>
      <xdr:rowOff>63500</xdr:rowOff>
    </xdr:from>
    <xdr:to>
      <xdr:col>1</xdr:col>
      <xdr:colOff>215900</xdr:colOff>
      <xdr:row>11</xdr:row>
      <xdr:rowOff>127000</xdr:rowOff>
    </xdr:to>
    <xdr:grpSp>
      <xdr:nvGrpSpPr>
        <xdr:cNvPr id="1488" name="12CircleGroup"/>
        <xdr:cNvGrpSpPr/>
      </xdr:nvGrpSpPr>
      <xdr:grpSpPr>
        <a:xfrm>
          <a:off x="635000" y="2399665"/>
          <a:ext cx="343535" cy="287020"/>
          <a:chOff x="635000" y="2159000"/>
          <a:chExt cx="254000" cy="254000"/>
        </a:xfrm>
      </xdr:grpSpPr>
      <xdr:sp>
        <xdr:nvSpPr>
          <xdr:cNvPr id="1485" name="12Circle"/>
          <xdr:cNvSpPr/>
        </xdr:nvSpPr>
        <xdr:spPr>
          <a:xfrm>
            <a:off x="63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D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86" name="12CircleCover"/>
          <xdr:cNvSpPr/>
        </xdr:nvSpPr>
        <xdr:spPr>
          <a:xfrm>
            <a:off x="63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18</xdr:row>
      <xdr:rowOff>63500</xdr:rowOff>
    </xdr:from>
    <xdr:to>
      <xdr:col>1</xdr:col>
      <xdr:colOff>215900</xdr:colOff>
      <xdr:row>19</xdr:row>
      <xdr:rowOff>127000</xdr:rowOff>
    </xdr:to>
    <xdr:grpSp>
      <xdr:nvGrpSpPr>
        <xdr:cNvPr id="1492" name="13CircleGroup"/>
        <xdr:cNvGrpSpPr/>
      </xdr:nvGrpSpPr>
      <xdr:grpSpPr>
        <a:xfrm>
          <a:off x="635000" y="4187825"/>
          <a:ext cx="343535" cy="287020"/>
          <a:chOff x="635000" y="3683000"/>
          <a:chExt cx="254000" cy="254000"/>
        </a:xfrm>
      </xdr:grpSpPr>
      <xdr:sp>
        <xdr:nvSpPr>
          <xdr:cNvPr id="1489" name="13Circle"/>
          <xdr:cNvSpPr/>
        </xdr:nvSpPr>
        <xdr:spPr>
          <a:xfrm>
            <a:off x="63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E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0" name="13CircleCover"/>
          <xdr:cNvSpPr/>
        </xdr:nvSpPr>
        <xdr:spPr>
          <a:xfrm>
            <a:off x="63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26</xdr:row>
      <xdr:rowOff>63500</xdr:rowOff>
    </xdr:from>
    <xdr:to>
      <xdr:col>1</xdr:col>
      <xdr:colOff>215900</xdr:colOff>
      <xdr:row>27</xdr:row>
      <xdr:rowOff>127000</xdr:rowOff>
    </xdr:to>
    <xdr:grpSp>
      <xdr:nvGrpSpPr>
        <xdr:cNvPr id="1496" name="14CircleGroup"/>
        <xdr:cNvGrpSpPr/>
      </xdr:nvGrpSpPr>
      <xdr:grpSpPr>
        <a:xfrm>
          <a:off x="635000" y="5975985"/>
          <a:ext cx="343535" cy="287020"/>
          <a:chOff x="635000" y="5207000"/>
          <a:chExt cx="254000" cy="254000"/>
        </a:xfrm>
      </xdr:grpSpPr>
      <xdr:sp>
        <xdr:nvSpPr>
          <xdr:cNvPr id="1493" name="14Circle"/>
          <xdr:cNvSpPr/>
        </xdr:nvSpPr>
        <xdr:spPr>
          <a:xfrm>
            <a:off x="63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F-1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4" name="14CircleCover"/>
          <xdr:cNvSpPr/>
        </xdr:nvSpPr>
        <xdr:spPr>
          <a:xfrm>
            <a:off x="63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34</xdr:row>
      <xdr:rowOff>63500</xdr:rowOff>
    </xdr:from>
    <xdr:to>
      <xdr:col>1</xdr:col>
      <xdr:colOff>215900</xdr:colOff>
      <xdr:row>35</xdr:row>
      <xdr:rowOff>127000</xdr:rowOff>
    </xdr:to>
    <xdr:grpSp>
      <xdr:nvGrpSpPr>
        <xdr:cNvPr id="1500" name="15CircleGroup"/>
        <xdr:cNvGrpSpPr/>
      </xdr:nvGrpSpPr>
      <xdr:grpSpPr>
        <a:xfrm>
          <a:off x="635000" y="7764145"/>
          <a:ext cx="343535" cy="287020"/>
          <a:chOff x="635000" y="6731000"/>
          <a:chExt cx="254000" cy="254000"/>
        </a:xfrm>
      </xdr:grpSpPr>
      <xdr:sp>
        <xdr:nvSpPr>
          <xdr:cNvPr id="1497" name="15Circle"/>
          <xdr:cNvSpPr/>
        </xdr:nvSpPr>
        <xdr:spPr>
          <a:xfrm>
            <a:off x="63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F-2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498" name="15CircleCover"/>
          <xdr:cNvSpPr/>
        </xdr:nvSpPr>
        <xdr:spPr>
          <a:xfrm>
            <a:off x="63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42</xdr:row>
      <xdr:rowOff>63500</xdr:rowOff>
    </xdr:from>
    <xdr:to>
      <xdr:col>1</xdr:col>
      <xdr:colOff>215900</xdr:colOff>
      <xdr:row>43</xdr:row>
      <xdr:rowOff>127000</xdr:rowOff>
    </xdr:to>
    <xdr:grpSp>
      <xdr:nvGrpSpPr>
        <xdr:cNvPr id="1504" name="16CircleGroup"/>
        <xdr:cNvGrpSpPr/>
      </xdr:nvGrpSpPr>
      <xdr:grpSpPr>
        <a:xfrm>
          <a:off x="635000" y="9552305"/>
          <a:ext cx="343535" cy="287020"/>
          <a:chOff x="635000" y="8255000"/>
          <a:chExt cx="254000" cy="254000"/>
        </a:xfrm>
      </xdr:grpSpPr>
      <xdr:sp>
        <xdr:nvSpPr>
          <xdr:cNvPr id="1501" name="16Circle"/>
          <xdr:cNvSpPr/>
        </xdr:nvSpPr>
        <xdr:spPr>
          <a:xfrm>
            <a:off x="63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G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02" name="16CircleCover"/>
          <xdr:cNvSpPr/>
        </xdr:nvSpPr>
        <xdr:spPr>
          <a:xfrm>
            <a:off x="63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50</xdr:row>
      <xdr:rowOff>63500</xdr:rowOff>
    </xdr:from>
    <xdr:to>
      <xdr:col>1</xdr:col>
      <xdr:colOff>215900</xdr:colOff>
      <xdr:row>51</xdr:row>
      <xdr:rowOff>127000</xdr:rowOff>
    </xdr:to>
    <xdr:grpSp>
      <xdr:nvGrpSpPr>
        <xdr:cNvPr id="1508" name="17CircleGroup"/>
        <xdr:cNvGrpSpPr/>
      </xdr:nvGrpSpPr>
      <xdr:grpSpPr>
        <a:xfrm>
          <a:off x="635000" y="11340465"/>
          <a:ext cx="343535" cy="287020"/>
          <a:chOff x="635000" y="9779000"/>
          <a:chExt cx="254000" cy="254000"/>
        </a:xfrm>
      </xdr:grpSpPr>
      <xdr:sp>
        <xdr:nvSpPr>
          <xdr:cNvPr id="1505" name="17Circle"/>
          <xdr:cNvSpPr/>
        </xdr:nvSpPr>
        <xdr:spPr>
          <a:xfrm>
            <a:off x="63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L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06" name="17CircleCover"/>
          <xdr:cNvSpPr/>
        </xdr:nvSpPr>
        <xdr:spPr>
          <a:xfrm>
            <a:off x="63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58</xdr:row>
      <xdr:rowOff>63500</xdr:rowOff>
    </xdr:from>
    <xdr:to>
      <xdr:col>1</xdr:col>
      <xdr:colOff>215900</xdr:colOff>
      <xdr:row>59</xdr:row>
      <xdr:rowOff>127000</xdr:rowOff>
    </xdr:to>
    <xdr:grpSp>
      <xdr:nvGrpSpPr>
        <xdr:cNvPr id="1512" name="18CircleGroup"/>
        <xdr:cNvGrpSpPr/>
      </xdr:nvGrpSpPr>
      <xdr:grpSpPr>
        <a:xfrm>
          <a:off x="635000" y="13128625"/>
          <a:ext cx="343535" cy="287020"/>
          <a:chOff x="635000" y="11303000"/>
          <a:chExt cx="254000" cy="254000"/>
        </a:xfrm>
      </xdr:grpSpPr>
      <xdr:sp>
        <xdr:nvSpPr>
          <xdr:cNvPr id="1509" name="18Circle"/>
          <xdr:cNvSpPr/>
        </xdr:nvSpPr>
        <xdr:spPr>
          <a:xfrm>
            <a:off x="63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M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0" name="18CircleCover"/>
          <xdr:cNvSpPr/>
        </xdr:nvSpPr>
        <xdr:spPr>
          <a:xfrm>
            <a:off x="63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66</xdr:row>
      <xdr:rowOff>63500</xdr:rowOff>
    </xdr:from>
    <xdr:to>
      <xdr:col>1</xdr:col>
      <xdr:colOff>215900</xdr:colOff>
      <xdr:row>67</xdr:row>
      <xdr:rowOff>127000</xdr:rowOff>
    </xdr:to>
    <xdr:grpSp>
      <xdr:nvGrpSpPr>
        <xdr:cNvPr id="1516" name="19CircleGroup"/>
        <xdr:cNvGrpSpPr/>
      </xdr:nvGrpSpPr>
      <xdr:grpSpPr>
        <a:xfrm>
          <a:off x="635000" y="14916785"/>
          <a:ext cx="343535" cy="287020"/>
          <a:chOff x="635000" y="12827000"/>
          <a:chExt cx="254000" cy="254000"/>
        </a:xfrm>
      </xdr:grpSpPr>
      <xdr:sp>
        <xdr:nvSpPr>
          <xdr:cNvPr id="1513" name="19Circle"/>
          <xdr:cNvSpPr/>
        </xdr:nvSpPr>
        <xdr:spPr>
          <a:xfrm>
            <a:off x="63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4" name="19CircleCover"/>
          <xdr:cNvSpPr/>
        </xdr:nvSpPr>
        <xdr:spPr>
          <a:xfrm>
            <a:off x="63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635000</xdr:colOff>
      <xdr:row>74</xdr:row>
      <xdr:rowOff>63500</xdr:rowOff>
    </xdr:from>
    <xdr:to>
      <xdr:col>1</xdr:col>
      <xdr:colOff>215900</xdr:colOff>
      <xdr:row>75</xdr:row>
      <xdr:rowOff>127000</xdr:rowOff>
    </xdr:to>
    <xdr:grpSp>
      <xdr:nvGrpSpPr>
        <xdr:cNvPr id="1520" name="20CircleGroup"/>
        <xdr:cNvGrpSpPr/>
      </xdr:nvGrpSpPr>
      <xdr:grpSpPr>
        <a:xfrm>
          <a:off x="635000" y="16704945"/>
          <a:ext cx="343535" cy="287020"/>
          <a:chOff x="635000" y="14351000"/>
          <a:chExt cx="254000" cy="254000"/>
        </a:xfrm>
      </xdr:grpSpPr>
      <xdr:sp>
        <xdr:nvSpPr>
          <xdr:cNvPr id="1517" name="20Circle"/>
          <xdr:cNvSpPr/>
        </xdr:nvSpPr>
        <xdr:spPr>
          <a:xfrm>
            <a:off x="63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18" name="20CircleCover"/>
          <xdr:cNvSpPr/>
        </xdr:nvSpPr>
        <xdr:spPr>
          <a:xfrm>
            <a:off x="63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2</xdr:row>
      <xdr:rowOff>127000</xdr:rowOff>
    </xdr:from>
    <xdr:to>
      <xdr:col>5</xdr:col>
      <xdr:colOff>63500</xdr:colOff>
      <xdr:row>3</xdr:row>
      <xdr:rowOff>127000</xdr:rowOff>
    </xdr:to>
    <xdr:grpSp>
      <xdr:nvGrpSpPr>
        <xdr:cNvPr id="1524" name="21CircleGroup"/>
        <xdr:cNvGrpSpPr/>
      </xdr:nvGrpSpPr>
      <xdr:grpSpPr>
        <a:xfrm>
          <a:off x="3533140" y="641350"/>
          <a:ext cx="343535" cy="257175"/>
          <a:chOff x="3175000" y="635000"/>
          <a:chExt cx="254000" cy="254000"/>
        </a:xfrm>
      </xdr:grpSpPr>
      <xdr:sp>
        <xdr:nvSpPr>
          <xdr:cNvPr id="1521" name="21Circle"/>
          <xdr:cNvSpPr/>
        </xdr:nvSpPr>
        <xdr:spPr>
          <a:xfrm>
            <a:off x="317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N-3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22" name="21CircleCover"/>
          <xdr:cNvSpPr/>
        </xdr:nvSpPr>
        <xdr:spPr>
          <a:xfrm>
            <a:off x="317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10</xdr:row>
      <xdr:rowOff>63500</xdr:rowOff>
    </xdr:from>
    <xdr:to>
      <xdr:col>5</xdr:col>
      <xdr:colOff>63500</xdr:colOff>
      <xdr:row>11</xdr:row>
      <xdr:rowOff>127000</xdr:rowOff>
    </xdr:to>
    <xdr:grpSp>
      <xdr:nvGrpSpPr>
        <xdr:cNvPr id="1528" name="22CircleGroup"/>
        <xdr:cNvGrpSpPr/>
      </xdr:nvGrpSpPr>
      <xdr:grpSpPr>
        <a:xfrm>
          <a:off x="3533140" y="2399665"/>
          <a:ext cx="343535" cy="287020"/>
          <a:chOff x="3175000" y="2159000"/>
          <a:chExt cx="254000" cy="254000"/>
        </a:xfrm>
      </xdr:grpSpPr>
      <xdr:sp>
        <xdr:nvSpPr>
          <xdr:cNvPr id="1525" name="22Circle"/>
          <xdr:cNvSpPr/>
        </xdr:nvSpPr>
        <xdr:spPr>
          <a:xfrm>
            <a:off x="317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N-4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26" name="22CircleCover"/>
          <xdr:cNvSpPr/>
        </xdr:nvSpPr>
        <xdr:spPr>
          <a:xfrm>
            <a:off x="317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18</xdr:row>
      <xdr:rowOff>63500</xdr:rowOff>
    </xdr:from>
    <xdr:to>
      <xdr:col>5</xdr:col>
      <xdr:colOff>63500</xdr:colOff>
      <xdr:row>19</xdr:row>
      <xdr:rowOff>127000</xdr:rowOff>
    </xdr:to>
    <xdr:grpSp>
      <xdr:nvGrpSpPr>
        <xdr:cNvPr id="1532" name="23CircleGroup"/>
        <xdr:cNvGrpSpPr/>
      </xdr:nvGrpSpPr>
      <xdr:grpSpPr>
        <a:xfrm>
          <a:off x="3533140" y="4187825"/>
          <a:ext cx="343535" cy="287020"/>
          <a:chOff x="3175000" y="3683000"/>
          <a:chExt cx="254000" cy="254000"/>
        </a:xfrm>
      </xdr:grpSpPr>
      <xdr:sp>
        <xdr:nvSpPr>
          <xdr:cNvPr id="1529" name="23Circle"/>
          <xdr:cNvSpPr/>
        </xdr:nvSpPr>
        <xdr:spPr>
          <a:xfrm>
            <a:off x="317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N-5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0" name="23CircleCover"/>
          <xdr:cNvSpPr/>
        </xdr:nvSpPr>
        <xdr:spPr>
          <a:xfrm>
            <a:off x="3175000" y="368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26</xdr:row>
      <xdr:rowOff>63500</xdr:rowOff>
    </xdr:from>
    <xdr:to>
      <xdr:col>5</xdr:col>
      <xdr:colOff>63500</xdr:colOff>
      <xdr:row>27</xdr:row>
      <xdr:rowOff>127000</xdr:rowOff>
    </xdr:to>
    <xdr:grpSp>
      <xdr:nvGrpSpPr>
        <xdr:cNvPr id="1536" name="24CircleGroup"/>
        <xdr:cNvGrpSpPr/>
      </xdr:nvGrpSpPr>
      <xdr:grpSpPr>
        <a:xfrm>
          <a:off x="3533140" y="5975985"/>
          <a:ext cx="343535" cy="287020"/>
          <a:chOff x="3175000" y="5207000"/>
          <a:chExt cx="254000" cy="254000"/>
        </a:xfrm>
      </xdr:grpSpPr>
      <xdr:sp>
        <xdr:nvSpPr>
          <xdr:cNvPr id="1533" name="24Circle"/>
          <xdr:cNvSpPr/>
        </xdr:nvSpPr>
        <xdr:spPr>
          <a:xfrm>
            <a:off x="317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O-1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4" name="24CircleCover"/>
          <xdr:cNvSpPr/>
        </xdr:nvSpPr>
        <xdr:spPr>
          <a:xfrm>
            <a:off x="3175000" y="520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34</xdr:row>
      <xdr:rowOff>63500</xdr:rowOff>
    </xdr:from>
    <xdr:to>
      <xdr:col>5</xdr:col>
      <xdr:colOff>63500</xdr:colOff>
      <xdr:row>35</xdr:row>
      <xdr:rowOff>127000</xdr:rowOff>
    </xdr:to>
    <xdr:grpSp>
      <xdr:nvGrpSpPr>
        <xdr:cNvPr id="1540" name="25CircleGroup"/>
        <xdr:cNvGrpSpPr/>
      </xdr:nvGrpSpPr>
      <xdr:grpSpPr>
        <a:xfrm>
          <a:off x="3533140" y="7764145"/>
          <a:ext cx="343535" cy="287020"/>
          <a:chOff x="3175000" y="6731000"/>
          <a:chExt cx="254000" cy="254000"/>
        </a:xfrm>
      </xdr:grpSpPr>
      <xdr:sp>
        <xdr:nvSpPr>
          <xdr:cNvPr id="1537" name="25Circle"/>
          <xdr:cNvSpPr/>
        </xdr:nvSpPr>
        <xdr:spPr>
          <a:xfrm>
            <a:off x="317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O-2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38" name="25CircleCover"/>
          <xdr:cNvSpPr/>
        </xdr:nvSpPr>
        <xdr:spPr>
          <a:xfrm>
            <a:off x="3175000" y="673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42</xdr:row>
      <xdr:rowOff>63500</xdr:rowOff>
    </xdr:from>
    <xdr:to>
      <xdr:col>5</xdr:col>
      <xdr:colOff>63500</xdr:colOff>
      <xdr:row>43</xdr:row>
      <xdr:rowOff>127000</xdr:rowOff>
    </xdr:to>
    <xdr:grpSp>
      <xdr:nvGrpSpPr>
        <xdr:cNvPr id="1544" name="26CircleGroup"/>
        <xdr:cNvGrpSpPr/>
      </xdr:nvGrpSpPr>
      <xdr:grpSpPr>
        <a:xfrm>
          <a:off x="3533140" y="9552305"/>
          <a:ext cx="343535" cy="287020"/>
          <a:chOff x="3175000" y="8255000"/>
          <a:chExt cx="254000" cy="254000"/>
        </a:xfrm>
      </xdr:grpSpPr>
      <xdr:sp>
        <xdr:nvSpPr>
          <xdr:cNvPr id="1541" name="26Circle"/>
          <xdr:cNvSpPr/>
        </xdr:nvSpPr>
        <xdr:spPr>
          <a:xfrm>
            <a:off x="317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O-3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42" name="26CircleCover"/>
          <xdr:cNvSpPr/>
        </xdr:nvSpPr>
        <xdr:spPr>
          <a:xfrm>
            <a:off x="3175000" y="825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50</xdr:row>
      <xdr:rowOff>63500</xdr:rowOff>
    </xdr:from>
    <xdr:to>
      <xdr:col>5</xdr:col>
      <xdr:colOff>63500</xdr:colOff>
      <xdr:row>51</xdr:row>
      <xdr:rowOff>127000</xdr:rowOff>
    </xdr:to>
    <xdr:grpSp>
      <xdr:nvGrpSpPr>
        <xdr:cNvPr id="1548" name="27CircleGroup"/>
        <xdr:cNvGrpSpPr/>
      </xdr:nvGrpSpPr>
      <xdr:grpSpPr>
        <a:xfrm>
          <a:off x="3533140" y="11340465"/>
          <a:ext cx="343535" cy="287020"/>
          <a:chOff x="3175000" y="9779000"/>
          <a:chExt cx="254000" cy="254000"/>
        </a:xfrm>
      </xdr:grpSpPr>
      <xdr:sp>
        <xdr:nvSpPr>
          <xdr:cNvPr id="1545" name="27Circle"/>
          <xdr:cNvSpPr/>
        </xdr:nvSpPr>
        <xdr:spPr>
          <a:xfrm>
            <a:off x="317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O-4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46" name="27CircleCover"/>
          <xdr:cNvSpPr/>
        </xdr:nvSpPr>
        <xdr:spPr>
          <a:xfrm>
            <a:off x="3175000" y="977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58</xdr:row>
      <xdr:rowOff>63500</xdr:rowOff>
    </xdr:from>
    <xdr:to>
      <xdr:col>5</xdr:col>
      <xdr:colOff>63500</xdr:colOff>
      <xdr:row>59</xdr:row>
      <xdr:rowOff>127000</xdr:rowOff>
    </xdr:to>
    <xdr:grpSp>
      <xdr:nvGrpSpPr>
        <xdr:cNvPr id="1552" name="28CircleGroup"/>
        <xdr:cNvGrpSpPr/>
      </xdr:nvGrpSpPr>
      <xdr:grpSpPr>
        <a:xfrm>
          <a:off x="3533140" y="13128625"/>
          <a:ext cx="343535" cy="287020"/>
          <a:chOff x="3175000" y="11303000"/>
          <a:chExt cx="254000" cy="254000"/>
        </a:xfrm>
      </xdr:grpSpPr>
      <xdr:sp>
        <xdr:nvSpPr>
          <xdr:cNvPr id="1549" name="28Circle"/>
          <xdr:cNvSpPr/>
        </xdr:nvSpPr>
        <xdr:spPr>
          <a:xfrm>
            <a:off x="317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O-5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0" name="28CircleCover"/>
          <xdr:cNvSpPr/>
        </xdr:nvSpPr>
        <xdr:spPr>
          <a:xfrm>
            <a:off x="3175000" y="11303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66</xdr:row>
      <xdr:rowOff>63500</xdr:rowOff>
    </xdr:from>
    <xdr:to>
      <xdr:col>5</xdr:col>
      <xdr:colOff>63500</xdr:colOff>
      <xdr:row>67</xdr:row>
      <xdr:rowOff>127000</xdr:rowOff>
    </xdr:to>
    <xdr:grpSp>
      <xdr:nvGrpSpPr>
        <xdr:cNvPr id="1556" name="29CircleGroup"/>
        <xdr:cNvGrpSpPr/>
      </xdr:nvGrpSpPr>
      <xdr:grpSpPr>
        <a:xfrm>
          <a:off x="3533140" y="14916785"/>
          <a:ext cx="343535" cy="287020"/>
          <a:chOff x="3175000" y="12827000"/>
          <a:chExt cx="254000" cy="254000"/>
        </a:xfrm>
      </xdr:grpSpPr>
      <xdr:sp>
        <xdr:nvSpPr>
          <xdr:cNvPr id="1553" name="29Circle"/>
          <xdr:cNvSpPr/>
        </xdr:nvSpPr>
        <xdr:spPr>
          <a:xfrm>
            <a:off x="317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P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4" name="29CircleCover"/>
          <xdr:cNvSpPr/>
        </xdr:nvSpPr>
        <xdr:spPr>
          <a:xfrm>
            <a:off x="3175000" y="12827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482600</xdr:colOff>
      <xdr:row>74</xdr:row>
      <xdr:rowOff>63500</xdr:rowOff>
    </xdr:from>
    <xdr:to>
      <xdr:col>5</xdr:col>
      <xdr:colOff>63500</xdr:colOff>
      <xdr:row>75</xdr:row>
      <xdr:rowOff>127000</xdr:rowOff>
    </xdr:to>
    <xdr:grpSp>
      <xdr:nvGrpSpPr>
        <xdr:cNvPr id="1560" name="30CircleGroup"/>
        <xdr:cNvGrpSpPr/>
      </xdr:nvGrpSpPr>
      <xdr:grpSpPr>
        <a:xfrm>
          <a:off x="3533140" y="16704945"/>
          <a:ext cx="343535" cy="287020"/>
          <a:chOff x="3175000" y="14351000"/>
          <a:chExt cx="254000" cy="254000"/>
        </a:xfrm>
      </xdr:grpSpPr>
      <xdr:sp>
        <xdr:nvSpPr>
          <xdr:cNvPr id="1557" name="30Circle"/>
          <xdr:cNvSpPr/>
        </xdr:nvSpPr>
        <xdr:spPr>
          <a:xfrm>
            <a:off x="317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Q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58" name="30CircleCover"/>
          <xdr:cNvSpPr/>
        </xdr:nvSpPr>
        <xdr:spPr>
          <a:xfrm>
            <a:off x="3175000" y="14351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330200</xdr:colOff>
      <xdr:row>2</xdr:row>
      <xdr:rowOff>127000</xdr:rowOff>
    </xdr:from>
    <xdr:to>
      <xdr:col>8</xdr:col>
      <xdr:colOff>584200</xdr:colOff>
      <xdr:row>3</xdr:row>
      <xdr:rowOff>127000</xdr:rowOff>
    </xdr:to>
    <xdr:grpSp>
      <xdr:nvGrpSpPr>
        <xdr:cNvPr id="1564" name="31CircleGroup"/>
        <xdr:cNvGrpSpPr/>
      </xdr:nvGrpSpPr>
      <xdr:grpSpPr>
        <a:xfrm>
          <a:off x="6431280" y="641350"/>
          <a:ext cx="254000" cy="257175"/>
          <a:chOff x="5715000" y="635000"/>
          <a:chExt cx="254000" cy="254000"/>
        </a:xfrm>
      </xdr:grpSpPr>
      <xdr:sp>
        <xdr:nvSpPr>
          <xdr:cNvPr id="1561" name="31Circle"/>
          <xdr:cNvSpPr/>
        </xdr:nvSpPr>
        <xdr:spPr>
          <a:xfrm>
            <a:off x="571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R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62" name="31CircleCover"/>
          <xdr:cNvSpPr/>
        </xdr:nvSpPr>
        <xdr:spPr>
          <a:xfrm>
            <a:off x="5715000" y="635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330200</xdr:colOff>
      <xdr:row>10</xdr:row>
      <xdr:rowOff>63500</xdr:rowOff>
    </xdr:from>
    <xdr:to>
      <xdr:col>8</xdr:col>
      <xdr:colOff>584200</xdr:colOff>
      <xdr:row>11</xdr:row>
      <xdr:rowOff>127000</xdr:rowOff>
    </xdr:to>
    <xdr:grpSp>
      <xdr:nvGrpSpPr>
        <xdr:cNvPr id="1568" name="32CircleGroup"/>
        <xdr:cNvGrpSpPr/>
      </xdr:nvGrpSpPr>
      <xdr:grpSpPr>
        <a:xfrm>
          <a:off x="6431280" y="2399665"/>
          <a:ext cx="254000" cy="287020"/>
          <a:chOff x="5715000" y="2159000"/>
          <a:chExt cx="254000" cy="254000"/>
        </a:xfrm>
      </xdr:grpSpPr>
      <xdr:sp>
        <xdr:nvSpPr>
          <xdr:cNvPr id="1565" name="32Circle"/>
          <xdr:cNvSpPr/>
        </xdr:nvSpPr>
        <xdr:spPr>
          <a:xfrm>
            <a:off x="571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600" b="0" i="0">
                <a:solidFill>
                  <a:srgbClr val="000000"/>
                </a:solidFill>
                <a:latin typeface="Arial" panose="020B0604020202090204"/>
              </a:rPr>
              <a:t>S</a:t>
            </a:r>
            <a:endParaRPr lang="en-US" sz="600" b="0" i="0">
              <a:solidFill>
                <a:srgbClr val="000000"/>
              </a:solidFill>
              <a:latin typeface="Arial" panose="020B0604020202090204"/>
            </a:endParaRPr>
          </a:p>
        </xdr:txBody>
      </xdr:sp>
      <xdr:sp>
        <xdr:nvSpPr>
          <xdr:cNvPr id="1566" name="32CircleCover"/>
          <xdr:cNvSpPr/>
        </xdr:nvSpPr>
        <xdr:spPr>
          <a:xfrm>
            <a:off x="5715000" y="2159000"/>
            <a:ext cx="254000" cy="254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2</xdr:row>
      <xdr:rowOff>63500</xdr:rowOff>
    </xdr:from>
    <xdr:to>
      <xdr:col>4</xdr:col>
      <xdr:colOff>228600</xdr:colOff>
      <xdr:row>9</xdr:row>
      <xdr:rowOff>63500</xdr:rowOff>
    </xdr:to>
    <xdr:grpSp>
      <xdr:nvGrpSpPr>
        <xdr:cNvPr id="1575" name="11BlockGroup"/>
        <xdr:cNvGrpSpPr/>
      </xdr:nvGrpSpPr>
      <xdr:grpSpPr>
        <a:xfrm>
          <a:off x="978535" y="577850"/>
          <a:ext cx="2300605" cy="1598295"/>
          <a:chOff x="889000" y="571500"/>
          <a:chExt cx="2032000" cy="1397000"/>
        </a:xfrm>
      </xdr:grpSpPr>
      <xdr:sp>
        <xdr:nvSpPr>
          <xdr:cNvPr id="1569" name="11TITLE"/>
          <xdr:cNvSpPr txBox="1"/>
        </xdr:nvSpPr>
        <xdr:spPr>
          <a:xfrm>
            <a:off x="88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C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Min 13.3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0" name="11CP"/>
          <xdr:cNvSpPr txBox="1"/>
        </xdr:nvSpPr>
        <xdr:spPr>
          <a:xfrm>
            <a:off x="139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1.312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1" name="11CPK"/>
          <xdr:cNvSpPr txBox="1"/>
        </xdr:nvSpPr>
        <xdr:spPr>
          <a:xfrm>
            <a:off x="215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1.312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72" name="Chart 1571"/>
          <xdr:cNvGraphicFramePr/>
        </xdr:nvGraphicFramePr>
        <xdr:xfrm>
          <a:off x="139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>
        <xdr:nvSpPr>
          <xdr:cNvPr id="1573" name="11BlockCover"/>
          <xdr:cNvSpPr/>
        </xdr:nvSpPr>
        <xdr:spPr>
          <a:xfrm>
            <a:off x="88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10</xdr:row>
      <xdr:rowOff>0</xdr:rowOff>
    </xdr:from>
    <xdr:to>
      <xdr:col>4</xdr:col>
      <xdr:colOff>228600</xdr:colOff>
      <xdr:row>17</xdr:row>
      <xdr:rowOff>63500</xdr:rowOff>
    </xdr:to>
    <xdr:grpSp>
      <xdr:nvGrpSpPr>
        <xdr:cNvPr id="1582" name="12BlockGroup"/>
        <xdr:cNvGrpSpPr/>
      </xdr:nvGrpSpPr>
      <xdr:grpSpPr>
        <a:xfrm>
          <a:off x="978535" y="2336165"/>
          <a:ext cx="2300605" cy="1628140"/>
          <a:chOff x="889000" y="2095500"/>
          <a:chExt cx="2032000" cy="1397000"/>
        </a:xfrm>
      </xdr:grpSpPr>
      <xdr:sp>
        <xdr:nvSpPr>
          <xdr:cNvPr id="1576" name="12TITLE"/>
          <xdr:cNvSpPr txBox="1"/>
        </xdr:nvSpPr>
        <xdr:spPr>
          <a:xfrm>
            <a:off x="88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D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19.8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7" name="12CP"/>
          <xdr:cNvSpPr txBox="1"/>
        </xdr:nvSpPr>
        <xdr:spPr>
          <a:xfrm>
            <a:off x="139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78" name="12CPK"/>
          <xdr:cNvSpPr txBox="1"/>
        </xdr:nvSpPr>
        <xdr:spPr>
          <a:xfrm>
            <a:off x="215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79" name="Chart 1578"/>
          <xdr:cNvGraphicFramePr/>
        </xdr:nvGraphicFramePr>
        <xdr:xfrm>
          <a:off x="139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>
        <xdr:nvSpPr>
          <xdr:cNvPr id="1580" name="12BlockCover"/>
          <xdr:cNvSpPr/>
        </xdr:nvSpPr>
        <xdr:spPr>
          <a:xfrm>
            <a:off x="88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18</xdr:row>
      <xdr:rowOff>0</xdr:rowOff>
    </xdr:from>
    <xdr:to>
      <xdr:col>4</xdr:col>
      <xdr:colOff>228600</xdr:colOff>
      <xdr:row>25</xdr:row>
      <xdr:rowOff>63500</xdr:rowOff>
    </xdr:to>
    <xdr:grpSp>
      <xdr:nvGrpSpPr>
        <xdr:cNvPr id="1589" name="13BlockGroup"/>
        <xdr:cNvGrpSpPr/>
      </xdr:nvGrpSpPr>
      <xdr:grpSpPr>
        <a:xfrm>
          <a:off x="978535" y="4124325"/>
          <a:ext cx="2300605" cy="1628140"/>
          <a:chOff x="889000" y="3619500"/>
          <a:chExt cx="2032000" cy="1397000"/>
        </a:xfrm>
      </xdr:grpSpPr>
      <xdr:sp>
        <xdr:nvSpPr>
          <xdr:cNvPr id="1583" name="13TITLE"/>
          <xdr:cNvSpPr txBox="1"/>
        </xdr:nvSpPr>
        <xdr:spPr>
          <a:xfrm>
            <a:off x="889000" y="361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E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15.67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16.07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84" name="13CP"/>
          <xdr:cNvSpPr txBox="1"/>
        </xdr:nvSpPr>
        <xdr:spPr>
          <a:xfrm>
            <a:off x="1397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1.634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85" name="13CPK"/>
          <xdr:cNvSpPr txBox="1"/>
        </xdr:nvSpPr>
        <xdr:spPr>
          <a:xfrm>
            <a:off x="2159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1.423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86" name="Chart 1585"/>
          <xdr:cNvGraphicFramePr/>
        </xdr:nvGraphicFramePr>
        <xdr:xfrm>
          <a:off x="1397000" y="387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>
        <xdr:nvSpPr>
          <xdr:cNvPr id="1587" name="13BlockCover"/>
          <xdr:cNvSpPr/>
        </xdr:nvSpPr>
        <xdr:spPr>
          <a:xfrm>
            <a:off x="889000" y="361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26</xdr:row>
      <xdr:rowOff>0</xdr:rowOff>
    </xdr:from>
    <xdr:to>
      <xdr:col>4</xdr:col>
      <xdr:colOff>228600</xdr:colOff>
      <xdr:row>33</xdr:row>
      <xdr:rowOff>63500</xdr:rowOff>
    </xdr:to>
    <xdr:grpSp>
      <xdr:nvGrpSpPr>
        <xdr:cNvPr id="1596" name="14BlockGroup"/>
        <xdr:cNvGrpSpPr/>
      </xdr:nvGrpSpPr>
      <xdr:grpSpPr>
        <a:xfrm>
          <a:off x="978535" y="5912485"/>
          <a:ext cx="2300605" cy="1628140"/>
          <a:chOff x="889000" y="5143500"/>
          <a:chExt cx="2032000" cy="1397000"/>
        </a:xfrm>
      </xdr:grpSpPr>
      <xdr:sp>
        <xdr:nvSpPr>
          <xdr:cNvPr id="1590" name="14TITLE"/>
          <xdr:cNvSpPr txBox="1"/>
        </xdr:nvSpPr>
        <xdr:spPr>
          <a:xfrm>
            <a:off x="889000" y="514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F-1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38.6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44.6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1" name="14CP"/>
          <xdr:cNvSpPr txBox="1"/>
        </xdr:nvSpPr>
        <xdr:spPr>
          <a:xfrm>
            <a:off x="1397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2" name="14CPK"/>
          <xdr:cNvSpPr txBox="1"/>
        </xdr:nvSpPr>
        <xdr:spPr>
          <a:xfrm>
            <a:off x="2159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0.942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593" name="Chart 1592"/>
          <xdr:cNvGraphicFramePr/>
        </xdr:nvGraphicFramePr>
        <xdr:xfrm>
          <a:off x="1397000" y="539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>
        <xdr:nvSpPr>
          <xdr:cNvPr id="1594" name="14BlockCover"/>
          <xdr:cNvSpPr/>
        </xdr:nvSpPr>
        <xdr:spPr>
          <a:xfrm>
            <a:off x="889000" y="514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34</xdr:row>
      <xdr:rowOff>0</xdr:rowOff>
    </xdr:from>
    <xdr:to>
      <xdr:col>4</xdr:col>
      <xdr:colOff>228600</xdr:colOff>
      <xdr:row>41</xdr:row>
      <xdr:rowOff>63500</xdr:rowOff>
    </xdr:to>
    <xdr:grpSp>
      <xdr:nvGrpSpPr>
        <xdr:cNvPr id="1603" name="15BlockGroup"/>
        <xdr:cNvGrpSpPr/>
      </xdr:nvGrpSpPr>
      <xdr:grpSpPr>
        <a:xfrm>
          <a:off x="978535" y="7700645"/>
          <a:ext cx="2300605" cy="1628140"/>
          <a:chOff x="889000" y="6667500"/>
          <a:chExt cx="2032000" cy="1397000"/>
        </a:xfrm>
      </xdr:grpSpPr>
      <xdr:sp>
        <xdr:nvSpPr>
          <xdr:cNvPr id="1597" name="15TITLE"/>
          <xdr:cNvSpPr txBox="1"/>
        </xdr:nvSpPr>
        <xdr:spPr>
          <a:xfrm>
            <a:off x="889000" y="666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F-2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38.6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44.6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8" name="15CP"/>
          <xdr:cNvSpPr txBox="1"/>
        </xdr:nvSpPr>
        <xdr:spPr>
          <a:xfrm>
            <a:off x="1397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1.349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599" name="15CPK"/>
          <xdr:cNvSpPr txBox="1"/>
        </xdr:nvSpPr>
        <xdr:spPr>
          <a:xfrm>
            <a:off x="2159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00" name="Chart 1599"/>
          <xdr:cNvGraphicFramePr/>
        </xdr:nvGraphicFramePr>
        <xdr:xfrm>
          <a:off x="1397000" y="692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>
        <xdr:nvSpPr>
          <xdr:cNvPr id="1601" name="15BlockCover"/>
          <xdr:cNvSpPr/>
        </xdr:nvSpPr>
        <xdr:spPr>
          <a:xfrm>
            <a:off x="889000" y="666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42</xdr:row>
      <xdr:rowOff>0</xdr:rowOff>
    </xdr:from>
    <xdr:to>
      <xdr:col>4</xdr:col>
      <xdr:colOff>228600</xdr:colOff>
      <xdr:row>49</xdr:row>
      <xdr:rowOff>63500</xdr:rowOff>
    </xdr:to>
    <xdr:grpSp>
      <xdr:nvGrpSpPr>
        <xdr:cNvPr id="1610" name="16BlockGroup"/>
        <xdr:cNvGrpSpPr/>
      </xdr:nvGrpSpPr>
      <xdr:grpSpPr>
        <a:xfrm>
          <a:off x="978535" y="9488805"/>
          <a:ext cx="2300605" cy="1628140"/>
          <a:chOff x="889000" y="8191500"/>
          <a:chExt cx="2032000" cy="1397000"/>
        </a:xfrm>
      </xdr:grpSpPr>
      <xdr:sp>
        <xdr:nvSpPr>
          <xdr:cNvPr id="1604" name="16TITLE"/>
          <xdr:cNvSpPr txBox="1"/>
        </xdr:nvSpPr>
        <xdr:spPr>
          <a:xfrm>
            <a:off x="889000" y="819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G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8.93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9.23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05" name="16CP"/>
          <xdr:cNvSpPr txBox="1"/>
        </xdr:nvSpPr>
        <xdr:spPr>
          <a:xfrm>
            <a:off x="1397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1.883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06" name="16CPK"/>
          <xdr:cNvSpPr txBox="1"/>
        </xdr:nvSpPr>
        <xdr:spPr>
          <a:xfrm>
            <a:off x="2159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1.404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07" name="Chart 1606"/>
          <xdr:cNvGraphicFramePr/>
        </xdr:nvGraphicFramePr>
        <xdr:xfrm>
          <a:off x="1397000" y="844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>
        <xdr:nvSpPr>
          <xdr:cNvPr id="1608" name="16BlockCover"/>
          <xdr:cNvSpPr/>
        </xdr:nvSpPr>
        <xdr:spPr>
          <a:xfrm>
            <a:off x="889000" y="819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50</xdr:row>
      <xdr:rowOff>0</xdr:rowOff>
    </xdr:from>
    <xdr:to>
      <xdr:col>4</xdr:col>
      <xdr:colOff>228600</xdr:colOff>
      <xdr:row>57</xdr:row>
      <xdr:rowOff>63500</xdr:rowOff>
    </xdr:to>
    <xdr:grpSp>
      <xdr:nvGrpSpPr>
        <xdr:cNvPr id="1617" name="17BlockGroup"/>
        <xdr:cNvGrpSpPr/>
      </xdr:nvGrpSpPr>
      <xdr:grpSpPr>
        <a:xfrm>
          <a:off x="978535" y="11276965"/>
          <a:ext cx="2300605" cy="1628140"/>
          <a:chOff x="889000" y="9715500"/>
          <a:chExt cx="2032000" cy="1397000"/>
        </a:xfrm>
      </xdr:grpSpPr>
      <xdr:sp>
        <xdr:nvSpPr>
          <xdr:cNvPr id="1611" name="17TITLE"/>
          <xdr:cNvSpPr txBox="1"/>
        </xdr:nvSpPr>
        <xdr:spPr>
          <a:xfrm>
            <a:off x="889000" y="971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L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2" name="17CP"/>
          <xdr:cNvSpPr txBox="1"/>
        </xdr:nvSpPr>
        <xdr:spPr>
          <a:xfrm>
            <a:off x="1397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1.309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3" name="17CPK"/>
          <xdr:cNvSpPr txBox="1"/>
        </xdr:nvSpPr>
        <xdr:spPr>
          <a:xfrm>
            <a:off x="2159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1.225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14" name="Chart 1613"/>
          <xdr:cNvGraphicFramePr/>
        </xdr:nvGraphicFramePr>
        <xdr:xfrm>
          <a:off x="1397000" y="996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>
        <xdr:nvSpPr>
          <xdr:cNvPr id="1615" name="17BlockCover"/>
          <xdr:cNvSpPr/>
        </xdr:nvSpPr>
        <xdr:spPr>
          <a:xfrm>
            <a:off x="889000" y="971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58</xdr:row>
      <xdr:rowOff>0</xdr:rowOff>
    </xdr:from>
    <xdr:to>
      <xdr:col>4</xdr:col>
      <xdr:colOff>228600</xdr:colOff>
      <xdr:row>65</xdr:row>
      <xdr:rowOff>63500</xdr:rowOff>
    </xdr:to>
    <xdr:grpSp>
      <xdr:nvGrpSpPr>
        <xdr:cNvPr id="1624" name="18BlockGroup"/>
        <xdr:cNvGrpSpPr/>
      </xdr:nvGrpSpPr>
      <xdr:grpSpPr>
        <a:xfrm>
          <a:off x="978535" y="13065125"/>
          <a:ext cx="2300605" cy="1628140"/>
          <a:chOff x="889000" y="11239500"/>
          <a:chExt cx="2032000" cy="1397000"/>
        </a:xfrm>
      </xdr:grpSpPr>
      <xdr:sp>
        <xdr:nvSpPr>
          <xdr:cNvPr id="1618" name="18TITLE"/>
          <xdr:cNvSpPr txBox="1"/>
        </xdr:nvSpPr>
        <xdr:spPr>
          <a:xfrm>
            <a:off x="889000" y="1123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M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2.45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3.15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19" name="18CP"/>
          <xdr:cNvSpPr txBox="1"/>
        </xdr:nvSpPr>
        <xdr:spPr>
          <a:xfrm>
            <a:off x="1397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1.054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0" name="18CPK"/>
          <xdr:cNvSpPr txBox="1"/>
        </xdr:nvSpPr>
        <xdr:spPr>
          <a:xfrm>
            <a:off x="2159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1.052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21" name="Chart 1620"/>
          <xdr:cNvGraphicFramePr/>
        </xdr:nvGraphicFramePr>
        <xdr:xfrm>
          <a:off x="1397000" y="1149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>
        <xdr:nvSpPr>
          <xdr:cNvPr id="1622" name="18BlockCover"/>
          <xdr:cNvSpPr/>
        </xdr:nvSpPr>
        <xdr:spPr>
          <a:xfrm>
            <a:off x="889000" y="1123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66</xdr:row>
      <xdr:rowOff>0</xdr:rowOff>
    </xdr:from>
    <xdr:to>
      <xdr:col>4</xdr:col>
      <xdr:colOff>228600</xdr:colOff>
      <xdr:row>73</xdr:row>
      <xdr:rowOff>63500</xdr:rowOff>
    </xdr:to>
    <xdr:grpSp>
      <xdr:nvGrpSpPr>
        <xdr:cNvPr id="1631" name="19BlockGroup"/>
        <xdr:cNvGrpSpPr/>
      </xdr:nvGrpSpPr>
      <xdr:grpSpPr>
        <a:xfrm>
          <a:off x="978535" y="14853285"/>
          <a:ext cx="2300605" cy="1628140"/>
          <a:chOff x="889000" y="12763500"/>
          <a:chExt cx="2032000" cy="1397000"/>
        </a:xfrm>
      </xdr:grpSpPr>
      <xdr:sp>
        <xdr:nvSpPr>
          <xdr:cNvPr id="1625" name="19TITLE"/>
          <xdr:cNvSpPr txBox="1"/>
        </xdr:nvSpPr>
        <xdr:spPr>
          <a:xfrm>
            <a:off x="889000" y="1276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6" name="19CP"/>
          <xdr:cNvSpPr txBox="1"/>
        </xdr:nvSpPr>
        <xdr:spPr>
          <a:xfrm>
            <a:off x="1397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1.695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27" name="19CPK"/>
          <xdr:cNvSpPr txBox="1"/>
        </xdr:nvSpPr>
        <xdr:spPr>
          <a:xfrm>
            <a:off x="2159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1.695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28" name="Chart 1627"/>
          <xdr:cNvGraphicFramePr/>
        </xdr:nvGraphicFramePr>
        <xdr:xfrm>
          <a:off x="1397000" y="1301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>
        <xdr:nvSpPr>
          <xdr:cNvPr id="1629" name="19BlockCover"/>
          <xdr:cNvSpPr/>
        </xdr:nvSpPr>
        <xdr:spPr>
          <a:xfrm>
            <a:off x="889000" y="1276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215900</xdr:colOff>
      <xdr:row>74</xdr:row>
      <xdr:rowOff>0</xdr:rowOff>
    </xdr:from>
    <xdr:to>
      <xdr:col>4</xdr:col>
      <xdr:colOff>228600</xdr:colOff>
      <xdr:row>81</xdr:row>
      <xdr:rowOff>63500</xdr:rowOff>
    </xdr:to>
    <xdr:grpSp>
      <xdr:nvGrpSpPr>
        <xdr:cNvPr id="1638" name="20BlockGroup"/>
        <xdr:cNvGrpSpPr/>
      </xdr:nvGrpSpPr>
      <xdr:grpSpPr>
        <a:xfrm>
          <a:off x="978535" y="16641445"/>
          <a:ext cx="2300605" cy="1628140"/>
          <a:chOff x="889000" y="14287500"/>
          <a:chExt cx="2032000" cy="1397000"/>
        </a:xfrm>
      </xdr:grpSpPr>
      <xdr:sp>
        <xdr:nvSpPr>
          <xdr:cNvPr id="1632" name="20TITLE"/>
          <xdr:cNvSpPr txBox="1"/>
        </xdr:nvSpPr>
        <xdr:spPr>
          <a:xfrm>
            <a:off x="889000" y="1428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33" name="20CP"/>
          <xdr:cNvSpPr txBox="1"/>
        </xdr:nvSpPr>
        <xdr:spPr>
          <a:xfrm>
            <a:off x="1397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1.661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34" name="20CPK"/>
          <xdr:cNvSpPr txBox="1"/>
        </xdr:nvSpPr>
        <xdr:spPr>
          <a:xfrm>
            <a:off x="2159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1.661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35" name="Chart 1634"/>
          <xdr:cNvGraphicFramePr/>
        </xdr:nvGraphicFramePr>
        <xdr:xfrm>
          <a:off x="1397000" y="1454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>
        <xdr:nvSpPr>
          <xdr:cNvPr id="1636" name="20BlockCover"/>
          <xdr:cNvSpPr/>
        </xdr:nvSpPr>
        <xdr:spPr>
          <a:xfrm>
            <a:off x="889000" y="1428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2</xdr:row>
      <xdr:rowOff>63500</xdr:rowOff>
    </xdr:from>
    <xdr:to>
      <xdr:col>8</xdr:col>
      <xdr:colOff>76200</xdr:colOff>
      <xdr:row>9</xdr:row>
      <xdr:rowOff>63500</xdr:rowOff>
    </xdr:to>
    <xdr:grpSp>
      <xdr:nvGrpSpPr>
        <xdr:cNvPr id="1645" name="21BlockGroup"/>
        <xdr:cNvGrpSpPr/>
      </xdr:nvGrpSpPr>
      <xdr:grpSpPr>
        <a:xfrm>
          <a:off x="3876675" y="577850"/>
          <a:ext cx="2300605" cy="1598295"/>
          <a:chOff x="3429000" y="571500"/>
          <a:chExt cx="2032000" cy="1397000"/>
        </a:xfrm>
      </xdr:grpSpPr>
      <xdr:sp>
        <xdr:nvSpPr>
          <xdr:cNvPr id="1639" name="21TITLE"/>
          <xdr:cNvSpPr txBox="1"/>
        </xdr:nvSpPr>
        <xdr:spPr>
          <a:xfrm>
            <a:off x="342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N-3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0" name="21CP"/>
          <xdr:cNvSpPr txBox="1"/>
        </xdr:nvSpPr>
        <xdr:spPr>
          <a:xfrm>
            <a:off x="393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1" name="21CPK"/>
          <xdr:cNvSpPr txBox="1"/>
        </xdr:nvSpPr>
        <xdr:spPr>
          <a:xfrm>
            <a:off x="469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1.606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42" name="Chart 1641"/>
          <xdr:cNvGraphicFramePr/>
        </xdr:nvGraphicFramePr>
        <xdr:xfrm>
          <a:off x="393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>
        <xdr:nvSpPr>
          <xdr:cNvPr id="1643" name="21BlockCover"/>
          <xdr:cNvSpPr/>
        </xdr:nvSpPr>
        <xdr:spPr>
          <a:xfrm>
            <a:off x="342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10</xdr:row>
      <xdr:rowOff>0</xdr:rowOff>
    </xdr:from>
    <xdr:to>
      <xdr:col>8</xdr:col>
      <xdr:colOff>76200</xdr:colOff>
      <xdr:row>17</xdr:row>
      <xdr:rowOff>63500</xdr:rowOff>
    </xdr:to>
    <xdr:grpSp>
      <xdr:nvGrpSpPr>
        <xdr:cNvPr id="1652" name="22BlockGroup"/>
        <xdr:cNvGrpSpPr/>
      </xdr:nvGrpSpPr>
      <xdr:grpSpPr>
        <a:xfrm>
          <a:off x="3876675" y="2336165"/>
          <a:ext cx="2300605" cy="1628140"/>
          <a:chOff x="3429000" y="2095500"/>
          <a:chExt cx="2032000" cy="1397000"/>
        </a:xfrm>
      </xdr:grpSpPr>
      <xdr:sp>
        <xdr:nvSpPr>
          <xdr:cNvPr id="1646" name="22TITLE"/>
          <xdr:cNvSpPr txBox="1"/>
        </xdr:nvSpPr>
        <xdr:spPr>
          <a:xfrm>
            <a:off x="342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N-4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7" name="22CP"/>
          <xdr:cNvSpPr txBox="1"/>
        </xdr:nvSpPr>
        <xdr:spPr>
          <a:xfrm>
            <a:off x="393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48" name="22CPK"/>
          <xdr:cNvSpPr txBox="1"/>
        </xdr:nvSpPr>
        <xdr:spPr>
          <a:xfrm>
            <a:off x="469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1.61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49" name="Chart 1648"/>
          <xdr:cNvGraphicFramePr/>
        </xdr:nvGraphicFramePr>
        <xdr:xfrm>
          <a:off x="393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>
        <xdr:nvSpPr>
          <xdr:cNvPr id="1650" name="22BlockCover"/>
          <xdr:cNvSpPr/>
        </xdr:nvSpPr>
        <xdr:spPr>
          <a:xfrm>
            <a:off x="342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18</xdr:row>
      <xdr:rowOff>0</xdr:rowOff>
    </xdr:from>
    <xdr:to>
      <xdr:col>8</xdr:col>
      <xdr:colOff>76200</xdr:colOff>
      <xdr:row>25</xdr:row>
      <xdr:rowOff>63500</xdr:rowOff>
    </xdr:to>
    <xdr:grpSp>
      <xdr:nvGrpSpPr>
        <xdr:cNvPr id="1659" name="23BlockGroup"/>
        <xdr:cNvGrpSpPr/>
      </xdr:nvGrpSpPr>
      <xdr:grpSpPr>
        <a:xfrm>
          <a:off x="3876675" y="4124325"/>
          <a:ext cx="2300605" cy="1628140"/>
          <a:chOff x="3429000" y="3619500"/>
          <a:chExt cx="2032000" cy="1397000"/>
        </a:xfrm>
      </xdr:grpSpPr>
      <xdr:sp>
        <xdr:nvSpPr>
          <xdr:cNvPr id="1653" name="23TITLE"/>
          <xdr:cNvSpPr txBox="1"/>
        </xdr:nvSpPr>
        <xdr:spPr>
          <a:xfrm>
            <a:off x="3429000" y="361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N-5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54" name="23CP"/>
          <xdr:cNvSpPr txBox="1"/>
        </xdr:nvSpPr>
        <xdr:spPr>
          <a:xfrm>
            <a:off x="3937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1.582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55" name="23CPK"/>
          <xdr:cNvSpPr txBox="1"/>
        </xdr:nvSpPr>
        <xdr:spPr>
          <a:xfrm>
            <a:off x="4699000" y="361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1.582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56" name="Chart 1655"/>
          <xdr:cNvGraphicFramePr/>
        </xdr:nvGraphicFramePr>
        <xdr:xfrm>
          <a:off x="3937000" y="387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>
        <xdr:nvSpPr>
          <xdr:cNvPr id="1657" name="23BlockCover"/>
          <xdr:cNvSpPr/>
        </xdr:nvSpPr>
        <xdr:spPr>
          <a:xfrm>
            <a:off x="3429000" y="361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26</xdr:row>
      <xdr:rowOff>0</xdr:rowOff>
    </xdr:from>
    <xdr:to>
      <xdr:col>8</xdr:col>
      <xdr:colOff>76200</xdr:colOff>
      <xdr:row>33</xdr:row>
      <xdr:rowOff>63500</xdr:rowOff>
    </xdr:to>
    <xdr:grpSp>
      <xdr:nvGrpSpPr>
        <xdr:cNvPr id="1666" name="24BlockGroup"/>
        <xdr:cNvGrpSpPr/>
      </xdr:nvGrpSpPr>
      <xdr:grpSpPr>
        <a:xfrm>
          <a:off x="3876675" y="5912485"/>
          <a:ext cx="2300605" cy="1628140"/>
          <a:chOff x="3429000" y="5143500"/>
          <a:chExt cx="2032000" cy="1397000"/>
        </a:xfrm>
      </xdr:grpSpPr>
      <xdr:sp>
        <xdr:nvSpPr>
          <xdr:cNvPr id="1660" name="24TITLE"/>
          <xdr:cNvSpPr txBox="1"/>
        </xdr:nvSpPr>
        <xdr:spPr>
          <a:xfrm>
            <a:off x="3429000" y="514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O-1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1" name="24CP"/>
          <xdr:cNvSpPr txBox="1"/>
        </xdr:nvSpPr>
        <xdr:spPr>
          <a:xfrm>
            <a:off x="3937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3.72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2" name="24CPK"/>
          <xdr:cNvSpPr txBox="1"/>
        </xdr:nvSpPr>
        <xdr:spPr>
          <a:xfrm>
            <a:off x="4699000" y="514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3.72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63" name="Chart 1662"/>
          <xdr:cNvGraphicFramePr/>
        </xdr:nvGraphicFramePr>
        <xdr:xfrm>
          <a:off x="3937000" y="539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>
        <xdr:nvSpPr>
          <xdr:cNvPr id="1664" name="24BlockCover"/>
          <xdr:cNvSpPr/>
        </xdr:nvSpPr>
        <xdr:spPr>
          <a:xfrm>
            <a:off x="3429000" y="514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34</xdr:row>
      <xdr:rowOff>0</xdr:rowOff>
    </xdr:from>
    <xdr:to>
      <xdr:col>8</xdr:col>
      <xdr:colOff>76200</xdr:colOff>
      <xdr:row>41</xdr:row>
      <xdr:rowOff>63500</xdr:rowOff>
    </xdr:to>
    <xdr:grpSp>
      <xdr:nvGrpSpPr>
        <xdr:cNvPr id="1673" name="25BlockGroup"/>
        <xdr:cNvGrpSpPr/>
      </xdr:nvGrpSpPr>
      <xdr:grpSpPr>
        <a:xfrm>
          <a:off x="3876675" y="7700645"/>
          <a:ext cx="2300605" cy="1628140"/>
          <a:chOff x="3429000" y="6667500"/>
          <a:chExt cx="2032000" cy="1397000"/>
        </a:xfrm>
      </xdr:grpSpPr>
      <xdr:sp>
        <xdr:nvSpPr>
          <xdr:cNvPr id="1667" name="25TITLE"/>
          <xdr:cNvSpPr txBox="1"/>
        </xdr:nvSpPr>
        <xdr:spPr>
          <a:xfrm>
            <a:off x="3429000" y="666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O-2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8" name="25CP"/>
          <xdr:cNvSpPr txBox="1"/>
        </xdr:nvSpPr>
        <xdr:spPr>
          <a:xfrm>
            <a:off x="3937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69" name="25CPK"/>
          <xdr:cNvSpPr txBox="1"/>
        </xdr:nvSpPr>
        <xdr:spPr>
          <a:xfrm>
            <a:off x="4699000" y="666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3.437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70" name="Chart 1669"/>
          <xdr:cNvGraphicFramePr/>
        </xdr:nvGraphicFramePr>
        <xdr:xfrm>
          <a:off x="3937000" y="692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>
        <xdr:nvSpPr>
          <xdr:cNvPr id="1671" name="25BlockCover"/>
          <xdr:cNvSpPr/>
        </xdr:nvSpPr>
        <xdr:spPr>
          <a:xfrm>
            <a:off x="3429000" y="666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42</xdr:row>
      <xdr:rowOff>0</xdr:rowOff>
    </xdr:from>
    <xdr:to>
      <xdr:col>8</xdr:col>
      <xdr:colOff>76200</xdr:colOff>
      <xdr:row>49</xdr:row>
      <xdr:rowOff>63500</xdr:rowOff>
    </xdr:to>
    <xdr:grpSp>
      <xdr:nvGrpSpPr>
        <xdr:cNvPr id="1680" name="26BlockGroup"/>
        <xdr:cNvGrpSpPr/>
      </xdr:nvGrpSpPr>
      <xdr:grpSpPr>
        <a:xfrm>
          <a:off x="3876675" y="9488805"/>
          <a:ext cx="2300605" cy="1628140"/>
          <a:chOff x="3429000" y="8191500"/>
          <a:chExt cx="2032000" cy="1397000"/>
        </a:xfrm>
      </xdr:grpSpPr>
      <xdr:sp>
        <xdr:nvSpPr>
          <xdr:cNvPr id="1674" name="26TITLE"/>
          <xdr:cNvSpPr txBox="1"/>
        </xdr:nvSpPr>
        <xdr:spPr>
          <a:xfrm>
            <a:off x="3429000" y="819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O-3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75" name="26CP"/>
          <xdr:cNvSpPr txBox="1"/>
        </xdr:nvSpPr>
        <xdr:spPr>
          <a:xfrm>
            <a:off x="3937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3.58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76" name="26CPK"/>
          <xdr:cNvSpPr txBox="1"/>
        </xdr:nvSpPr>
        <xdr:spPr>
          <a:xfrm>
            <a:off x="4699000" y="819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77" name="Chart 1676"/>
          <xdr:cNvGraphicFramePr/>
        </xdr:nvGraphicFramePr>
        <xdr:xfrm>
          <a:off x="3937000" y="844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>
        <xdr:nvSpPr>
          <xdr:cNvPr id="1678" name="26BlockCover"/>
          <xdr:cNvSpPr/>
        </xdr:nvSpPr>
        <xdr:spPr>
          <a:xfrm>
            <a:off x="3429000" y="819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50</xdr:row>
      <xdr:rowOff>0</xdr:rowOff>
    </xdr:from>
    <xdr:to>
      <xdr:col>8</xdr:col>
      <xdr:colOff>76200</xdr:colOff>
      <xdr:row>57</xdr:row>
      <xdr:rowOff>63500</xdr:rowOff>
    </xdr:to>
    <xdr:grpSp>
      <xdr:nvGrpSpPr>
        <xdr:cNvPr id="1687" name="27BlockGroup"/>
        <xdr:cNvGrpSpPr/>
      </xdr:nvGrpSpPr>
      <xdr:grpSpPr>
        <a:xfrm>
          <a:off x="3876675" y="11276965"/>
          <a:ext cx="2300605" cy="1628140"/>
          <a:chOff x="3429000" y="9715500"/>
          <a:chExt cx="2032000" cy="1397000"/>
        </a:xfrm>
      </xdr:grpSpPr>
      <xdr:sp>
        <xdr:nvSpPr>
          <xdr:cNvPr id="1681" name="27TITLE"/>
          <xdr:cNvSpPr txBox="1"/>
        </xdr:nvSpPr>
        <xdr:spPr>
          <a:xfrm>
            <a:off x="3429000" y="971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O-4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2" name="27CP"/>
          <xdr:cNvSpPr txBox="1"/>
        </xdr:nvSpPr>
        <xdr:spPr>
          <a:xfrm>
            <a:off x="3937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3.563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3" name="27CPK"/>
          <xdr:cNvSpPr txBox="1"/>
        </xdr:nvSpPr>
        <xdr:spPr>
          <a:xfrm>
            <a:off x="4699000" y="971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3.563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84" name="Chart 1683"/>
          <xdr:cNvGraphicFramePr/>
        </xdr:nvGraphicFramePr>
        <xdr:xfrm>
          <a:off x="3937000" y="996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>
        <xdr:nvSpPr>
          <xdr:cNvPr id="1685" name="27BlockCover"/>
          <xdr:cNvSpPr/>
        </xdr:nvSpPr>
        <xdr:spPr>
          <a:xfrm>
            <a:off x="3429000" y="971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58</xdr:row>
      <xdr:rowOff>0</xdr:rowOff>
    </xdr:from>
    <xdr:to>
      <xdr:col>8</xdr:col>
      <xdr:colOff>76200</xdr:colOff>
      <xdr:row>65</xdr:row>
      <xdr:rowOff>63500</xdr:rowOff>
    </xdr:to>
    <xdr:grpSp>
      <xdr:nvGrpSpPr>
        <xdr:cNvPr id="1694" name="28BlockGroup"/>
        <xdr:cNvGrpSpPr/>
      </xdr:nvGrpSpPr>
      <xdr:grpSpPr>
        <a:xfrm>
          <a:off x="3876675" y="13065125"/>
          <a:ext cx="2300605" cy="1628140"/>
          <a:chOff x="3429000" y="11239500"/>
          <a:chExt cx="2032000" cy="1397000"/>
        </a:xfrm>
      </xdr:grpSpPr>
      <xdr:sp>
        <xdr:nvSpPr>
          <xdr:cNvPr id="1688" name="28TITLE"/>
          <xdr:cNvSpPr txBox="1"/>
        </xdr:nvSpPr>
        <xdr:spPr>
          <a:xfrm>
            <a:off x="3429000" y="11239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O-5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Max 9.25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89" name="28CP"/>
          <xdr:cNvSpPr txBox="1"/>
        </xdr:nvSpPr>
        <xdr:spPr>
          <a:xfrm>
            <a:off x="3937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0" name="28CPK"/>
          <xdr:cNvSpPr txBox="1"/>
        </xdr:nvSpPr>
        <xdr:spPr>
          <a:xfrm>
            <a:off x="4699000" y="11239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3.433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91" name="Chart 1690"/>
          <xdr:cNvGraphicFramePr/>
        </xdr:nvGraphicFramePr>
        <xdr:xfrm>
          <a:off x="3937000" y="11493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>
        <xdr:nvSpPr>
          <xdr:cNvPr id="1692" name="28BlockCover"/>
          <xdr:cNvSpPr/>
        </xdr:nvSpPr>
        <xdr:spPr>
          <a:xfrm>
            <a:off x="3429000" y="11239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66</xdr:row>
      <xdr:rowOff>0</xdr:rowOff>
    </xdr:from>
    <xdr:to>
      <xdr:col>8</xdr:col>
      <xdr:colOff>76200</xdr:colOff>
      <xdr:row>73</xdr:row>
      <xdr:rowOff>63500</xdr:rowOff>
    </xdr:to>
    <xdr:grpSp>
      <xdr:nvGrpSpPr>
        <xdr:cNvPr id="1701" name="29BlockGroup"/>
        <xdr:cNvGrpSpPr/>
      </xdr:nvGrpSpPr>
      <xdr:grpSpPr>
        <a:xfrm>
          <a:off x="3876675" y="14853285"/>
          <a:ext cx="2300605" cy="1628140"/>
          <a:chOff x="3429000" y="12763500"/>
          <a:chExt cx="2032000" cy="1397000"/>
        </a:xfrm>
      </xdr:grpSpPr>
      <xdr:sp>
        <xdr:nvSpPr>
          <xdr:cNvPr id="1695" name="29TITLE"/>
          <xdr:cNvSpPr txBox="1"/>
        </xdr:nvSpPr>
        <xdr:spPr>
          <a:xfrm>
            <a:off x="3429000" y="12763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25.56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36.56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6" name="29CP"/>
          <xdr:cNvSpPr txBox="1"/>
        </xdr:nvSpPr>
        <xdr:spPr>
          <a:xfrm>
            <a:off x="3937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1.367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697" name="29CPK"/>
          <xdr:cNvSpPr txBox="1"/>
        </xdr:nvSpPr>
        <xdr:spPr>
          <a:xfrm>
            <a:off x="4699000" y="12763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1.25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698" name="Chart 1697"/>
          <xdr:cNvGraphicFramePr/>
        </xdr:nvGraphicFramePr>
        <xdr:xfrm>
          <a:off x="3937000" y="13017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>
        <xdr:nvSpPr>
          <xdr:cNvPr id="1699" name="29BlockCover"/>
          <xdr:cNvSpPr/>
        </xdr:nvSpPr>
        <xdr:spPr>
          <a:xfrm>
            <a:off x="3429000" y="12763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5</xdr:col>
      <xdr:colOff>63500</xdr:colOff>
      <xdr:row>74</xdr:row>
      <xdr:rowOff>0</xdr:rowOff>
    </xdr:from>
    <xdr:to>
      <xdr:col>8</xdr:col>
      <xdr:colOff>76200</xdr:colOff>
      <xdr:row>81</xdr:row>
      <xdr:rowOff>63500</xdr:rowOff>
    </xdr:to>
    <xdr:grpSp>
      <xdr:nvGrpSpPr>
        <xdr:cNvPr id="1708" name="30BlockGroup"/>
        <xdr:cNvGrpSpPr/>
      </xdr:nvGrpSpPr>
      <xdr:grpSpPr>
        <a:xfrm>
          <a:off x="3876675" y="16641445"/>
          <a:ext cx="2300605" cy="1628140"/>
          <a:chOff x="3429000" y="14287500"/>
          <a:chExt cx="2032000" cy="1397000"/>
        </a:xfrm>
      </xdr:grpSpPr>
      <xdr:sp>
        <xdr:nvSpPr>
          <xdr:cNvPr id="1702" name="30TITLE"/>
          <xdr:cNvSpPr txBox="1"/>
        </xdr:nvSpPr>
        <xdr:spPr>
          <a:xfrm>
            <a:off x="3429000" y="14287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Q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35.93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46.93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03" name="30CP"/>
          <xdr:cNvSpPr txBox="1"/>
        </xdr:nvSpPr>
        <xdr:spPr>
          <a:xfrm>
            <a:off x="3937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1.495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04" name="30CPK"/>
          <xdr:cNvSpPr txBox="1"/>
        </xdr:nvSpPr>
        <xdr:spPr>
          <a:xfrm>
            <a:off x="4699000" y="14287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1.293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05" name="Chart 1704"/>
          <xdr:cNvGraphicFramePr/>
        </xdr:nvGraphicFramePr>
        <xdr:xfrm>
          <a:off x="3937000" y="14541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>
        <xdr:nvSpPr>
          <xdr:cNvPr id="1706" name="30BlockCover"/>
          <xdr:cNvSpPr/>
        </xdr:nvSpPr>
        <xdr:spPr>
          <a:xfrm>
            <a:off x="3429000" y="14287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584200</xdr:colOff>
      <xdr:row>2</xdr:row>
      <xdr:rowOff>63500</xdr:rowOff>
    </xdr:from>
    <xdr:to>
      <xdr:col>11</xdr:col>
      <xdr:colOff>596900</xdr:colOff>
      <xdr:row>9</xdr:row>
      <xdr:rowOff>63500</xdr:rowOff>
    </xdr:to>
    <xdr:grpSp>
      <xdr:nvGrpSpPr>
        <xdr:cNvPr id="1715" name="31BlockGroup"/>
        <xdr:cNvGrpSpPr/>
      </xdr:nvGrpSpPr>
      <xdr:grpSpPr>
        <a:xfrm>
          <a:off x="6685280" y="577850"/>
          <a:ext cx="2300605" cy="1598295"/>
          <a:chOff x="5969000" y="571500"/>
          <a:chExt cx="2032000" cy="1397000"/>
        </a:xfrm>
      </xdr:grpSpPr>
      <xdr:sp>
        <xdr:nvSpPr>
          <xdr:cNvPr id="1709" name="31TITLE"/>
          <xdr:cNvSpPr txBox="1"/>
        </xdr:nvSpPr>
        <xdr:spPr>
          <a:xfrm>
            <a:off x="5969000" y="571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R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0" name="31CP"/>
          <xdr:cNvSpPr txBox="1"/>
        </xdr:nvSpPr>
        <xdr:spPr>
          <a:xfrm>
            <a:off x="6477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1.211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1" name="31CPK"/>
          <xdr:cNvSpPr txBox="1"/>
        </xdr:nvSpPr>
        <xdr:spPr>
          <a:xfrm>
            <a:off x="7239000" y="571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1.036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12" name="Chart 1711"/>
          <xdr:cNvGraphicFramePr/>
        </xdr:nvGraphicFramePr>
        <xdr:xfrm>
          <a:off x="6477000" y="825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>
        <xdr:nvSpPr>
          <xdr:cNvPr id="1713" name="31BlockCover"/>
          <xdr:cNvSpPr/>
        </xdr:nvSpPr>
        <xdr:spPr>
          <a:xfrm>
            <a:off x="5969000" y="571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584200</xdr:colOff>
      <xdr:row>10</xdr:row>
      <xdr:rowOff>0</xdr:rowOff>
    </xdr:from>
    <xdr:to>
      <xdr:col>11</xdr:col>
      <xdr:colOff>596900</xdr:colOff>
      <xdr:row>17</xdr:row>
      <xdr:rowOff>63500</xdr:rowOff>
    </xdr:to>
    <xdr:grpSp>
      <xdr:nvGrpSpPr>
        <xdr:cNvPr id="1722" name="32BlockGroup"/>
        <xdr:cNvGrpSpPr/>
      </xdr:nvGrpSpPr>
      <xdr:grpSpPr>
        <a:xfrm>
          <a:off x="6685280" y="2336165"/>
          <a:ext cx="2300605" cy="1628140"/>
          <a:chOff x="5969000" y="2095500"/>
          <a:chExt cx="2032000" cy="1397000"/>
        </a:xfrm>
      </xdr:grpSpPr>
      <xdr:sp>
        <xdr:nvSpPr>
          <xdr:cNvPr id="1716" name="32TITLE"/>
          <xdr:cNvSpPr txBox="1"/>
        </xdr:nvSpPr>
        <xdr:spPr>
          <a:xfrm>
            <a:off x="5969000" y="2095500"/>
            <a:ext cx="508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SPC S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 /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2.5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7" name="32CP"/>
          <xdr:cNvSpPr txBox="1"/>
        </xdr:nvSpPr>
        <xdr:spPr>
          <a:xfrm>
            <a:off x="6477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1.206</a:t>
            </a:r>
            <a:endParaRPr lang="en-US" sz="500">
              <a:latin typeface="Arial" panose="020B0604020202090204"/>
            </a:endParaRPr>
          </a:p>
        </xdr:txBody>
      </xdr:sp>
      <xdr:sp>
        <xdr:nvSpPr>
          <xdr:cNvPr id="1718" name="32CPK"/>
          <xdr:cNvSpPr txBox="1"/>
        </xdr:nvSpPr>
        <xdr:spPr>
          <a:xfrm>
            <a:off x="7239000" y="2095500"/>
            <a:ext cx="762000" cy="254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ln w="127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lIns="0" tIns="0" rIns="0" bIns="0" rtlCol="0" anchor="ctr"/>
          <a:lstStyle/>
          <a:p>
            <a:pPr algn="ctr"/>
            <a:r>
              <a:rPr lang="en-US" sz="500">
                <a:latin typeface="Arial" panose="020B0604020202090204"/>
              </a:rPr>
              <a:t>Cpk</a:t>
            </a:r>
            <a:endParaRPr lang="en-US" sz="500">
              <a:latin typeface="Arial" panose="020B0604020202090204"/>
            </a:endParaRPr>
          </a:p>
          <a:p>
            <a:pPr algn="ctr"/>
            <a:r>
              <a:rPr lang="en-US" sz="500">
                <a:latin typeface="Arial" panose="020B0604020202090204"/>
              </a:rPr>
              <a:t>1.098</a:t>
            </a:r>
            <a:endParaRPr lang="en-US" sz="500">
              <a:latin typeface="Arial" panose="020B0604020202090204"/>
            </a:endParaRPr>
          </a:p>
        </xdr:txBody>
      </xdr:sp>
      <xdr:graphicFrame>
        <xdr:nvGraphicFramePr>
          <xdr:cNvPr id="1719" name="Chart 1718"/>
          <xdr:cNvGraphicFramePr/>
        </xdr:nvGraphicFramePr>
        <xdr:xfrm>
          <a:off x="6477000" y="2349500"/>
          <a:ext cx="1524000" cy="114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>
        <xdr:nvSpPr>
          <xdr:cNvPr id="1720" name="32BlockCover"/>
          <xdr:cNvSpPr/>
        </xdr:nvSpPr>
        <xdr:spPr>
          <a:xfrm>
            <a:off x="5969000" y="2095500"/>
            <a:ext cx="2032000" cy="1397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>
              <a:alpha val="5000"/>
            </a:srgbClr>
          </a:solidFill>
          <a:ln w="1270"/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15</xdr:col>
      <xdr:colOff>0</xdr:colOff>
      <xdr:row>2</xdr:row>
      <xdr:rowOff>0</xdr:rowOff>
    </xdr:from>
    <xdr:to>
      <xdr:col>34</xdr:col>
      <xdr:colOff>114935</xdr:colOff>
      <xdr:row>44</xdr:row>
      <xdr:rowOff>14605</xdr:rowOff>
    </xdr:to>
    <xdr:pic>
      <xdr:nvPicPr>
        <xdr:cNvPr id="3" name="Picture 2"/>
        <xdr:cNvPicPr>
          <a:picLocks noChangeAspect="1"/>
        </xdr:cNvPicPr>
      </xdr:nvPicPr>
      <xdr:blipFill>
        <a:blip r:embed="rId23"/>
        <a:stretch>
          <a:fillRect/>
        </a:stretch>
      </xdr:blipFill>
      <xdr:spPr>
        <a:xfrm>
          <a:off x="11439525" y="514350"/>
          <a:ext cx="14605000" cy="94361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GC131"/>
  <sheetViews>
    <sheetView showGridLines="0" tabSelected="1" zoomScale="76" zoomScaleNormal="76" zoomScalePageLayoutView="125" workbookViewId="0">
      <pane xSplit="14" ySplit="10" topLeftCell="Y11" activePane="bottomRight" state="frozen"/>
      <selection/>
      <selection pane="topRight"/>
      <selection pane="bottomLeft"/>
      <selection pane="bottomRight" activeCell="AL13" sqref="AL13"/>
    </sheetView>
  </sheetViews>
  <sheetFormatPr defaultColWidth="8.83088235294118" defaultRowHeight="17.6"/>
  <cols>
    <col min="1" max="1" width="0.830882352941177" customWidth="1"/>
    <col min="2" max="3" width="7.83088235294118" customWidth="1"/>
    <col min="4" max="4" width="32.0808823529412" customWidth="1"/>
    <col min="5" max="5" width="7.66176470588235" customWidth="1"/>
    <col min="6" max="6" width="9" customWidth="1"/>
    <col min="7" max="7" width="7.83088235294118" customWidth="1"/>
    <col min="8" max="9" width="8.33088235294118" customWidth="1"/>
    <col min="10" max="13" width="7.83088235294118" customWidth="1"/>
    <col min="14" max="14" width="0.830882352941177" customWidth="1"/>
    <col min="15" max="25" width="7.83088235294118" customWidth="1"/>
    <col min="26" max="26" width="10" customWidth="1"/>
    <col min="27" max="29" width="9.66176470588235" customWidth="1"/>
    <col min="30" max="30" width="7.83088235294118" customWidth="1"/>
    <col min="31" max="31" width="9" customWidth="1"/>
    <col min="32" max="32" width="9.18382352941176" customWidth="1"/>
    <col min="33" max="35" width="9" hidden="1" customWidth="1"/>
    <col min="36" max="36" width="0.830882352941177" customWidth="1"/>
    <col min="37" max="136" width="7.83088235294118" customWidth="1"/>
  </cols>
  <sheetData>
    <row r="1" s="13" customFormat="1" ht="22" customHeight="1" spans="1:36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99"/>
    </row>
    <row r="2" s="14" customFormat="1" ht="14" customHeight="1" spans="2:36">
      <c r="B2" s="18" t="s">
        <v>1</v>
      </c>
      <c r="C2" s="18"/>
      <c r="D2" s="19"/>
      <c r="E2" s="19"/>
      <c r="F2" s="19"/>
      <c r="I2" s="19"/>
      <c r="J2" s="19"/>
      <c r="K2" s="19"/>
      <c r="L2" s="20"/>
      <c r="M2" s="20"/>
      <c r="O2" s="20"/>
      <c r="P2" s="20"/>
      <c r="Q2" s="19"/>
      <c r="R2" s="19"/>
      <c r="S2" s="11"/>
      <c r="T2" s="11"/>
      <c r="U2" s="11"/>
      <c r="V2" s="83" t="s">
        <v>2</v>
      </c>
      <c r="W2" s="83"/>
      <c r="X2" s="11"/>
      <c r="AB2" s="20"/>
      <c r="AE2" s="19"/>
      <c r="AF2" s="19"/>
      <c r="AG2" s="19"/>
      <c r="AH2" s="19"/>
      <c r="AI2" s="19"/>
      <c r="AJ2" s="20"/>
    </row>
    <row r="3" s="14" customFormat="1" ht="9" customHeight="1" spans="2:36">
      <c r="B3" s="19"/>
      <c r="C3" s="19"/>
      <c r="D3" s="20"/>
      <c r="E3" s="20"/>
      <c r="F3" s="19"/>
      <c r="G3" s="19"/>
      <c r="H3" s="19"/>
      <c r="I3" s="19"/>
      <c r="J3" s="19"/>
      <c r="K3" s="19"/>
      <c r="L3" s="20"/>
      <c r="M3" s="20"/>
      <c r="O3" s="20"/>
      <c r="P3" s="20"/>
      <c r="Q3" s="19"/>
      <c r="R3" s="19"/>
      <c r="S3" s="19"/>
      <c r="T3" s="19"/>
      <c r="U3" s="19"/>
      <c r="V3" s="19"/>
      <c r="W3" s="19"/>
      <c r="X3" s="20"/>
      <c r="Y3" s="20"/>
      <c r="Z3" s="20"/>
      <c r="AA3" s="20"/>
      <c r="AB3" s="20"/>
      <c r="AC3" s="20"/>
      <c r="AD3" s="19"/>
      <c r="AE3" s="19"/>
      <c r="AF3" s="19"/>
      <c r="AG3" s="19"/>
      <c r="AH3" s="19"/>
      <c r="AI3" s="19"/>
      <c r="AJ3" s="20"/>
    </row>
    <row r="4" s="14" customFormat="1" ht="18.75" customHeight="1" spans="2:36">
      <c r="B4" s="21" t="s">
        <v>3</v>
      </c>
      <c r="C4" s="22"/>
      <c r="D4" s="23" t="s">
        <v>4</v>
      </c>
      <c r="E4" s="42"/>
      <c r="F4" s="43" t="s">
        <v>5</v>
      </c>
      <c r="G4" s="44"/>
      <c r="H4" s="45" t="s">
        <v>6</v>
      </c>
      <c r="I4" s="55"/>
      <c r="J4" s="55"/>
      <c r="K4" s="55"/>
      <c r="L4" s="55"/>
      <c r="M4" s="63"/>
      <c r="N4" s="64"/>
      <c r="O4" s="21" t="s">
        <v>7</v>
      </c>
      <c r="P4" s="65"/>
      <c r="Q4" s="22"/>
      <c r="R4" s="74" t="s">
        <v>8</v>
      </c>
      <c r="S4" s="75"/>
      <c r="T4" s="75"/>
      <c r="U4" s="75"/>
      <c r="V4" s="75"/>
      <c r="W4" s="84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</row>
    <row r="5" s="14" customFormat="1" ht="18.75" customHeight="1" spans="2:36">
      <c r="B5" s="21" t="s">
        <v>9</v>
      </c>
      <c r="C5" s="22"/>
      <c r="D5" s="23" t="s">
        <v>10</v>
      </c>
      <c r="E5" s="42"/>
      <c r="F5" s="43" t="s">
        <v>11</v>
      </c>
      <c r="G5" s="44"/>
      <c r="H5" s="45" t="s">
        <v>12</v>
      </c>
      <c r="I5" s="55"/>
      <c r="J5" s="55"/>
      <c r="K5" s="55"/>
      <c r="L5" s="55"/>
      <c r="M5" s="63"/>
      <c r="N5" s="64"/>
      <c r="O5" s="21" t="s">
        <v>13</v>
      </c>
      <c r="P5" s="65"/>
      <c r="Q5" s="22"/>
      <c r="R5" s="74"/>
      <c r="S5" s="75"/>
      <c r="T5" s="75"/>
      <c r="U5" s="75"/>
      <c r="V5" s="75"/>
      <c r="W5" s="84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</row>
    <row r="6" s="14" customFormat="1" ht="18.75" customHeight="1" spans="2:36">
      <c r="B6" s="21" t="s">
        <v>14</v>
      </c>
      <c r="C6" s="22"/>
      <c r="D6" s="24">
        <v>90</v>
      </c>
      <c r="E6" s="42"/>
      <c r="F6" s="43" t="s">
        <v>15</v>
      </c>
      <c r="G6" s="44"/>
      <c r="H6" s="45">
        <v>45999</v>
      </c>
      <c r="I6" s="55"/>
      <c r="J6" s="55"/>
      <c r="K6" s="55"/>
      <c r="L6" s="55"/>
      <c r="M6" s="63"/>
      <c r="N6" s="64"/>
      <c r="O6" s="21" t="s">
        <v>16</v>
      </c>
      <c r="P6" s="65"/>
      <c r="Q6" s="22"/>
      <c r="R6" s="74" t="s">
        <v>17</v>
      </c>
      <c r="S6" s="75"/>
      <c r="T6" s="75"/>
      <c r="U6" s="75"/>
      <c r="V6" s="75"/>
      <c r="W6" s="84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</row>
    <row r="7" s="14" customFormat="1" ht="9" customHeight="1" spans="2:37">
      <c r="B7" s="25"/>
      <c r="C7" s="26"/>
      <c r="D7" s="25"/>
      <c r="E7" s="25"/>
      <c r="F7" s="26"/>
      <c r="G7" s="25"/>
      <c r="H7" s="26"/>
      <c r="I7" s="25"/>
      <c r="J7" s="26"/>
      <c r="K7" s="26"/>
      <c r="L7" s="25"/>
      <c r="M7" s="26"/>
      <c r="O7" s="25"/>
      <c r="P7" s="26"/>
      <c r="Q7" s="25"/>
      <c r="R7" s="25"/>
      <c r="S7" s="25"/>
      <c r="T7" s="25"/>
      <c r="U7" s="25"/>
      <c r="V7" s="26"/>
      <c r="W7" s="25"/>
      <c r="X7" s="26"/>
      <c r="Y7" s="25"/>
      <c r="Z7" s="25"/>
      <c r="AA7" s="25"/>
      <c r="AB7" s="25"/>
      <c r="AC7" s="25"/>
      <c r="AD7" s="26"/>
      <c r="AE7" s="25"/>
      <c r="AF7" s="25"/>
      <c r="AG7" s="25"/>
      <c r="AH7" s="25"/>
      <c r="AI7" s="25"/>
      <c r="AJ7" s="26"/>
      <c r="AK7" s="20"/>
    </row>
    <row r="8" s="15" customFormat="1" ht="15" customHeight="1" spans="1:68">
      <c r="A8" s="27"/>
      <c r="B8" s="28" t="s">
        <v>18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66"/>
      <c r="N8" s="27"/>
      <c r="O8" s="28" t="s">
        <v>19</v>
      </c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66"/>
      <c r="AG8" s="100" t="s">
        <v>20</v>
      </c>
      <c r="AH8" s="100"/>
      <c r="AI8" s="100"/>
      <c r="AJ8" s="27"/>
      <c r="AK8" s="109" t="s">
        <v>21</v>
      </c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7"/>
    </row>
    <row r="9" s="15" customFormat="1" ht="25" customHeight="1" spans="1:68">
      <c r="A9" s="30"/>
      <c r="B9" s="31"/>
      <c r="C9" s="31"/>
      <c r="D9" s="31"/>
      <c r="E9" s="31"/>
      <c r="F9" s="31"/>
      <c r="G9" s="46"/>
      <c r="H9" s="127" t="s">
        <v>22</v>
      </c>
      <c r="I9" s="127" t="s">
        <v>23</v>
      </c>
      <c r="J9" s="56"/>
      <c r="K9" s="56"/>
      <c r="L9" s="57"/>
      <c r="M9" s="57"/>
      <c r="N9" s="30"/>
      <c r="O9" s="67"/>
      <c r="P9" s="67"/>
      <c r="Q9" s="76"/>
      <c r="R9" s="67"/>
      <c r="S9" s="77"/>
      <c r="T9" s="77"/>
      <c r="U9" s="77"/>
      <c r="V9" s="77"/>
      <c r="W9" s="77"/>
      <c r="X9" s="77"/>
      <c r="Y9" s="77"/>
      <c r="Z9" s="85" t="s">
        <v>24</v>
      </c>
      <c r="AA9" s="86"/>
      <c r="AB9" s="85" t="s">
        <v>25</v>
      </c>
      <c r="AC9" s="91">
        <v>1.5</v>
      </c>
      <c r="AD9" s="92"/>
      <c r="AE9" s="92"/>
      <c r="AF9" s="93"/>
      <c r="AG9" s="101"/>
      <c r="AH9" s="101"/>
      <c r="AI9" s="102"/>
      <c r="AJ9" s="103"/>
      <c r="AK9" s="111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  <c r="BL9" s="112"/>
      <c r="BM9" s="112"/>
      <c r="BN9" s="112"/>
      <c r="BO9" s="112"/>
      <c r="BP9" s="118"/>
    </row>
    <row r="10" s="16" customFormat="1" ht="28" spans="1:136">
      <c r="A10" s="32"/>
      <c r="B10" s="33" t="s">
        <v>26</v>
      </c>
      <c r="C10" s="33" t="s">
        <v>27</v>
      </c>
      <c r="D10" s="33" t="s">
        <v>28</v>
      </c>
      <c r="E10" s="33" t="s">
        <v>29</v>
      </c>
      <c r="F10" s="33" t="s">
        <v>30</v>
      </c>
      <c r="G10" s="48" t="s">
        <v>31</v>
      </c>
      <c r="H10" s="128" t="s">
        <v>32</v>
      </c>
      <c r="I10" s="128" t="s">
        <v>33</v>
      </c>
      <c r="J10" s="58" t="s">
        <v>34</v>
      </c>
      <c r="K10" s="58" t="s">
        <v>35</v>
      </c>
      <c r="L10" s="59" t="s">
        <v>36</v>
      </c>
      <c r="M10" s="59" t="s">
        <v>37</v>
      </c>
      <c r="N10" s="32"/>
      <c r="O10" s="68" t="s">
        <v>38</v>
      </c>
      <c r="P10" s="68" t="s">
        <v>39</v>
      </c>
      <c r="Q10" s="78" t="s">
        <v>40</v>
      </c>
      <c r="R10" s="68" t="s">
        <v>41</v>
      </c>
      <c r="S10" s="79" t="s">
        <v>42</v>
      </c>
      <c r="T10" s="79" t="s">
        <v>43</v>
      </c>
      <c r="U10" s="79" t="s">
        <v>44</v>
      </c>
      <c r="V10" s="79" t="s">
        <v>45</v>
      </c>
      <c r="W10" s="79" t="s">
        <v>46</v>
      </c>
      <c r="X10" s="79" t="s">
        <v>47</v>
      </c>
      <c r="Y10" s="79" t="s">
        <v>48</v>
      </c>
      <c r="Z10" s="129" t="s">
        <v>49</v>
      </c>
      <c r="AA10" s="129" t="s">
        <v>50</v>
      </c>
      <c r="AB10" s="130" t="s">
        <v>51</v>
      </c>
      <c r="AC10" s="131" t="s">
        <v>52</v>
      </c>
      <c r="AD10" s="95" t="s">
        <v>53</v>
      </c>
      <c r="AE10" s="95" t="s">
        <v>54</v>
      </c>
      <c r="AF10" s="95" t="s">
        <v>55</v>
      </c>
      <c r="AG10" s="101"/>
      <c r="AH10" s="101"/>
      <c r="AI10" s="102"/>
      <c r="AJ10" s="104"/>
      <c r="AK10" s="113">
        <v>1</v>
      </c>
      <c r="AL10" s="113">
        <v>2</v>
      </c>
      <c r="AM10" s="113">
        <v>3</v>
      </c>
      <c r="AN10" s="113">
        <v>4</v>
      </c>
      <c r="AO10" s="113">
        <v>5</v>
      </c>
      <c r="AP10" s="113">
        <v>6</v>
      </c>
      <c r="AQ10" s="113">
        <v>7</v>
      </c>
      <c r="AR10" s="113">
        <v>8</v>
      </c>
      <c r="AS10" s="113">
        <v>9</v>
      </c>
      <c r="AT10" s="113">
        <v>10</v>
      </c>
      <c r="AU10" s="113">
        <v>11</v>
      </c>
      <c r="AV10" s="113">
        <v>12</v>
      </c>
      <c r="AW10" s="113">
        <v>13</v>
      </c>
      <c r="AX10" s="113">
        <v>14</v>
      </c>
      <c r="AY10" s="113">
        <v>15</v>
      </c>
      <c r="AZ10" s="113">
        <v>16</v>
      </c>
      <c r="BA10" s="113">
        <v>17</v>
      </c>
      <c r="BB10" s="113">
        <v>18</v>
      </c>
      <c r="BC10" s="113">
        <v>19</v>
      </c>
      <c r="BD10" s="113">
        <v>20</v>
      </c>
      <c r="BE10" s="113">
        <v>21</v>
      </c>
      <c r="BF10" s="113">
        <v>22</v>
      </c>
      <c r="BG10" s="113">
        <v>23</v>
      </c>
      <c r="BH10" s="113">
        <v>24</v>
      </c>
      <c r="BI10" s="113">
        <v>25</v>
      </c>
      <c r="BJ10" s="113">
        <v>26</v>
      </c>
      <c r="BK10" s="113">
        <v>27</v>
      </c>
      <c r="BL10" s="113">
        <v>28</v>
      </c>
      <c r="BM10" s="113">
        <v>29</v>
      </c>
      <c r="BN10" s="113">
        <v>30</v>
      </c>
      <c r="BO10" s="113">
        <v>31</v>
      </c>
      <c r="BP10" s="119">
        <v>32</v>
      </c>
      <c r="BQ10" s="121">
        <v>33</v>
      </c>
      <c r="BR10" s="113">
        <v>34</v>
      </c>
      <c r="BS10" s="113">
        <v>35</v>
      </c>
      <c r="BT10" s="113">
        <v>36</v>
      </c>
      <c r="BU10" s="113">
        <v>37</v>
      </c>
      <c r="BV10" s="113">
        <v>38</v>
      </c>
      <c r="BW10" s="113">
        <v>39</v>
      </c>
      <c r="BX10" s="113">
        <v>40</v>
      </c>
      <c r="BY10" s="113">
        <v>41</v>
      </c>
      <c r="BZ10" s="113">
        <v>42</v>
      </c>
      <c r="CA10" s="113">
        <v>43</v>
      </c>
      <c r="CB10" s="113">
        <v>44</v>
      </c>
      <c r="CC10" s="113">
        <v>45</v>
      </c>
      <c r="CD10" s="113">
        <v>46</v>
      </c>
      <c r="CE10" s="113">
        <v>47</v>
      </c>
      <c r="CF10" s="113">
        <v>48</v>
      </c>
      <c r="CG10" s="113">
        <v>49</v>
      </c>
      <c r="CH10" s="113">
        <v>50</v>
      </c>
      <c r="CI10" s="113">
        <v>51</v>
      </c>
      <c r="CJ10" s="113">
        <v>52</v>
      </c>
      <c r="CK10" s="113">
        <v>53</v>
      </c>
      <c r="CL10" s="113">
        <v>54</v>
      </c>
      <c r="CM10" s="113">
        <v>55</v>
      </c>
      <c r="CN10" s="113">
        <v>56</v>
      </c>
      <c r="CO10" s="113">
        <v>57</v>
      </c>
      <c r="CP10" s="113">
        <v>58</v>
      </c>
      <c r="CQ10" s="113">
        <v>59</v>
      </c>
      <c r="CR10" s="113">
        <v>60</v>
      </c>
      <c r="CS10" s="113">
        <v>61</v>
      </c>
      <c r="CT10" s="113">
        <v>62</v>
      </c>
      <c r="CU10" s="113">
        <v>63</v>
      </c>
      <c r="CV10" s="113">
        <v>64</v>
      </c>
      <c r="CW10" s="113">
        <v>65</v>
      </c>
      <c r="CX10" s="113">
        <v>66</v>
      </c>
      <c r="CY10" s="113">
        <v>67</v>
      </c>
      <c r="CZ10" s="113">
        <v>68</v>
      </c>
      <c r="DA10" s="113">
        <v>69</v>
      </c>
      <c r="DB10" s="113">
        <v>70</v>
      </c>
      <c r="DC10" s="113">
        <v>71</v>
      </c>
      <c r="DD10" s="113">
        <v>72</v>
      </c>
      <c r="DE10" s="113">
        <v>73</v>
      </c>
      <c r="DF10" s="113">
        <v>74</v>
      </c>
      <c r="DG10" s="113">
        <v>75</v>
      </c>
      <c r="DH10" s="113">
        <v>76</v>
      </c>
      <c r="DI10" s="113">
        <v>77</v>
      </c>
      <c r="DJ10" s="113">
        <v>78</v>
      </c>
      <c r="DK10" s="113">
        <v>79</v>
      </c>
      <c r="DL10" s="113">
        <v>80</v>
      </c>
      <c r="DM10" s="113">
        <v>81</v>
      </c>
      <c r="DN10" s="113">
        <v>82</v>
      </c>
      <c r="DO10" s="113">
        <v>83</v>
      </c>
      <c r="DP10" s="113">
        <v>84</v>
      </c>
      <c r="DQ10" s="113">
        <v>85</v>
      </c>
      <c r="DR10" s="113">
        <v>86</v>
      </c>
      <c r="DS10" s="113">
        <v>87</v>
      </c>
      <c r="DT10" s="113">
        <v>88</v>
      </c>
      <c r="DU10" s="113">
        <v>89</v>
      </c>
      <c r="DV10" s="113">
        <v>90</v>
      </c>
      <c r="DW10" s="113">
        <v>91</v>
      </c>
      <c r="DX10" s="113">
        <v>92</v>
      </c>
      <c r="DY10" s="113">
        <v>93</v>
      </c>
      <c r="DZ10" s="113">
        <v>94</v>
      </c>
      <c r="EA10" s="113">
        <v>95</v>
      </c>
      <c r="EB10" s="113">
        <v>96</v>
      </c>
      <c r="EC10" s="113">
        <v>97</v>
      </c>
      <c r="ED10" s="113">
        <v>98</v>
      </c>
      <c r="EE10" s="113">
        <v>99</v>
      </c>
      <c r="EF10" s="113">
        <v>100</v>
      </c>
    </row>
    <row r="11" ht="15" customHeight="1" spans="1:3556">
      <c r="A11" s="34">
        <v>1</v>
      </c>
      <c r="B11" s="35" t="s">
        <v>56</v>
      </c>
      <c r="C11" s="36">
        <v>1</v>
      </c>
      <c r="D11" s="36" t="s">
        <v>57</v>
      </c>
      <c r="E11" s="50">
        <v>1.33</v>
      </c>
      <c r="F11" s="51" t="s">
        <v>58</v>
      </c>
      <c r="G11" s="52">
        <v>1.47</v>
      </c>
      <c r="H11" s="53">
        <v>0.04</v>
      </c>
      <c r="I11" s="53">
        <v>-0.04</v>
      </c>
      <c r="J11" s="60" t="s">
        <v>59</v>
      </c>
      <c r="K11" s="61" t="s">
        <v>60</v>
      </c>
      <c r="L11" s="62">
        <f t="shared" ref="L11:L19" si="0">IF(AND(G11="",H11=""),"",IF(G11="",H11,G11+H11))</f>
        <v>1.51</v>
      </c>
      <c r="M11" s="62">
        <f t="shared" ref="M11:M19" si="1">IF(AND(G11="",I11=""),"",IF(G11="",I11,G11+I11))</f>
        <v>1.43</v>
      </c>
      <c r="N11" s="69"/>
      <c r="O11" s="70">
        <f t="shared" ref="O11:O19" si="2">IF(OR($AK11="",ISNUMBER($AK11)=FALSE),"",MAX(AK11:EF11))</f>
        <v>1.463</v>
      </c>
      <c r="P11" s="70">
        <f t="shared" ref="P11:P19" si="3">IF(OR($AK11="",ISNUMBER($AK11)=FALSE),"",MIN(AK11:EF11))</f>
        <v>1.457</v>
      </c>
      <c r="Q11" s="70">
        <f t="shared" ref="Q11:Q19" si="4">IF(OR($AK11="",ISNUMBER($AK11)=FALSE),"",AVERAGE(AK11:EF11))</f>
        <v>1.46021875</v>
      </c>
      <c r="R11" s="80">
        <f t="shared" ref="R11:R19" si="5">IF(OR($AK11="",ISNUMBER($AK11)=FALSE),"",STDEV(AK11:EF11))</f>
        <v>0.0015183687129242</v>
      </c>
      <c r="S11" s="81">
        <f t="shared" ref="S11:S23" si="6">IF(OR($AK11="",ISNUMBER($AK11)=FALSE),"",IF(AND(G11=0,I11=0),V11,IF(AND(G11="",H11=""),W11,(H11+ABS(I11))/(6*R11))))</f>
        <v>8.78135410710282</v>
      </c>
      <c r="T11" s="82">
        <f t="shared" ref="T11:T19" si="7">IF(OR($AK11="",ISNUMBER($AK11)=FALSE),"",IF(AND($F11="Tolerance",$G11&lt;&gt;""),($Q11-$G11)/(($L11-$M11)/2),IF(AND($F11="GD&amp;T",$H11&lt;&gt;""),$Q11/$H11,"")))</f>
        <v>-0.244531249999996</v>
      </c>
      <c r="U11" s="82" t="str">
        <f t="shared" ref="U11:U19" si="8">IF($T11="","",IF(ABS($T11)&lt;=0.125,"Level A",IF(AND(ABS($T11)&gt;0.125,ABS($T11)&lt;=0.25),"Level B",IF(AND(ABS($T11)&gt;0.25,ABS($T11)&lt;=0.5),"Level C",IF(ABS($T11)&gt;0.5,"Level D")))))</f>
        <v>Level B</v>
      </c>
      <c r="V11" s="81">
        <f t="shared" ref="V11:V23" si="9">IF(OR($AK11="",ISNUMBER($AK11)=FALSE),"",IF(H11="","",(L11-Q11)/(3*R11)))</f>
        <v>10.9286696036053</v>
      </c>
      <c r="W11" s="81">
        <f t="shared" ref="W11:W23" si="10">IF(OR($AK11="",ISNUMBER($AK11)=FALSE),"",IF(I11="","",(Q11-M11)/(3*R11)))</f>
        <v>6.63403861060037</v>
      </c>
      <c r="X11" s="81">
        <f t="shared" ref="X11:X19" si="11">IF(OR($AK11="",ISNUMBER($AK11)=FALSE),"",IF(AND(G11=0,I11=0),((H11)-(Q11))/(3*R11),MIN(V11:W11)))</f>
        <v>6.63403861060037</v>
      </c>
      <c r="Y11" s="88">
        <f t="shared" ref="Y11:Y19" si="12">IF(OR($AK11="",ISNUMBER($AK11)=FALSE),"",IF(AND(G11=0,I11=0),NORMSDIST(3*X11),NORMSDIST(3*X11)+NORMSDIST(6*S11-3*X11)-1))</f>
        <v>1</v>
      </c>
      <c r="Z11" s="89" t="str">
        <f t="shared" ref="Z11:Z19" si="13">IF($Q11="","",IF(F11="Tolerance",IF(($E11*3*R11+Q11)-G11&lt;H11,"",($E11*3*R11+Q11)-G11),IF(OR(F11="GD&amp;T",F11="MAX"),IF(($E11*3*R11+Q11)&lt;H11,"",($E11*3*R11+Q11)),"")))</f>
        <v/>
      </c>
      <c r="AA11" s="89" t="str">
        <f t="shared" ref="AA11:AA19" si="14">IF(Q11="","",IF(F11="Tolerance",IF(-(($E11*3*R11)-Q11)-G11&gt;I11,"",-(($E11*3*R11)-Q11)-G11),IF(F11="MIN",IF(-(($E11*3*R11)-Q11)&gt;I11,"",-(($E11*3*R11)-Q11)),"")))</f>
        <v/>
      </c>
      <c r="AB11" s="89">
        <f t="shared" ref="AB11:AB19" si="15">IF(OR(G11="",Q11=""),"",(L11+M11)/2-Q11)</f>
        <v>0.00978124999999985</v>
      </c>
      <c r="AC11" s="89" t="str">
        <f t="shared" ref="AC11:AC19" si="16">IF(OR($S11&gt;$AC$9,$R11=""),"",$AC$9*6*$R11)</f>
        <v/>
      </c>
      <c r="AD11" s="96"/>
      <c r="AE11" s="97" t="str">
        <f t="shared" ref="AE11:AE19" si="17">IF(AD11="","",IF(AD11&gt;=0.966,"Normal","Not Normal"))</f>
        <v/>
      </c>
      <c r="AF11" s="98"/>
      <c r="AG11" s="105"/>
      <c r="AH11" s="105"/>
      <c r="AI11" s="106"/>
      <c r="AJ11" s="107"/>
      <c r="AK11" s="114">
        <v>1.461</v>
      </c>
      <c r="AL11" s="114">
        <v>1.46</v>
      </c>
      <c r="AM11" s="114">
        <v>1.462</v>
      </c>
      <c r="AN11" s="114">
        <v>1.459</v>
      </c>
      <c r="AO11" s="114">
        <v>1.459</v>
      </c>
      <c r="AP11" s="114">
        <v>1.46</v>
      </c>
      <c r="AQ11" s="114">
        <v>1.462</v>
      </c>
      <c r="AR11" s="114">
        <v>1.458</v>
      </c>
      <c r="AS11" s="114">
        <v>1.463</v>
      </c>
      <c r="AT11" s="114">
        <v>1.462</v>
      </c>
      <c r="AU11" s="114">
        <v>1.46</v>
      </c>
      <c r="AV11" s="114">
        <v>1.461</v>
      </c>
      <c r="AW11" s="114">
        <v>1.46</v>
      </c>
      <c r="AX11" s="114">
        <v>1.462</v>
      </c>
      <c r="AY11" s="114">
        <v>1.46</v>
      </c>
      <c r="AZ11" s="114">
        <v>1.46</v>
      </c>
      <c r="BA11" s="114">
        <v>1.46</v>
      </c>
      <c r="BB11" s="114">
        <v>1.459</v>
      </c>
      <c r="BC11" s="114">
        <v>1.461</v>
      </c>
      <c r="BD11" s="114">
        <v>1.462</v>
      </c>
      <c r="BE11" s="114">
        <v>1.462</v>
      </c>
      <c r="BF11" s="114">
        <v>1.457</v>
      </c>
      <c r="BG11" s="114">
        <v>1.459</v>
      </c>
      <c r="BH11" s="114">
        <v>1.459</v>
      </c>
      <c r="BI11" s="114">
        <v>1.463</v>
      </c>
      <c r="BJ11" s="114">
        <v>1.458</v>
      </c>
      <c r="BK11" s="114">
        <v>1.458</v>
      </c>
      <c r="BL11" s="114">
        <v>1.46</v>
      </c>
      <c r="BM11" s="114">
        <v>1.46</v>
      </c>
      <c r="BN11" s="114">
        <v>1.46</v>
      </c>
      <c r="BO11" s="114">
        <v>1.459</v>
      </c>
      <c r="BP11" s="114">
        <v>1.461</v>
      </c>
      <c r="BQ11" s="122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23"/>
      <c r="CT11" s="123"/>
      <c r="CU11" s="123"/>
      <c r="CV11" s="123"/>
      <c r="CW11" s="123"/>
      <c r="CX11" s="123"/>
      <c r="CY11" s="123"/>
      <c r="CZ11" s="123"/>
      <c r="DA11" s="123"/>
      <c r="DB11" s="123"/>
      <c r="DC11" s="123"/>
      <c r="DD11" s="123"/>
      <c r="DE11" s="123"/>
      <c r="DF11" s="123"/>
      <c r="DG11" s="123"/>
      <c r="DH11" s="123"/>
      <c r="DI11" s="123"/>
      <c r="DJ11" s="123"/>
      <c r="DK11" s="123"/>
      <c r="DL11" s="123"/>
      <c r="DM11" s="123"/>
      <c r="DN11" s="123"/>
      <c r="DO11" s="123"/>
      <c r="DP11" s="123"/>
      <c r="DQ11" s="123"/>
      <c r="DR11" s="123"/>
      <c r="DS11" s="123"/>
      <c r="DT11" s="123"/>
      <c r="DU11" s="123"/>
      <c r="DV11" s="123"/>
      <c r="DW11" s="123"/>
      <c r="DX11" s="123"/>
      <c r="DY11" s="123"/>
      <c r="DZ11" s="123"/>
      <c r="EA11" s="123"/>
      <c r="EB11" s="123"/>
      <c r="EC11" s="123"/>
      <c r="ED11" s="123"/>
      <c r="EE11" s="123"/>
      <c r="EF11" s="123"/>
      <c r="PU11" s="126"/>
      <c r="VN11" s="126"/>
      <c r="WJ11" s="126"/>
      <c r="AMH11" s="126"/>
      <c r="ANN11" s="126"/>
      <c r="BAA11" s="126"/>
      <c r="BAS11" s="126"/>
      <c r="BEW11" s="126"/>
      <c r="BGS11" s="126"/>
      <c r="CMU11" s="126"/>
      <c r="CSV11" s="126"/>
      <c r="DMN11" s="126"/>
      <c r="DRX11" s="126"/>
      <c r="EEP11" s="126"/>
      <c r="EFT11" s="126"/>
    </row>
    <row r="12" ht="15" customHeight="1" spans="1:3508">
      <c r="A12" s="34">
        <v>2</v>
      </c>
      <c r="B12" s="35" t="s">
        <v>61</v>
      </c>
      <c r="C12" s="36">
        <v>2</v>
      </c>
      <c r="D12" s="36" t="s">
        <v>62</v>
      </c>
      <c r="E12" s="50">
        <v>1.33</v>
      </c>
      <c r="F12" s="51" t="s">
        <v>58</v>
      </c>
      <c r="G12" s="52">
        <v>4.2</v>
      </c>
      <c r="H12" s="53">
        <v>0.05</v>
      </c>
      <c r="I12" s="53">
        <v>-0.05</v>
      </c>
      <c r="J12" s="60" t="s">
        <v>63</v>
      </c>
      <c r="K12" s="61" t="s">
        <v>60</v>
      </c>
      <c r="L12" s="62">
        <f t="shared" si="0"/>
        <v>4.25</v>
      </c>
      <c r="M12" s="71">
        <f t="shared" si="1"/>
        <v>4.15</v>
      </c>
      <c r="N12" s="69"/>
      <c r="O12" s="70">
        <f t="shared" si="2"/>
        <v>4.1968</v>
      </c>
      <c r="P12" s="70">
        <f t="shared" si="3"/>
        <v>4.1782</v>
      </c>
      <c r="Q12" s="70">
        <f t="shared" si="4"/>
        <v>4.189475</v>
      </c>
      <c r="R12" s="80">
        <f t="shared" si="5"/>
        <v>0.00441880147230132</v>
      </c>
      <c r="S12" s="81">
        <f t="shared" si="6"/>
        <v>3.77176181621635</v>
      </c>
      <c r="T12" s="82">
        <f t="shared" si="7"/>
        <v>-0.210499999999972</v>
      </c>
      <c r="U12" s="82" t="str">
        <f t="shared" si="8"/>
        <v>Level B</v>
      </c>
      <c r="V12" s="81">
        <f t="shared" si="9"/>
        <v>4.56571767852976</v>
      </c>
      <c r="W12" s="81">
        <f t="shared" si="10"/>
        <v>2.9778059539029</v>
      </c>
      <c r="X12" s="81">
        <f t="shared" si="11"/>
        <v>2.9778059539029</v>
      </c>
      <c r="Y12" s="88">
        <f t="shared" si="12"/>
        <v>1</v>
      </c>
      <c r="Z12" s="89" t="str">
        <f t="shared" si="13"/>
        <v/>
      </c>
      <c r="AA12" s="89" t="str">
        <f t="shared" si="14"/>
        <v/>
      </c>
      <c r="AB12" s="89">
        <f t="shared" si="15"/>
        <v>0.0105249999999986</v>
      </c>
      <c r="AC12" s="89" t="str">
        <f t="shared" si="16"/>
        <v/>
      </c>
      <c r="AD12" s="96"/>
      <c r="AE12" s="97" t="str">
        <f t="shared" si="17"/>
        <v/>
      </c>
      <c r="AF12" s="98"/>
      <c r="AG12" s="105"/>
      <c r="AH12" s="105"/>
      <c r="AI12" s="106"/>
      <c r="AJ12" s="107"/>
      <c r="AK12" s="114">
        <v>4.193</v>
      </c>
      <c r="AL12" s="114">
        <v>4.1807</v>
      </c>
      <c r="AM12" s="114">
        <v>4.1899</v>
      </c>
      <c r="AN12" s="114">
        <v>4.1943</v>
      </c>
      <c r="AO12" s="114">
        <v>4.1877</v>
      </c>
      <c r="AP12" s="114">
        <v>4.1851</v>
      </c>
      <c r="AQ12" s="114">
        <v>4.1956</v>
      </c>
      <c r="AR12" s="114">
        <v>4.1858</v>
      </c>
      <c r="AS12" s="114">
        <v>4.1891</v>
      </c>
      <c r="AT12" s="114">
        <v>4.1876</v>
      </c>
      <c r="AU12" s="114">
        <v>4.1933</v>
      </c>
      <c r="AV12" s="114">
        <v>4.1958</v>
      </c>
      <c r="AW12" s="114">
        <v>4.1859</v>
      </c>
      <c r="AX12" s="114">
        <v>4.1906</v>
      </c>
      <c r="AY12" s="114">
        <v>4.1857</v>
      </c>
      <c r="AZ12" s="114">
        <v>4.1922</v>
      </c>
      <c r="BA12" s="114">
        <v>4.1931</v>
      </c>
      <c r="BB12" s="114">
        <v>4.1889</v>
      </c>
      <c r="BC12" s="114">
        <v>4.1968</v>
      </c>
      <c r="BD12" s="114">
        <v>4.1856</v>
      </c>
      <c r="BE12" s="114">
        <v>4.1894</v>
      </c>
      <c r="BF12" s="114">
        <v>4.1936</v>
      </c>
      <c r="BG12" s="114">
        <v>4.1894</v>
      </c>
      <c r="BH12" s="114">
        <v>4.1894</v>
      </c>
      <c r="BI12" s="114">
        <v>4.1924</v>
      </c>
      <c r="BJ12" s="114">
        <v>4.1834</v>
      </c>
      <c r="BK12" s="114">
        <v>4.1894</v>
      </c>
      <c r="BL12" s="114">
        <v>4.1903</v>
      </c>
      <c r="BM12" s="114">
        <v>4.1856</v>
      </c>
      <c r="BN12" s="114">
        <v>4.1898</v>
      </c>
      <c r="BO12" s="114">
        <v>4.1956</v>
      </c>
      <c r="BP12" s="120">
        <v>4.1782</v>
      </c>
      <c r="BQ12" s="122"/>
      <c r="BR12" s="123"/>
      <c r="BS12" s="123"/>
      <c r="BT12" s="123"/>
      <c r="BU12" s="123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3"/>
      <c r="CJ12" s="123"/>
      <c r="CK12" s="123"/>
      <c r="CL12" s="123"/>
      <c r="CM12" s="123"/>
      <c r="CN12" s="123"/>
      <c r="CO12" s="123"/>
      <c r="CP12" s="123"/>
      <c r="CQ12" s="123"/>
      <c r="CR12" s="123"/>
      <c r="CS12" s="123"/>
      <c r="CT12" s="123"/>
      <c r="CU12" s="123"/>
      <c r="CV12" s="123"/>
      <c r="CW12" s="123"/>
      <c r="CX12" s="123"/>
      <c r="CY12" s="123"/>
      <c r="CZ12" s="123"/>
      <c r="DA12" s="123"/>
      <c r="DB12" s="123"/>
      <c r="DC12" s="123"/>
      <c r="DD12" s="123"/>
      <c r="DE12" s="123"/>
      <c r="DF12" s="123"/>
      <c r="DG12" s="123"/>
      <c r="DH12" s="123"/>
      <c r="DI12" s="123"/>
      <c r="DJ12" s="123"/>
      <c r="DK12" s="123"/>
      <c r="DL12" s="123"/>
      <c r="DM12" s="123"/>
      <c r="DN12" s="123"/>
      <c r="DO12" s="123"/>
      <c r="DP12" s="123"/>
      <c r="DQ12" s="123"/>
      <c r="DR12" s="123"/>
      <c r="DS12" s="123"/>
      <c r="DT12" s="123"/>
      <c r="DU12" s="123"/>
      <c r="DV12" s="123"/>
      <c r="DW12" s="123"/>
      <c r="DX12" s="123"/>
      <c r="DY12" s="123"/>
      <c r="DZ12" s="123"/>
      <c r="EA12" s="123"/>
      <c r="EB12" s="123"/>
      <c r="EC12" s="123"/>
      <c r="ED12" s="123"/>
      <c r="EE12" s="123"/>
      <c r="EF12" s="123"/>
      <c r="IM12" s="126"/>
      <c r="JU12" s="126"/>
      <c r="MO12" s="126"/>
      <c r="QI12" s="126"/>
      <c r="VN12" s="126"/>
      <c r="ANN12" s="126"/>
      <c r="ARK12" s="126"/>
      <c r="AVL12" s="126"/>
      <c r="BAI12" s="126"/>
      <c r="BLX12" s="126"/>
      <c r="BOW12" s="126"/>
      <c r="BRO12" s="126"/>
      <c r="BSW12" s="126"/>
      <c r="BSY12" s="126"/>
      <c r="BWM12" s="126"/>
      <c r="BWT12" s="126"/>
      <c r="BXN12" s="126"/>
      <c r="CCY12" s="126"/>
      <c r="CRF12" s="126"/>
      <c r="CRI12" s="126"/>
      <c r="CRL12" s="126"/>
      <c r="CYE12" s="126"/>
      <c r="DCG12" s="126"/>
      <c r="DCO12" s="126"/>
      <c r="DKP12" s="126"/>
      <c r="DLW12" s="126"/>
      <c r="DOX12" s="126"/>
      <c r="DVT12" s="126"/>
      <c r="DVX12" s="126"/>
      <c r="DWZ12" s="126"/>
      <c r="EBJ12" s="126"/>
      <c r="EDX12" s="126"/>
    </row>
    <row r="13" ht="15" customHeight="1" spans="1:3533">
      <c r="A13" s="34">
        <v>3</v>
      </c>
      <c r="B13" s="35" t="s">
        <v>64</v>
      </c>
      <c r="C13" s="36">
        <v>3</v>
      </c>
      <c r="D13" s="36" t="s">
        <v>65</v>
      </c>
      <c r="E13" s="50">
        <v>1.33</v>
      </c>
      <c r="F13" s="51" t="s">
        <v>58</v>
      </c>
      <c r="G13" s="52">
        <v>5.6</v>
      </c>
      <c r="H13" s="53">
        <v>0.05</v>
      </c>
      <c r="I13" s="53">
        <v>-0.05</v>
      </c>
      <c r="J13" s="60" t="s">
        <v>63</v>
      </c>
      <c r="K13" s="61" t="s">
        <v>60</v>
      </c>
      <c r="L13" s="62">
        <f t="shared" si="0"/>
        <v>5.65</v>
      </c>
      <c r="M13" s="71">
        <f t="shared" si="1"/>
        <v>5.55</v>
      </c>
      <c r="N13" s="69"/>
      <c r="O13" s="70">
        <f t="shared" si="2"/>
        <v>5.5986</v>
      </c>
      <c r="P13" s="70">
        <f t="shared" si="3"/>
        <v>5.5867</v>
      </c>
      <c r="Q13" s="70">
        <f t="shared" si="4"/>
        <v>5.591253125</v>
      </c>
      <c r="R13" s="80">
        <f t="shared" si="5"/>
        <v>0.00258182035993355</v>
      </c>
      <c r="S13" s="81">
        <f t="shared" si="6"/>
        <v>6.45539361502891</v>
      </c>
      <c r="T13" s="82">
        <f t="shared" si="7"/>
        <v>-0.17493749999998</v>
      </c>
      <c r="U13" s="82" t="str">
        <f t="shared" si="8"/>
        <v>Level B</v>
      </c>
      <c r="V13" s="81">
        <f t="shared" si="9"/>
        <v>7.58468403555799</v>
      </c>
      <c r="W13" s="81">
        <f t="shared" si="10"/>
        <v>5.32610319449989</v>
      </c>
      <c r="X13" s="81">
        <f t="shared" si="11"/>
        <v>5.32610319449989</v>
      </c>
      <c r="Y13" s="88">
        <f t="shared" si="12"/>
        <v>1</v>
      </c>
      <c r="Z13" s="89" t="str">
        <f t="shared" si="13"/>
        <v/>
      </c>
      <c r="AA13" s="89" t="str">
        <f t="shared" si="14"/>
        <v/>
      </c>
      <c r="AB13" s="89">
        <f t="shared" si="15"/>
        <v>0.00874687499999904</v>
      </c>
      <c r="AC13" s="89" t="str">
        <f t="shared" si="16"/>
        <v/>
      </c>
      <c r="AD13" s="96"/>
      <c r="AE13" s="97" t="str">
        <f t="shared" si="17"/>
        <v/>
      </c>
      <c r="AF13" s="98"/>
      <c r="AG13" s="105"/>
      <c r="AH13" s="105"/>
      <c r="AI13" s="106"/>
      <c r="AJ13" s="107"/>
      <c r="AK13" s="114">
        <v>5.5883</v>
      </c>
      <c r="AL13" s="114">
        <v>5.5903</v>
      </c>
      <c r="AM13" s="114">
        <v>5.5924</v>
      </c>
      <c r="AN13" s="114">
        <v>5.5868</v>
      </c>
      <c r="AO13" s="114">
        <v>5.5946</v>
      </c>
      <c r="AP13" s="114">
        <v>5.5952</v>
      </c>
      <c r="AQ13" s="114">
        <v>5.5895</v>
      </c>
      <c r="AR13" s="114">
        <v>5.5916</v>
      </c>
      <c r="AS13" s="114">
        <v>5.5893</v>
      </c>
      <c r="AT13" s="114">
        <v>5.5904</v>
      </c>
      <c r="AU13" s="114">
        <v>5.591</v>
      </c>
      <c r="AV13" s="114">
        <v>5.5918</v>
      </c>
      <c r="AW13" s="114">
        <v>5.5867</v>
      </c>
      <c r="AX13" s="114">
        <v>5.5986</v>
      </c>
      <c r="AY13" s="114">
        <v>5.5895</v>
      </c>
      <c r="AZ13" s="114">
        <v>5.5944</v>
      </c>
      <c r="BA13" s="114">
        <v>5.5935</v>
      </c>
      <c r="BB13" s="114">
        <v>5.5919</v>
      </c>
      <c r="BC13" s="114">
        <v>5.5907</v>
      </c>
      <c r="BD13" s="114">
        <v>5.5916</v>
      </c>
      <c r="BE13" s="114">
        <v>5.5871</v>
      </c>
      <c r="BF13" s="114">
        <v>5.5946</v>
      </c>
      <c r="BG13" s="114">
        <v>5.5938</v>
      </c>
      <c r="BH13" s="114">
        <v>5.5923</v>
      </c>
      <c r="BI13" s="114">
        <v>5.5897</v>
      </c>
      <c r="BJ13" s="114">
        <v>5.5918</v>
      </c>
      <c r="BK13" s="114">
        <v>5.5906</v>
      </c>
      <c r="BL13" s="114">
        <v>5.5891</v>
      </c>
      <c r="BM13" s="114">
        <v>5.5895</v>
      </c>
      <c r="BN13" s="114">
        <v>5.5911</v>
      </c>
      <c r="BO13" s="114">
        <v>5.5917</v>
      </c>
      <c r="BP13" s="120">
        <v>5.5907</v>
      </c>
      <c r="BQ13" s="122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IN13" s="126"/>
      <c r="MO13" s="126"/>
      <c r="AIY13" s="126"/>
      <c r="BII13" s="126"/>
      <c r="BMY13" s="126"/>
      <c r="BSB13" s="126"/>
      <c r="BSW13" s="126"/>
      <c r="BUW13" s="126"/>
      <c r="BVC13" s="126"/>
      <c r="BXN13" s="126"/>
      <c r="BZB13" s="126"/>
      <c r="BZJ13" s="126"/>
      <c r="CCD13" s="126"/>
      <c r="CCY13" s="126"/>
      <c r="DKS13" s="126"/>
      <c r="DLW13" s="126"/>
      <c r="DRY13" s="126"/>
      <c r="EEW13" s="126"/>
    </row>
    <row r="14" ht="15" customHeight="1" spans="1:3527">
      <c r="A14" s="34">
        <v>4</v>
      </c>
      <c r="B14" s="35" t="s">
        <v>66</v>
      </c>
      <c r="C14" s="36">
        <v>4</v>
      </c>
      <c r="D14" s="36" t="s">
        <v>67</v>
      </c>
      <c r="E14" s="50">
        <v>1.33</v>
      </c>
      <c r="F14" s="51" t="s">
        <v>68</v>
      </c>
      <c r="G14" s="52"/>
      <c r="H14" s="53">
        <v>0.05</v>
      </c>
      <c r="I14" s="53"/>
      <c r="J14" s="60" t="s">
        <v>63</v>
      </c>
      <c r="K14" s="61" t="s">
        <v>60</v>
      </c>
      <c r="L14" s="62">
        <f t="shared" si="0"/>
        <v>0.05</v>
      </c>
      <c r="M14" s="71" t="str">
        <f t="shared" si="1"/>
        <v/>
      </c>
      <c r="N14" s="69"/>
      <c r="O14" s="70">
        <f t="shared" si="2"/>
        <v>0.0139</v>
      </c>
      <c r="P14" s="70">
        <f t="shared" si="3"/>
        <v>0.0032</v>
      </c>
      <c r="Q14" s="70">
        <f t="shared" si="4"/>
        <v>0.00975625</v>
      </c>
      <c r="R14" s="80">
        <f t="shared" si="5"/>
        <v>0.0025180557656076</v>
      </c>
      <c r="S14" s="81">
        <f t="shared" si="6"/>
        <v>5.32735752581573</v>
      </c>
      <c r="T14" s="82">
        <f t="shared" si="7"/>
        <v>0.195125</v>
      </c>
      <c r="U14" s="82" t="str">
        <f t="shared" si="8"/>
        <v>Level B</v>
      </c>
      <c r="V14" s="81">
        <f t="shared" si="9"/>
        <v>5.32735752581573</v>
      </c>
      <c r="W14" s="81" t="str">
        <f t="shared" si="10"/>
        <v/>
      </c>
      <c r="X14" s="81">
        <f t="shared" si="11"/>
        <v>5.32735752581573</v>
      </c>
      <c r="Y14" s="88">
        <f t="shared" si="12"/>
        <v>1</v>
      </c>
      <c r="Z14" s="89" t="str">
        <f t="shared" si="13"/>
        <v/>
      </c>
      <c r="AA14" s="89" t="str">
        <f t="shared" si="14"/>
        <v/>
      </c>
      <c r="AB14" s="89" t="str">
        <f t="shared" si="15"/>
        <v/>
      </c>
      <c r="AC14" s="89" t="str">
        <f t="shared" si="16"/>
        <v/>
      </c>
      <c r="AD14" s="96"/>
      <c r="AE14" s="97" t="str">
        <f t="shared" si="17"/>
        <v/>
      </c>
      <c r="AF14" s="98"/>
      <c r="AG14" s="105"/>
      <c r="AH14" s="105"/>
      <c r="AI14" s="106"/>
      <c r="AJ14" s="107"/>
      <c r="AK14" s="114">
        <v>0.0057</v>
      </c>
      <c r="AL14" s="114">
        <v>0.0122</v>
      </c>
      <c r="AM14" s="114">
        <v>0.0093</v>
      </c>
      <c r="AN14" s="114">
        <v>0.0032</v>
      </c>
      <c r="AO14" s="114">
        <v>0.0093</v>
      </c>
      <c r="AP14" s="114">
        <v>0.0129</v>
      </c>
      <c r="AQ14" s="114">
        <v>0.0138</v>
      </c>
      <c r="AR14" s="114">
        <v>0.0078</v>
      </c>
      <c r="AS14" s="114">
        <v>0.0084</v>
      </c>
      <c r="AT14" s="114">
        <v>0.0108</v>
      </c>
      <c r="AU14" s="114">
        <v>0.0041</v>
      </c>
      <c r="AV14" s="114">
        <v>0.0084</v>
      </c>
      <c r="AW14" s="114">
        <v>0.0106</v>
      </c>
      <c r="AX14" s="114">
        <v>0.0127</v>
      </c>
      <c r="AY14" s="114">
        <v>0.0088</v>
      </c>
      <c r="AZ14" s="114">
        <v>0.0096</v>
      </c>
      <c r="BA14" s="114">
        <v>0.0087</v>
      </c>
      <c r="BB14" s="114">
        <v>0.0103</v>
      </c>
      <c r="BC14" s="114">
        <v>0.0109</v>
      </c>
      <c r="BD14" s="114">
        <v>0.0085</v>
      </c>
      <c r="BE14" s="114">
        <v>0.0114</v>
      </c>
      <c r="BF14" s="114">
        <v>0.0139</v>
      </c>
      <c r="BG14" s="114">
        <v>0.0113</v>
      </c>
      <c r="BH14" s="114">
        <v>0.0137</v>
      </c>
      <c r="BI14" s="114">
        <v>0.0092</v>
      </c>
      <c r="BJ14" s="114">
        <v>0.0099</v>
      </c>
      <c r="BK14" s="114">
        <v>0.0087</v>
      </c>
      <c r="BL14" s="114">
        <v>0.0109</v>
      </c>
      <c r="BM14" s="114">
        <v>0.0074</v>
      </c>
      <c r="BN14" s="114">
        <v>0.0106</v>
      </c>
      <c r="BO14" s="114">
        <v>0.0107</v>
      </c>
      <c r="BP14" s="120">
        <v>0.0085</v>
      </c>
      <c r="BQ14" s="122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3"/>
      <c r="CZ14" s="123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3"/>
      <c r="DR14" s="123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O14" s="126"/>
      <c r="HS14" s="126"/>
      <c r="NW14" s="126"/>
      <c r="TL14" s="126"/>
      <c r="WK14" s="126"/>
      <c r="AED14" s="126"/>
      <c r="AER14" s="126"/>
      <c r="APA14" s="126"/>
      <c r="AQA14" s="126"/>
      <c r="ATJ14" s="126"/>
      <c r="AUO14" s="126"/>
      <c r="AYD14" s="126"/>
      <c r="BDJ14" s="126"/>
      <c r="BDT14" s="126"/>
      <c r="BJV14" s="126"/>
      <c r="BMJ14" s="126"/>
      <c r="BRU14" s="126"/>
      <c r="BVN14" s="126"/>
      <c r="BWC14" s="126"/>
      <c r="BYR14" s="126"/>
      <c r="BYW14" s="126"/>
      <c r="BZG14" s="126"/>
      <c r="CAW14" s="126"/>
      <c r="CFW14" s="126"/>
      <c r="CHT14" s="126"/>
      <c r="CIL14" s="126"/>
      <c r="CIM14" s="126"/>
      <c r="CNI14" s="126"/>
      <c r="CPJ14" s="126"/>
      <c r="CRG14" s="126"/>
      <c r="CSW14" s="126"/>
      <c r="CTZ14" s="126"/>
      <c r="CUU14" s="126"/>
      <c r="CWN14" s="126"/>
      <c r="DCK14" s="126"/>
      <c r="DGD14" s="126"/>
      <c r="DHO14" s="126"/>
      <c r="DKY14" s="126"/>
      <c r="DLH14" s="126"/>
      <c r="DPP14" s="126"/>
      <c r="DVP14" s="126"/>
      <c r="DVQ14" s="126"/>
      <c r="DYG14" s="126"/>
      <c r="EEQ14" s="126"/>
    </row>
    <row r="15" ht="15" customHeight="1" spans="1:3329">
      <c r="A15" s="34">
        <v>5</v>
      </c>
      <c r="B15" s="35" t="s">
        <v>69</v>
      </c>
      <c r="C15" s="36">
        <v>5</v>
      </c>
      <c r="D15" s="36" t="s">
        <v>70</v>
      </c>
      <c r="E15" s="50">
        <v>1.33</v>
      </c>
      <c r="F15" s="51" t="s">
        <v>68</v>
      </c>
      <c r="G15" s="52"/>
      <c r="H15" s="53">
        <v>0.05</v>
      </c>
      <c r="I15" s="53"/>
      <c r="J15" s="60" t="s">
        <v>63</v>
      </c>
      <c r="K15" s="61" t="s">
        <v>60</v>
      </c>
      <c r="L15" s="62">
        <f t="shared" si="0"/>
        <v>0.05</v>
      </c>
      <c r="M15" s="71" t="str">
        <f t="shared" si="1"/>
        <v/>
      </c>
      <c r="N15" s="69"/>
      <c r="O15" s="70">
        <f t="shared" si="2"/>
        <v>0.0145</v>
      </c>
      <c r="P15" s="70">
        <f t="shared" si="3"/>
        <v>0.0043</v>
      </c>
      <c r="Q15" s="70">
        <f t="shared" si="4"/>
        <v>0.008815625</v>
      </c>
      <c r="R15" s="80">
        <f t="shared" si="5"/>
        <v>0.00243934276910017</v>
      </c>
      <c r="S15" s="81">
        <f t="shared" si="6"/>
        <v>5.62779662370453</v>
      </c>
      <c r="T15" s="82">
        <f t="shared" si="7"/>
        <v>0.1763125</v>
      </c>
      <c r="U15" s="82" t="str">
        <f t="shared" si="8"/>
        <v>Level B</v>
      </c>
      <c r="V15" s="81">
        <f t="shared" si="9"/>
        <v>5.62779662370453</v>
      </c>
      <c r="W15" s="81" t="str">
        <f t="shared" si="10"/>
        <v/>
      </c>
      <c r="X15" s="81">
        <f t="shared" si="11"/>
        <v>5.62779662370453</v>
      </c>
      <c r="Y15" s="88">
        <f t="shared" si="12"/>
        <v>1</v>
      </c>
      <c r="Z15" s="89" t="str">
        <f t="shared" si="13"/>
        <v/>
      </c>
      <c r="AA15" s="89" t="str">
        <f t="shared" si="14"/>
        <v/>
      </c>
      <c r="AB15" s="89" t="str">
        <f t="shared" si="15"/>
        <v/>
      </c>
      <c r="AC15" s="89" t="str">
        <f t="shared" si="16"/>
        <v/>
      </c>
      <c r="AD15" s="96"/>
      <c r="AE15" s="97" t="str">
        <f t="shared" si="17"/>
        <v/>
      </c>
      <c r="AF15" s="98"/>
      <c r="AG15" s="105"/>
      <c r="AH15" s="105"/>
      <c r="AI15" s="106"/>
      <c r="AJ15" s="107"/>
      <c r="AK15" s="114">
        <v>0.0064</v>
      </c>
      <c r="AL15" s="114">
        <v>0.0101</v>
      </c>
      <c r="AM15" s="114">
        <v>0.0081</v>
      </c>
      <c r="AN15" s="114">
        <v>0.009</v>
      </c>
      <c r="AO15" s="114">
        <v>0.011</v>
      </c>
      <c r="AP15" s="114">
        <v>0.0068</v>
      </c>
      <c r="AQ15" s="114">
        <v>0.0046</v>
      </c>
      <c r="AR15" s="114">
        <v>0.0113</v>
      </c>
      <c r="AS15" s="114">
        <v>0.0104</v>
      </c>
      <c r="AT15" s="114">
        <v>0.0048</v>
      </c>
      <c r="AU15" s="114">
        <v>0.0102</v>
      </c>
      <c r="AV15" s="114">
        <v>0.0088</v>
      </c>
      <c r="AW15" s="114">
        <v>0.0096</v>
      </c>
      <c r="AX15" s="114">
        <v>0.0068</v>
      </c>
      <c r="AY15" s="114">
        <v>0.0084</v>
      </c>
      <c r="AZ15" s="114">
        <v>0.007</v>
      </c>
      <c r="BA15" s="114">
        <v>0.0145</v>
      </c>
      <c r="BB15" s="114">
        <v>0.0088</v>
      </c>
      <c r="BC15" s="114">
        <v>0.0087</v>
      </c>
      <c r="BD15" s="114">
        <v>0.0043</v>
      </c>
      <c r="BE15" s="114">
        <v>0.0072</v>
      </c>
      <c r="BF15" s="114">
        <v>0.0064</v>
      </c>
      <c r="BG15" s="114">
        <v>0.0103</v>
      </c>
      <c r="BH15" s="114">
        <v>0.0089</v>
      </c>
      <c r="BI15" s="114">
        <v>0.0105</v>
      </c>
      <c r="BJ15" s="114">
        <v>0.0082</v>
      </c>
      <c r="BK15" s="114">
        <v>0.014</v>
      </c>
      <c r="BL15" s="114">
        <v>0.0125</v>
      </c>
      <c r="BM15" s="114">
        <v>0.0087</v>
      </c>
      <c r="BN15" s="114">
        <v>0.0064</v>
      </c>
      <c r="BO15" s="114">
        <v>0.0092</v>
      </c>
      <c r="BP15" s="120">
        <v>0.0102</v>
      </c>
      <c r="BQ15" s="122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3"/>
      <c r="CZ15" s="123"/>
      <c r="DA15" s="123"/>
      <c r="DB15" s="123"/>
      <c r="DC15" s="123"/>
      <c r="DD15" s="123"/>
      <c r="DE15" s="123"/>
      <c r="DF15" s="123"/>
      <c r="DG15" s="123"/>
      <c r="DH15" s="123"/>
      <c r="DI15" s="123"/>
      <c r="DJ15" s="123"/>
      <c r="DK15" s="123"/>
      <c r="DL15" s="123"/>
      <c r="DM15" s="123"/>
      <c r="DN15" s="123"/>
      <c r="DO15" s="123"/>
      <c r="DP15" s="123"/>
      <c r="DQ15" s="123"/>
      <c r="DR15" s="123"/>
      <c r="DS15" s="123"/>
      <c r="DT15" s="123"/>
      <c r="DU15" s="123"/>
      <c r="DV15" s="125"/>
      <c r="DW15" s="123"/>
      <c r="DX15" s="123"/>
      <c r="DY15" s="123"/>
      <c r="DZ15" s="123"/>
      <c r="EA15" s="123"/>
      <c r="EB15" s="123"/>
      <c r="EC15" s="123"/>
      <c r="ED15" s="123"/>
      <c r="EE15" s="123"/>
      <c r="EF15" s="123"/>
      <c r="GJ15" s="126"/>
      <c r="GP15" s="126"/>
      <c r="HS15" s="126"/>
      <c r="HZ15" s="126"/>
      <c r="IK15" s="126"/>
      <c r="IW15" s="126"/>
      <c r="XH15" s="126"/>
      <c r="AAM15" s="126"/>
      <c r="ABN15" s="126"/>
      <c r="AED15" s="126"/>
      <c r="ANV15" s="126"/>
      <c r="BMJ15" s="126"/>
      <c r="BNJ15" s="126"/>
      <c r="BPX15" s="126"/>
      <c r="BRW15" s="126"/>
      <c r="BRZ15" s="126"/>
      <c r="BSG15" s="126"/>
      <c r="BWC15" s="126"/>
      <c r="BYW15" s="126"/>
      <c r="CBD15" s="126"/>
      <c r="CIM15" s="126"/>
      <c r="CNM15" s="126"/>
      <c r="CRC15" s="126"/>
      <c r="CRG15" s="126"/>
      <c r="CST15" s="126"/>
      <c r="CTD15" s="126"/>
      <c r="CTO15" s="126"/>
      <c r="DAQ15" s="126"/>
      <c r="DCK15" s="126"/>
      <c r="DGD15" s="126"/>
      <c r="DJH15" s="126"/>
      <c r="DJU15" s="126"/>
      <c r="DJV15" s="126"/>
      <c r="DKS15" s="126"/>
      <c r="DLJ15" s="126"/>
      <c r="DVQ15" s="126"/>
      <c r="DXA15" s="126"/>
    </row>
    <row r="16" ht="15" customHeight="1" spans="1:3347">
      <c r="A16" s="34">
        <v>7</v>
      </c>
      <c r="B16" s="37" t="s">
        <v>71</v>
      </c>
      <c r="C16" s="36">
        <v>6</v>
      </c>
      <c r="D16" s="36" t="s">
        <v>72</v>
      </c>
      <c r="E16" s="50">
        <v>1.33</v>
      </c>
      <c r="F16" s="51" t="s">
        <v>58</v>
      </c>
      <c r="G16" s="52">
        <v>4.71</v>
      </c>
      <c r="H16" s="53">
        <v>0.353</v>
      </c>
      <c r="I16" s="53">
        <v>-0.353</v>
      </c>
      <c r="J16" s="60" t="s">
        <v>73</v>
      </c>
      <c r="K16" s="61" t="s">
        <v>60</v>
      </c>
      <c r="L16" s="62">
        <f t="shared" si="0"/>
        <v>5.063</v>
      </c>
      <c r="M16" s="71">
        <f t="shared" si="1"/>
        <v>4.357</v>
      </c>
      <c r="N16" s="69"/>
      <c r="O16" s="70">
        <f t="shared" si="2"/>
        <v>4.6164</v>
      </c>
      <c r="P16" s="70">
        <f t="shared" si="3"/>
        <v>4.5643</v>
      </c>
      <c r="Q16" s="70">
        <f t="shared" si="4"/>
        <v>4.589303125</v>
      </c>
      <c r="R16" s="80">
        <f t="shared" si="5"/>
        <v>0.0146362890672906</v>
      </c>
      <c r="S16" s="81">
        <f t="shared" si="6"/>
        <v>8.0393784329957</v>
      </c>
      <c r="T16" s="82">
        <f t="shared" si="7"/>
        <v>-0.341917492917848</v>
      </c>
      <c r="U16" s="82" t="str">
        <f t="shared" si="8"/>
        <v>Level C</v>
      </c>
      <c r="V16" s="81">
        <f t="shared" si="9"/>
        <v>10.7881825514234</v>
      </c>
      <c r="W16" s="81">
        <f t="shared" si="10"/>
        <v>5.29057431456799</v>
      </c>
      <c r="X16" s="81">
        <f t="shared" si="11"/>
        <v>5.29057431456799</v>
      </c>
      <c r="Y16" s="88">
        <f t="shared" si="12"/>
        <v>1</v>
      </c>
      <c r="Z16" s="89" t="str">
        <f t="shared" si="13"/>
        <v/>
      </c>
      <c r="AA16" s="89" t="str">
        <f t="shared" si="14"/>
        <v/>
      </c>
      <c r="AB16" s="89">
        <f t="shared" si="15"/>
        <v>0.120696875</v>
      </c>
      <c r="AC16" s="89" t="str">
        <f t="shared" si="16"/>
        <v/>
      </c>
      <c r="AD16" s="96"/>
      <c r="AE16" s="97" t="str">
        <f t="shared" si="17"/>
        <v/>
      </c>
      <c r="AF16" s="98"/>
      <c r="AG16" s="105"/>
      <c r="AH16" s="105"/>
      <c r="AI16" s="106"/>
      <c r="AJ16" s="107"/>
      <c r="AK16" s="114">
        <v>4.6071</v>
      </c>
      <c r="AL16" s="114">
        <v>4.5983</v>
      </c>
      <c r="AM16" s="114">
        <v>4.6066</v>
      </c>
      <c r="AN16" s="114">
        <v>4.591</v>
      </c>
      <c r="AO16" s="114">
        <v>4.6016</v>
      </c>
      <c r="AP16" s="114">
        <v>4.5773</v>
      </c>
      <c r="AQ16" s="114">
        <v>4.599</v>
      </c>
      <c r="AR16" s="114">
        <v>4.5928</v>
      </c>
      <c r="AS16" s="114">
        <v>4.5714</v>
      </c>
      <c r="AT16" s="114">
        <v>4.5724</v>
      </c>
      <c r="AU16" s="114">
        <v>4.5887</v>
      </c>
      <c r="AV16" s="114">
        <v>4.5797</v>
      </c>
      <c r="AW16" s="114">
        <v>4.5727</v>
      </c>
      <c r="AX16" s="114">
        <v>4.6104</v>
      </c>
      <c r="AY16" s="114">
        <v>4.5906</v>
      </c>
      <c r="AZ16" s="114">
        <v>4.5807</v>
      </c>
      <c r="BA16" s="114">
        <v>4.5773</v>
      </c>
      <c r="BB16" s="114">
        <v>4.5643</v>
      </c>
      <c r="BC16" s="114">
        <v>4.6047</v>
      </c>
      <c r="BD16" s="114">
        <v>4.5715</v>
      </c>
      <c r="BE16" s="114">
        <v>4.5859</v>
      </c>
      <c r="BF16" s="114">
        <v>4.5943</v>
      </c>
      <c r="BG16" s="114">
        <v>4.5776</v>
      </c>
      <c r="BH16" s="114">
        <v>4.6023</v>
      </c>
      <c r="BI16" s="114">
        <v>4.5695</v>
      </c>
      <c r="BJ16" s="114">
        <v>4.6015</v>
      </c>
      <c r="BK16" s="114">
        <v>4.5683</v>
      </c>
      <c r="BL16" s="114">
        <v>4.6083</v>
      </c>
      <c r="BM16" s="114">
        <v>4.6164</v>
      </c>
      <c r="BN16" s="114">
        <v>4.6032</v>
      </c>
      <c r="BO16" s="114">
        <v>4.5795</v>
      </c>
      <c r="BP16" s="120">
        <v>4.5928</v>
      </c>
      <c r="BQ16" s="122"/>
      <c r="BR16" s="123"/>
      <c r="BS16" s="123"/>
      <c r="BT16" s="123"/>
      <c r="BU16" s="123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123"/>
      <c r="CH16" s="123"/>
      <c r="CI16" s="123"/>
      <c r="CJ16" s="123"/>
      <c r="CK16" s="123"/>
      <c r="CL16" s="123"/>
      <c r="CM16" s="123"/>
      <c r="CN16" s="123"/>
      <c r="CO16" s="123"/>
      <c r="CP16" s="123"/>
      <c r="CQ16" s="123"/>
      <c r="CR16" s="123"/>
      <c r="CS16" s="123"/>
      <c r="CT16" s="123"/>
      <c r="CU16" s="123"/>
      <c r="CV16" s="123"/>
      <c r="CW16" s="123"/>
      <c r="CX16" s="123"/>
      <c r="CY16" s="123"/>
      <c r="CZ16" s="123"/>
      <c r="DA16" s="123"/>
      <c r="DB16" s="123"/>
      <c r="DC16" s="123"/>
      <c r="DD16" s="123"/>
      <c r="DE16" s="123"/>
      <c r="DF16" s="123"/>
      <c r="DG16" s="123"/>
      <c r="DH16" s="123"/>
      <c r="DI16" s="123"/>
      <c r="DJ16" s="123"/>
      <c r="DK16" s="123"/>
      <c r="DL16" s="123"/>
      <c r="DM16" s="123"/>
      <c r="DN16" s="123"/>
      <c r="DO16" s="123"/>
      <c r="DP16" s="123"/>
      <c r="DQ16" s="123"/>
      <c r="DR16" s="123"/>
      <c r="DS16" s="123"/>
      <c r="DT16" s="123"/>
      <c r="DU16" s="123"/>
      <c r="DV16" s="123"/>
      <c r="DW16" s="123"/>
      <c r="DX16" s="123"/>
      <c r="DY16" s="123"/>
      <c r="DZ16" s="123"/>
      <c r="EA16" s="123"/>
      <c r="EB16" s="123"/>
      <c r="EC16" s="123"/>
      <c r="ED16" s="123"/>
      <c r="EE16" s="123"/>
      <c r="EF16" s="123"/>
      <c r="EL16" s="126"/>
      <c r="FT16" s="126"/>
      <c r="IV16" s="126"/>
      <c r="KJ16" s="126"/>
      <c r="QD16" s="126"/>
      <c r="QQ16" s="126"/>
      <c r="TG16" s="126"/>
      <c r="ZX16" s="126"/>
      <c r="AAX16" s="126"/>
      <c r="ADH16" s="126"/>
      <c r="AER16" s="126"/>
      <c r="AFF16" s="126"/>
      <c r="AGM16" s="126"/>
      <c r="AKP16" s="126"/>
      <c r="AMF16" s="126"/>
      <c r="AOC16" s="126"/>
      <c r="APC16" s="126"/>
      <c r="AQR16" s="126"/>
      <c r="ARP16" s="126"/>
      <c r="ART16" s="126"/>
      <c r="ASJ16" s="126"/>
      <c r="ASQ16" s="126"/>
      <c r="ASR16" s="126"/>
      <c r="ATT16" s="126"/>
      <c r="AWE16" s="126"/>
      <c r="BCD16" s="126"/>
      <c r="BEF16" s="126"/>
      <c r="BFF16" s="126"/>
      <c r="BGX16" s="126"/>
      <c r="BHS16" s="126"/>
      <c r="BTZ16" s="126"/>
      <c r="BVY16" s="126"/>
      <c r="CHO16" s="126"/>
      <c r="CIL16" s="126"/>
      <c r="CNY16" s="126"/>
      <c r="CZJ16" s="126"/>
      <c r="DOX16" s="126"/>
      <c r="DVF16" s="126"/>
      <c r="DVQ16" s="126"/>
      <c r="DWP16" s="126"/>
      <c r="DXS16" s="126"/>
    </row>
    <row r="17" ht="15" customHeight="1" spans="1:3482">
      <c r="A17" s="34">
        <v>13</v>
      </c>
      <c r="B17" s="37" t="s">
        <v>74</v>
      </c>
      <c r="C17" s="36">
        <v>7</v>
      </c>
      <c r="D17" s="38" t="s">
        <v>75</v>
      </c>
      <c r="E17" s="50"/>
      <c r="F17" s="51" t="s">
        <v>76</v>
      </c>
      <c r="G17" s="52"/>
      <c r="H17" s="53"/>
      <c r="I17" s="53">
        <v>32</v>
      </c>
      <c r="J17" s="60" t="s">
        <v>73</v>
      </c>
      <c r="K17" s="61" t="s">
        <v>60</v>
      </c>
      <c r="L17" s="62" t="str">
        <f t="shared" si="0"/>
        <v/>
      </c>
      <c r="M17" s="71">
        <f t="shared" si="1"/>
        <v>32</v>
      </c>
      <c r="N17" s="72"/>
      <c r="O17" s="70">
        <f t="shared" si="2"/>
        <v>32</v>
      </c>
      <c r="P17" s="70">
        <f t="shared" si="3"/>
        <v>32</v>
      </c>
      <c r="Q17" s="70">
        <f t="shared" si="4"/>
        <v>32</v>
      </c>
      <c r="R17" s="80">
        <f t="shared" si="5"/>
        <v>0</v>
      </c>
      <c r="S17" s="81" t="e">
        <f t="shared" si="6"/>
        <v>#DIV/0!</v>
      </c>
      <c r="T17" s="82" t="str">
        <f t="shared" si="7"/>
        <v/>
      </c>
      <c r="U17" s="82" t="str">
        <f t="shared" si="8"/>
        <v/>
      </c>
      <c r="V17" s="81" t="str">
        <f t="shared" si="9"/>
        <v/>
      </c>
      <c r="W17" s="81" t="e">
        <f t="shared" si="10"/>
        <v>#DIV/0!</v>
      </c>
      <c r="X17" s="81" t="e">
        <f t="shared" si="11"/>
        <v>#DIV/0!</v>
      </c>
      <c r="Y17" s="88" t="e">
        <f t="shared" si="12"/>
        <v>#DIV/0!</v>
      </c>
      <c r="Z17" s="89" t="str">
        <f t="shared" si="13"/>
        <v/>
      </c>
      <c r="AA17" s="89">
        <f t="shared" si="14"/>
        <v>32</v>
      </c>
      <c r="AB17" s="89" t="str">
        <f t="shared" si="15"/>
        <v/>
      </c>
      <c r="AC17" s="89" t="e">
        <f t="shared" si="16"/>
        <v>#DIV/0!</v>
      </c>
      <c r="AD17" s="96"/>
      <c r="AE17" s="97" t="str">
        <f t="shared" si="17"/>
        <v/>
      </c>
      <c r="AF17" s="98"/>
      <c r="AG17" s="105"/>
      <c r="AH17" s="105"/>
      <c r="AI17" s="106"/>
      <c r="AJ17" s="108"/>
      <c r="AK17" s="114">
        <v>32</v>
      </c>
      <c r="AL17" s="114">
        <v>32</v>
      </c>
      <c r="AM17" s="114">
        <v>32</v>
      </c>
      <c r="AN17" s="114">
        <v>32</v>
      </c>
      <c r="AO17" s="114">
        <v>32</v>
      </c>
      <c r="AP17" s="114">
        <v>32</v>
      </c>
      <c r="AQ17" s="114">
        <v>32</v>
      </c>
      <c r="AR17" s="114">
        <v>32</v>
      </c>
      <c r="AS17" s="114">
        <v>32</v>
      </c>
      <c r="AT17" s="114">
        <v>32</v>
      </c>
      <c r="AU17" s="114">
        <v>32</v>
      </c>
      <c r="AV17" s="114">
        <v>32</v>
      </c>
      <c r="AW17" s="114">
        <v>32</v>
      </c>
      <c r="AX17" s="114">
        <v>32</v>
      </c>
      <c r="AY17" s="114">
        <v>32</v>
      </c>
      <c r="AZ17" s="114">
        <v>32</v>
      </c>
      <c r="BA17" s="114">
        <v>32</v>
      </c>
      <c r="BB17" s="114">
        <v>32</v>
      </c>
      <c r="BC17" s="114">
        <v>32</v>
      </c>
      <c r="BD17" s="114">
        <v>32</v>
      </c>
      <c r="BE17" s="114">
        <v>32</v>
      </c>
      <c r="BF17" s="114">
        <v>32</v>
      </c>
      <c r="BG17" s="114">
        <v>32</v>
      </c>
      <c r="BH17" s="114">
        <v>32</v>
      </c>
      <c r="BI17" s="114">
        <v>32</v>
      </c>
      <c r="BJ17" s="114">
        <v>32</v>
      </c>
      <c r="BK17" s="114">
        <v>32</v>
      </c>
      <c r="BL17" s="114">
        <v>32</v>
      </c>
      <c r="BM17" s="114">
        <v>32</v>
      </c>
      <c r="BN17" s="114">
        <v>32</v>
      </c>
      <c r="BO17" s="114">
        <v>32</v>
      </c>
      <c r="BP17" s="114">
        <v>32</v>
      </c>
      <c r="BQ17" s="122"/>
      <c r="BR17" s="123"/>
      <c r="BS17" s="123"/>
      <c r="BT17" s="123"/>
      <c r="BU17" s="123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123"/>
      <c r="CH17" s="123"/>
      <c r="CI17" s="123"/>
      <c r="CJ17" s="123"/>
      <c r="CK17" s="123"/>
      <c r="CL17" s="123"/>
      <c r="CM17" s="123"/>
      <c r="CN17" s="123"/>
      <c r="CO17" s="123"/>
      <c r="CP17" s="123"/>
      <c r="CQ17" s="123"/>
      <c r="CR17" s="123"/>
      <c r="CS17" s="123"/>
      <c r="CT17" s="123"/>
      <c r="CU17" s="123"/>
      <c r="CV17" s="123"/>
      <c r="CW17" s="123"/>
      <c r="CX17" s="123"/>
      <c r="CY17" s="123"/>
      <c r="CZ17" s="125"/>
      <c r="DA17" s="123"/>
      <c r="DB17" s="123"/>
      <c r="DC17" s="123"/>
      <c r="DD17" s="123"/>
      <c r="DE17" s="123"/>
      <c r="DF17" s="123"/>
      <c r="DG17" s="123"/>
      <c r="DH17" s="123"/>
      <c r="DI17" s="123"/>
      <c r="DJ17" s="123"/>
      <c r="DK17" s="123"/>
      <c r="DL17" s="123"/>
      <c r="DM17" s="123"/>
      <c r="DN17" s="123"/>
      <c r="DO17" s="123"/>
      <c r="DP17" s="123"/>
      <c r="DQ17" s="123"/>
      <c r="DR17" s="123"/>
      <c r="DS17" s="123"/>
      <c r="DT17" s="123"/>
      <c r="DU17" s="123"/>
      <c r="DV17" s="123"/>
      <c r="DW17" s="123"/>
      <c r="DX17" s="123"/>
      <c r="DY17" s="123"/>
      <c r="DZ17" s="123"/>
      <c r="EA17" s="123"/>
      <c r="EB17" s="123"/>
      <c r="EC17" s="123"/>
      <c r="ED17" s="123"/>
      <c r="EE17" s="123"/>
      <c r="EF17" s="123"/>
      <c r="JU17" s="126"/>
      <c r="NW17" s="126"/>
      <c r="SK17" s="126"/>
      <c r="SU17" s="126"/>
      <c r="AAI17" s="126"/>
      <c r="ABN17" s="126"/>
      <c r="ALR17" s="126"/>
      <c r="ANY17" s="126"/>
      <c r="APE17" s="126"/>
      <c r="APW17" s="126"/>
      <c r="ASW17" s="126"/>
      <c r="ATJ17" s="126"/>
      <c r="AUU17" s="126"/>
      <c r="AYZ17" s="126"/>
      <c r="BBQ17" s="126"/>
      <c r="BFB17" s="126"/>
      <c r="BGS17" s="126"/>
      <c r="BIH17" s="126"/>
      <c r="BRI17" s="126"/>
      <c r="BUM17" s="126"/>
      <c r="BVH17" s="126"/>
      <c r="BVW17" s="126"/>
      <c r="CAQ17" s="126"/>
      <c r="CBD17" s="126"/>
      <c r="CJJ17" s="126"/>
      <c r="DKR17" s="126"/>
      <c r="DKU17" s="126"/>
      <c r="DLK17" s="126"/>
      <c r="DMK17" s="126"/>
      <c r="DSI17" s="126"/>
      <c r="DSM17" s="126"/>
      <c r="ECD17" s="126"/>
      <c r="ECX17" s="126"/>
    </row>
    <row r="18" ht="15" customHeight="1" spans="1:3482">
      <c r="A18" s="34">
        <v>14</v>
      </c>
      <c r="B18" s="37" t="s">
        <v>77</v>
      </c>
      <c r="C18" s="37" t="s">
        <v>77</v>
      </c>
      <c r="D18" s="38" t="s">
        <v>78</v>
      </c>
      <c r="E18" s="50"/>
      <c r="F18" s="51" t="s">
        <v>79</v>
      </c>
      <c r="G18" s="52"/>
      <c r="H18" s="54">
        <v>0.05</v>
      </c>
      <c r="I18" s="53"/>
      <c r="J18" s="60" t="s">
        <v>73</v>
      </c>
      <c r="K18" s="61" t="s">
        <v>60</v>
      </c>
      <c r="L18" s="62">
        <f t="shared" si="0"/>
        <v>0.05</v>
      </c>
      <c r="M18" s="71" t="str">
        <f t="shared" si="1"/>
        <v/>
      </c>
      <c r="N18" s="69"/>
      <c r="O18" s="70">
        <f t="shared" si="2"/>
        <v>0.0215030509691315</v>
      </c>
      <c r="P18" s="70">
        <f t="shared" si="3"/>
        <v>0.0046122994652408</v>
      </c>
      <c r="Q18" s="70">
        <f t="shared" si="4"/>
        <v>0.0109783465145326</v>
      </c>
      <c r="R18" s="80">
        <f t="shared" si="5"/>
        <v>0.00557823707684398</v>
      </c>
      <c r="S18" s="81">
        <f t="shared" si="6"/>
        <v>2.33177931473796</v>
      </c>
      <c r="T18" s="82" t="str">
        <f t="shared" si="7"/>
        <v/>
      </c>
      <c r="U18" s="82" t="str">
        <f t="shared" si="8"/>
        <v/>
      </c>
      <c r="V18" s="81">
        <f t="shared" si="9"/>
        <v>2.33177931473796</v>
      </c>
      <c r="W18" s="81" t="str">
        <f t="shared" si="10"/>
        <v/>
      </c>
      <c r="X18" s="81">
        <f t="shared" si="11"/>
        <v>2.33177931473796</v>
      </c>
      <c r="Y18" s="88">
        <f t="shared" si="12"/>
        <v>0.999999999998677</v>
      </c>
      <c r="Z18" s="89" t="str">
        <f t="shared" si="13"/>
        <v/>
      </c>
      <c r="AA18" s="89" t="str">
        <f t="shared" si="14"/>
        <v/>
      </c>
      <c r="AB18" s="89" t="str">
        <f t="shared" si="15"/>
        <v/>
      </c>
      <c r="AC18" s="89" t="str">
        <f t="shared" si="16"/>
        <v/>
      </c>
      <c r="AD18" s="96"/>
      <c r="AE18" s="97" t="str">
        <f t="shared" si="17"/>
        <v/>
      </c>
      <c r="AF18" s="98"/>
      <c r="AG18" s="105"/>
      <c r="AH18" s="105"/>
      <c r="AI18" s="106"/>
      <c r="AJ18" s="107"/>
      <c r="AK18" s="115">
        <v>0.0046122994652408</v>
      </c>
      <c r="AL18" s="115">
        <v>0.006752746645445</v>
      </c>
      <c r="AM18" s="115">
        <v>0.0187245411939908</v>
      </c>
      <c r="AN18" s="115">
        <v>0.00692916849978009</v>
      </c>
      <c r="AO18" s="115">
        <v>0.0090585026832059</v>
      </c>
      <c r="AP18" s="115">
        <v>0.0081541850220264</v>
      </c>
      <c r="AQ18" s="115">
        <v>0.0126219891565194</v>
      </c>
      <c r="AR18" s="115">
        <v>0.0138754510223171</v>
      </c>
      <c r="AS18" s="115">
        <v>0.0075515304876695</v>
      </c>
      <c r="AT18" s="115">
        <v>0.0215030509691315</v>
      </c>
      <c r="AU18" s="114"/>
      <c r="AV18" s="114"/>
      <c r="AW18" s="114"/>
      <c r="AX18" s="114"/>
      <c r="AY18" s="114"/>
      <c r="AZ18" s="114"/>
      <c r="BA18" s="114"/>
      <c r="BB18" s="114"/>
      <c r="BC18" s="114"/>
      <c r="BD18" s="114"/>
      <c r="BE18" s="114"/>
      <c r="BF18" s="114"/>
      <c r="BG18" s="114"/>
      <c r="BH18" s="114"/>
      <c r="BI18" s="114"/>
      <c r="BJ18" s="114"/>
      <c r="BK18" s="114"/>
      <c r="BL18" s="114"/>
      <c r="BM18" s="114"/>
      <c r="BN18" s="114"/>
      <c r="BO18" s="114"/>
      <c r="BP18" s="114"/>
      <c r="BQ18" s="122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FB18" s="126"/>
      <c r="JU18" s="126"/>
      <c r="LG18" s="126"/>
      <c r="MX18" s="126"/>
      <c r="TC18" s="126"/>
      <c r="YU18" s="126"/>
      <c r="ZY18" s="126"/>
      <c r="AAB18" s="126"/>
      <c r="ACU18" s="126"/>
      <c r="ALR18" s="126"/>
      <c r="ANN18" s="126"/>
      <c r="AWW18" s="126"/>
      <c r="BFB18" s="126"/>
      <c r="BIH18" s="126"/>
      <c r="BXM18" s="126"/>
      <c r="CAP18" s="126"/>
      <c r="CCV18" s="126"/>
      <c r="CJM18" s="126"/>
      <c r="CJZ18" s="126"/>
      <c r="CKS18" s="126"/>
      <c r="CNO18" s="126"/>
      <c r="COP18" s="126"/>
      <c r="COZ18" s="126"/>
      <c r="CQJ18" s="126"/>
      <c r="CUA18" s="126"/>
      <c r="DHC18" s="126"/>
      <c r="DKR18" s="126"/>
      <c r="DKU18" s="126"/>
      <c r="DLK18" s="126"/>
      <c r="DSB18" s="126"/>
      <c r="ECX18" s="126"/>
    </row>
    <row r="19" ht="15" customHeight="1" spans="1:3482">
      <c r="A19" s="34">
        <v>15</v>
      </c>
      <c r="B19" s="37" t="s">
        <v>77</v>
      </c>
      <c r="C19" s="37" t="s">
        <v>77</v>
      </c>
      <c r="D19" s="39" t="s">
        <v>80</v>
      </c>
      <c r="E19" s="50"/>
      <c r="F19" s="51" t="s">
        <v>79</v>
      </c>
      <c r="G19" s="52"/>
      <c r="H19" s="54">
        <v>0.05</v>
      </c>
      <c r="I19" s="53"/>
      <c r="J19" s="60" t="s">
        <v>73</v>
      </c>
      <c r="K19" s="61" t="s">
        <v>60</v>
      </c>
      <c r="L19" s="62">
        <f t="shared" si="0"/>
        <v>0.05</v>
      </c>
      <c r="M19" s="71" t="str">
        <f t="shared" si="1"/>
        <v/>
      </c>
      <c r="N19" s="69"/>
      <c r="O19" s="70">
        <f t="shared" si="2"/>
        <v>0.0154715436646418</v>
      </c>
      <c r="P19" s="70">
        <f t="shared" si="3"/>
        <v>0.001987369164863</v>
      </c>
      <c r="Q19" s="70">
        <f t="shared" si="4"/>
        <v>0.00920798561918566</v>
      </c>
      <c r="R19" s="80">
        <f t="shared" si="5"/>
        <v>0.00396823930631293</v>
      </c>
      <c r="S19" s="81">
        <f t="shared" si="6"/>
        <v>3.42654186840663</v>
      </c>
      <c r="T19" s="82" t="str">
        <f t="shared" si="7"/>
        <v/>
      </c>
      <c r="U19" s="82" t="str">
        <f t="shared" si="8"/>
        <v/>
      </c>
      <c r="V19" s="81">
        <f t="shared" si="9"/>
        <v>3.42654186840663</v>
      </c>
      <c r="W19" s="81" t="str">
        <f t="shared" si="10"/>
        <v/>
      </c>
      <c r="X19" s="81">
        <f t="shared" si="11"/>
        <v>3.42654186840663</v>
      </c>
      <c r="Y19" s="88">
        <f t="shared" si="12"/>
        <v>1</v>
      </c>
      <c r="Z19" s="89" t="str">
        <f t="shared" si="13"/>
        <v/>
      </c>
      <c r="AA19" s="89" t="str">
        <f t="shared" si="14"/>
        <v/>
      </c>
      <c r="AB19" s="89" t="str">
        <f t="shared" si="15"/>
        <v/>
      </c>
      <c r="AC19" s="89" t="str">
        <f t="shared" si="16"/>
        <v/>
      </c>
      <c r="AD19" s="96"/>
      <c r="AE19" s="97" t="str">
        <f t="shared" si="17"/>
        <v/>
      </c>
      <c r="AF19" s="98"/>
      <c r="AG19" s="105"/>
      <c r="AH19" s="105"/>
      <c r="AI19" s="106"/>
      <c r="AJ19" s="107"/>
      <c r="AK19" s="115">
        <v>0.00876136239185</v>
      </c>
      <c r="AL19" s="115">
        <v>0.001987369164863</v>
      </c>
      <c r="AM19" s="115">
        <v>0.011780618700641</v>
      </c>
      <c r="AN19" s="115">
        <v>0.005404612251154</v>
      </c>
      <c r="AO19" s="115">
        <v>0.01331034934212</v>
      </c>
      <c r="AP19" s="115">
        <v>0.00878608179994772</v>
      </c>
      <c r="AQ19" s="115">
        <v>0.008036028596882</v>
      </c>
      <c r="AR19" s="115">
        <v>0.0154715436646418</v>
      </c>
      <c r="AS19" s="115">
        <v>0.0069600488752154</v>
      </c>
      <c r="AT19" s="115">
        <v>0.0115818414045417</v>
      </c>
      <c r="AU19" s="114"/>
      <c r="AV19" s="114"/>
      <c r="AW19" s="114"/>
      <c r="AX19" s="114"/>
      <c r="AY19" s="114"/>
      <c r="AZ19" s="114"/>
      <c r="BA19" s="114"/>
      <c r="BB19" s="114"/>
      <c r="BC19" s="114"/>
      <c r="BD19" s="114"/>
      <c r="BE19" s="114"/>
      <c r="BF19" s="114"/>
      <c r="BG19" s="114"/>
      <c r="BH19" s="114"/>
      <c r="BI19" s="114"/>
      <c r="BJ19" s="114"/>
      <c r="BK19" s="114"/>
      <c r="BL19" s="114"/>
      <c r="BM19" s="114"/>
      <c r="BN19" s="114"/>
      <c r="BO19" s="114"/>
      <c r="BP19" s="114"/>
      <c r="BQ19" s="122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5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FB19" s="126"/>
      <c r="JD19" s="126"/>
      <c r="JU19" s="126"/>
      <c r="LG19" s="126"/>
      <c r="MX19" s="126"/>
      <c r="TC19" s="126"/>
      <c r="YN19" s="126"/>
      <c r="YU19" s="126"/>
      <c r="ZY19" s="126"/>
      <c r="AAB19" s="126"/>
      <c r="ACU19" s="126"/>
      <c r="ALR19" s="126"/>
      <c r="ANN19" s="126"/>
      <c r="AWW19" s="126"/>
      <c r="BCI19" s="126"/>
      <c r="BFB19" s="126"/>
      <c r="BIH19" s="126"/>
      <c r="BTP19" s="126"/>
      <c r="BVH19" s="126"/>
      <c r="BXM19" s="126"/>
      <c r="CAP19" s="126"/>
      <c r="CCV19" s="126"/>
      <c r="CJM19" s="126"/>
      <c r="CJZ19" s="126"/>
      <c r="CKS19" s="126"/>
      <c r="CNP19" s="126"/>
      <c r="COP19" s="126"/>
      <c r="COZ19" s="126"/>
      <c r="CQJ19" s="126"/>
      <c r="CUA19" s="126"/>
      <c r="DBL19" s="126"/>
      <c r="DDZ19" s="126"/>
      <c r="DHC19" s="126"/>
      <c r="DHM19" s="126"/>
      <c r="DKR19" s="126"/>
      <c r="DKU19" s="126"/>
      <c r="DKX19" s="126"/>
      <c r="DLE19" s="126"/>
      <c r="DLK19" s="126"/>
      <c r="DMQ19" s="126"/>
      <c r="DRC19" s="126"/>
      <c r="DSB19" s="126"/>
      <c r="ECX19" s="126"/>
    </row>
    <row r="20" ht="15" customHeight="1" spans="1:3482">
      <c r="A20" s="34">
        <v>17</v>
      </c>
      <c r="B20" s="37"/>
      <c r="C20" s="40"/>
      <c r="D20" s="38"/>
      <c r="E20" s="50"/>
      <c r="F20" s="51"/>
      <c r="G20" s="52"/>
      <c r="H20" s="53"/>
      <c r="I20" s="53"/>
      <c r="J20" s="60"/>
      <c r="K20" s="61"/>
      <c r="L20" s="62" t="str">
        <f t="shared" ref="L20:L51" si="18">IF(AND(G20="",H20=""),"",IF(G20="",H20,G20+H20))</f>
        <v/>
      </c>
      <c r="M20" s="71" t="str">
        <f t="shared" ref="M20:M51" si="19">IF(AND(G20="",I20=""),"",IF(G20="",I20,G20+I20))</f>
        <v/>
      </c>
      <c r="N20" s="72"/>
      <c r="O20" s="70" t="str">
        <f t="shared" ref="O20:O27" si="20">IF(OR($AK20="",ISNUMBER($AK20)=FALSE),"",MAX(AK20:EF20))</f>
        <v/>
      </c>
      <c r="P20" s="70" t="str">
        <f t="shared" ref="P20:P25" si="21">IF(OR($AK20="",ISNUMBER($AK20)=FALSE),"",MIN(AK20:EF20))</f>
        <v/>
      </c>
      <c r="Q20" s="70" t="str">
        <f t="shared" ref="Q20:Q25" si="22">IF(OR($AK20="",ISNUMBER($AK20)=FALSE),"",AVERAGE(AK20:EF20))</f>
        <v/>
      </c>
      <c r="R20" s="80" t="str">
        <f t="shared" ref="R20:R25" si="23">IF(OR($AK20="",ISNUMBER($AK20)=FALSE),"",STDEV(AK20:EF20))</f>
        <v/>
      </c>
      <c r="S20" s="81" t="str">
        <f t="shared" si="6"/>
        <v/>
      </c>
      <c r="T20" s="82" t="str">
        <f t="shared" ref="T20:T68" si="24">IF(OR($AK20="",ISNUMBER($AK20)=FALSE),"",IF(AND($F20="Tolerance",$G20&lt;&gt;""),($Q20-$G20)/(($L20-$M20)/2),IF(AND($F20="GD&amp;T",$H20&lt;&gt;""),$Q20/$H20,"")))</f>
        <v/>
      </c>
      <c r="U20" s="82" t="str">
        <f t="shared" ref="U20:U68" si="25">IF($T20="","",IF(ABS($T20)&lt;=0.125,"Level A",IF(AND(ABS($T20)&gt;0.125,ABS($T20)&lt;=0.25),"Level B",IF(AND(ABS($T20)&gt;0.25,ABS($T20)&lt;=0.5),"Level C",IF(ABS($T20)&gt;0.5,"Level D")))))</f>
        <v/>
      </c>
      <c r="V20" s="81" t="str">
        <f t="shared" si="9"/>
        <v/>
      </c>
      <c r="W20" s="81" t="str">
        <f t="shared" si="10"/>
        <v/>
      </c>
      <c r="X20" s="81" t="str">
        <f t="shared" ref="X20:X28" si="26">IF(OR($AK20="",ISNUMBER($AK20)=FALSE),"",IF(AND(G20=0,I20=0),((H20)-(Q20))/(3*R20),MIN(V20:W20)))</f>
        <v/>
      </c>
      <c r="Y20" s="88" t="str">
        <f t="shared" ref="Y20:Y28" si="27">IF(OR($AK20="",ISNUMBER($AK20)=FALSE),"",IF(AND(G20=0,I20=0),NORMSDIST(3*X20),NORMSDIST(3*X20)+NORMSDIST(6*S20-3*X20)-1))</f>
        <v/>
      </c>
      <c r="Z20" s="89" t="str">
        <f t="shared" ref="Z20:Z51" si="28">IF($Q20="","",IF(F20="Tolerance",IF(($E20*3*R20+Q20)-G20&lt;H20,"",($E20*3*R20+Q20)-G20),IF(OR(F20="GD&amp;T",F20="MAX"),IF(($E20*3*R20+Q20)&lt;H20,"",($E20*3*R20+Q20)),"")))</f>
        <v/>
      </c>
      <c r="AA20" s="89" t="str">
        <f t="shared" ref="AA20:AA51" si="29">IF(Q20="","",IF(F20="Tolerance",IF(-(($E20*3*R20)-Q20)-G20&gt;I20,"",-(($E20*3*R20)-Q20)-G20),IF(F20="MIN",IF(-(($E20*3*R20)-Q20)&gt;I20,"",-(($E20*3*R20)-Q20)),"")))</f>
        <v/>
      </c>
      <c r="AB20" s="89" t="str">
        <f t="shared" ref="AB20:AB51" si="30">IF(OR(G20="",Q20=""),"",(L20+M20)/2-Q20)</f>
        <v/>
      </c>
      <c r="AC20" s="89" t="str">
        <f t="shared" ref="AC20:AC67" si="31">IF(OR($S20&gt;$AC$9,$R20=""),"",$AC$9*6*$R20)</f>
        <v/>
      </c>
      <c r="AD20" s="96"/>
      <c r="AE20" s="97" t="str">
        <f t="shared" ref="AE20:AE25" si="32">IF(AD20="","",IF(AD20&gt;=0.966,"Normal","Not Normal"))</f>
        <v/>
      </c>
      <c r="AF20" s="98"/>
      <c r="AG20" s="105"/>
      <c r="AH20" s="105"/>
      <c r="AI20" s="106"/>
      <c r="AJ20" s="108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14"/>
      <c r="BA20" s="114"/>
      <c r="BB20" s="114"/>
      <c r="BC20" s="114"/>
      <c r="BD20" s="114"/>
      <c r="BE20" s="114"/>
      <c r="BF20" s="114"/>
      <c r="BG20" s="114"/>
      <c r="BH20" s="114"/>
      <c r="BI20" s="114"/>
      <c r="BJ20" s="114"/>
      <c r="BK20" s="114"/>
      <c r="BL20" s="114"/>
      <c r="BM20" s="114"/>
      <c r="BN20" s="114"/>
      <c r="BO20" s="114"/>
      <c r="BP20" s="114"/>
      <c r="BQ20" s="122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FB20" s="126"/>
      <c r="JU20" s="126"/>
      <c r="LG20" s="126"/>
      <c r="MX20" s="126"/>
      <c r="TC20" s="126"/>
      <c r="YU20" s="126"/>
      <c r="AAB20" s="126"/>
      <c r="ACU20" s="126"/>
      <c r="ADR20" s="126"/>
      <c r="ALR20" s="126"/>
      <c r="ANN20" s="126"/>
      <c r="ANY20" s="126"/>
      <c r="BFB20" s="126"/>
      <c r="BIH20" s="126"/>
      <c r="BUM20" s="126"/>
      <c r="BVH20" s="126"/>
      <c r="BXM20" s="126"/>
      <c r="CAP20" s="126"/>
      <c r="CCV20" s="126"/>
      <c r="CJM20" s="126"/>
      <c r="CJY20" s="126"/>
      <c r="CKS20" s="126"/>
      <c r="COP20" s="126"/>
      <c r="CQJ20" s="126"/>
      <c r="CUA20" s="126"/>
      <c r="DBL20" s="126"/>
      <c r="DDZ20" s="126"/>
      <c r="DHC20" s="126"/>
      <c r="DKR20" s="126"/>
      <c r="DKU20" s="126"/>
      <c r="DLK20" s="126"/>
      <c r="DRC20" s="126"/>
      <c r="DSB20" s="126"/>
      <c r="ECX20" s="126"/>
    </row>
    <row r="21" ht="15" customHeight="1" spans="1:3482">
      <c r="A21" s="34">
        <v>18</v>
      </c>
      <c r="B21" s="37"/>
      <c r="C21" s="40"/>
      <c r="D21" s="39"/>
      <c r="E21" s="50"/>
      <c r="F21" s="51"/>
      <c r="G21" s="52"/>
      <c r="H21" s="53"/>
      <c r="I21" s="53"/>
      <c r="J21" s="60"/>
      <c r="K21" s="61"/>
      <c r="L21" s="62" t="str">
        <f t="shared" si="18"/>
        <v/>
      </c>
      <c r="M21" s="71" t="str">
        <f t="shared" si="19"/>
        <v/>
      </c>
      <c r="N21" s="72"/>
      <c r="O21" s="70" t="str">
        <f t="shared" si="20"/>
        <v/>
      </c>
      <c r="P21" s="70" t="str">
        <f t="shared" si="21"/>
        <v/>
      </c>
      <c r="Q21" s="70" t="str">
        <f t="shared" si="22"/>
        <v/>
      </c>
      <c r="R21" s="80" t="str">
        <f t="shared" si="23"/>
        <v/>
      </c>
      <c r="S21" s="81" t="str">
        <f t="shared" si="6"/>
        <v/>
      </c>
      <c r="T21" s="82" t="str">
        <f t="shared" si="24"/>
        <v/>
      </c>
      <c r="U21" s="82" t="str">
        <f t="shared" si="25"/>
        <v/>
      </c>
      <c r="V21" s="81" t="str">
        <f t="shared" si="9"/>
        <v/>
      </c>
      <c r="W21" s="81" t="str">
        <f t="shared" si="10"/>
        <v/>
      </c>
      <c r="X21" s="81" t="str">
        <f t="shared" si="26"/>
        <v/>
      </c>
      <c r="Y21" s="88" t="str">
        <f t="shared" si="27"/>
        <v/>
      </c>
      <c r="Z21" s="89" t="str">
        <f t="shared" si="28"/>
        <v/>
      </c>
      <c r="AA21" s="89" t="str">
        <f t="shared" si="29"/>
        <v/>
      </c>
      <c r="AB21" s="89" t="str">
        <f t="shared" si="30"/>
        <v/>
      </c>
      <c r="AC21" s="89" t="str">
        <f t="shared" si="31"/>
        <v/>
      </c>
      <c r="AD21" s="96"/>
      <c r="AE21" s="97" t="str">
        <f t="shared" si="32"/>
        <v/>
      </c>
      <c r="AF21" s="98"/>
      <c r="AG21" s="105"/>
      <c r="AH21" s="105"/>
      <c r="AI21" s="106"/>
      <c r="AJ21" s="108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4"/>
      <c r="BL21" s="114"/>
      <c r="BM21" s="114"/>
      <c r="BN21" s="114"/>
      <c r="BO21" s="114"/>
      <c r="BP21" s="114"/>
      <c r="BQ21" s="122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FB21" s="126"/>
      <c r="JU21" s="126"/>
      <c r="LG21" s="126"/>
      <c r="MX21" s="126"/>
      <c r="YU21" s="126"/>
      <c r="AAB21" s="126"/>
      <c r="ACU21" s="126"/>
      <c r="ADR21" s="126"/>
      <c r="ALK21" s="126"/>
      <c r="ALR21" s="126"/>
      <c r="ANN21" s="126"/>
      <c r="ANY21" s="126"/>
      <c r="ASB21" s="126"/>
      <c r="BFB21" s="126"/>
      <c r="BIH21" s="126"/>
      <c r="BVH21" s="126"/>
      <c r="BXM21" s="126"/>
      <c r="CBD21" s="126"/>
      <c r="CCV21" s="126"/>
      <c r="CJM21" s="126"/>
      <c r="COP21" s="126"/>
      <c r="CQJ21" s="126"/>
      <c r="CUA21" s="126"/>
      <c r="DBL21" s="126"/>
      <c r="DHC21" s="126"/>
      <c r="DKR21" s="126"/>
      <c r="DKU21" s="126"/>
      <c r="DLK21" s="126"/>
      <c r="DRC21" s="126"/>
      <c r="DSB21" s="126"/>
      <c r="DTS21" s="126"/>
      <c r="ECX21" s="126"/>
    </row>
    <row r="22" ht="15" customHeight="1" spans="1:3285">
      <c r="A22" s="34">
        <v>19</v>
      </c>
      <c r="B22" s="37"/>
      <c r="C22" s="40"/>
      <c r="D22" s="39"/>
      <c r="E22" s="50"/>
      <c r="F22" s="51"/>
      <c r="G22" s="52"/>
      <c r="H22" s="53"/>
      <c r="I22" s="53"/>
      <c r="J22" s="60"/>
      <c r="K22" s="61"/>
      <c r="L22" s="62" t="str">
        <f t="shared" si="18"/>
        <v/>
      </c>
      <c r="M22" s="71" t="str">
        <f t="shared" si="19"/>
        <v/>
      </c>
      <c r="N22" s="72"/>
      <c r="O22" s="70" t="str">
        <f t="shared" si="20"/>
        <v/>
      </c>
      <c r="P22" s="70" t="str">
        <f t="shared" si="21"/>
        <v/>
      </c>
      <c r="Q22" s="70" t="str">
        <f t="shared" si="22"/>
        <v/>
      </c>
      <c r="R22" s="80" t="str">
        <f t="shared" si="23"/>
        <v/>
      </c>
      <c r="S22" s="81" t="str">
        <f t="shared" si="6"/>
        <v/>
      </c>
      <c r="T22" s="82" t="str">
        <f t="shared" si="24"/>
        <v/>
      </c>
      <c r="U22" s="82" t="str">
        <f t="shared" si="25"/>
        <v/>
      </c>
      <c r="V22" s="81" t="str">
        <f t="shared" si="9"/>
        <v/>
      </c>
      <c r="W22" s="81" t="str">
        <f t="shared" si="10"/>
        <v/>
      </c>
      <c r="X22" s="81" t="str">
        <f t="shared" si="26"/>
        <v/>
      </c>
      <c r="Y22" s="88" t="str">
        <f t="shared" si="27"/>
        <v/>
      </c>
      <c r="Z22" s="89" t="str">
        <f t="shared" si="28"/>
        <v/>
      </c>
      <c r="AA22" s="89" t="str">
        <f t="shared" si="29"/>
        <v/>
      </c>
      <c r="AB22" s="89" t="str">
        <f t="shared" si="30"/>
        <v/>
      </c>
      <c r="AC22" s="89" t="str">
        <f t="shared" si="31"/>
        <v/>
      </c>
      <c r="AD22" s="96"/>
      <c r="AE22" s="97" t="str">
        <f t="shared" si="32"/>
        <v/>
      </c>
      <c r="AF22" s="98"/>
      <c r="AG22" s="105"/>
      <c r="AH22" s="105"/>
      <c r="AI22" s="106"/>
      <c r="AJ22" s="108"/>
      <c r="AK22" s="114"/>
      <c r="AL22" s="114"/>
      <c r="AM22" s="114"/>
      <c r="AN22" s="114"/>
      <c r="AO22" s="114"/>
      <c r="AP22" s="114"/>
      <c r="AQ22" s="114"/>
      <c r="AR22" s="114"/>
      <c r="AS22" s="114"/>
      <c r="AT22" s="114"/>
      <c r="AU22" s="114"/>
      <c r="AV22" s="114"/>
      <c r="AW22" s="114"/>
      <c r="AX22" s="114"/>
      <c r="AY22" s="114"/>
      <c r="AZ22" s="114"/>
      <c r="BA22" s="114"/>
      <c r="BB22" s="114"/>
      <c r="BC22" s="114"/>
      <c r="BD22" s="114"/>
      <c r="BE22" s="114"/>
      <c r="BF22" s="114"/>
      <c r="BG22" s="114"/>
      <c r="BH22" s="114"/>
      <c r="BI22" s="114"/>
      <c r="BJ22" s="114"/>
      <c r="BK22" s="114"/>
      <c r="BL22" s="114"/>
      <c r="BM22" s="114"/>
      <c r="BN22" s="114"/>
      <c r="BO22" s="114"/>
      <c r="BP22" s="114"/>
      <c r="BQ22" s="122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5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6"/>
      <c r="HE22" s="126"/>
      <c r="IY22" s="126"/>
      <c r="SG22" s="126"/>
      <c r="SM22" s="126"/>
      <c r="XR22" s="126"/>
      <c r="ZI22" s="126"/>
      <c r="ZN22" s="126"/>
      <c r="ABY22" s="126"/>
      <c r="AFZ22" s="126"/>
      <c r="AGC22" s="126"/>
      <c r="AIN22" s="126"/>
      <c r="AIX22" s="126"/>
      <c r="AJG22" s="126"/>
      <c r="AJN22" s="126"/>
      <c r="AKA22" s="126"/>
      <c r="AKL22" s="126"/>
      <c r="AKU22" s="126"/>
      <c r="ALN22" s="126"/>
      <c r="AQZ22" s="126"/>
      <c r="ARN22" s="126"/>
      <c r="ASZ22" s="126"/>
      <c r="BXF22" s="126"/>
      <c r="DPT22" s="126"/>
      <c r="DVI22" s="126"/>
    </row>
    <row r="23" ht="15" customHeight="1" spans="1:3345">
      <c r="A23" s="34">
        <v>20</v>
      </c>
      <c r="B23" s="37"/>
      <c r="C23" s="40"/>
      <c r="D23" s="39"/>
      <c r="E23" s="50"/>
      <c r="F23" s="51"/>
      <c r="G23" s="52"/>
      <c r="H23" s="53"/>
      <c r="I23" s="53"/>
      <c r="J23" s="60"/>
      <c r="K23" s="61"/>
      <c r="L23" s="62" t="str">
        <f t="shared" si="18"/>
        <v/>
      </c>
      <c r="M23" s="71" t="str">
        <f t="shared" si="19"/>
        <v/>
      </c>
      <c r="N23" s="72"/>
      <c r="O23" s="70" t="str">
        <f t="shared" si="20"/>
        <v/>
      </c>
      <c r="P23" s="70" t="str">
        <f t="shared" si="21"/>
        <v/>
      </c>
      <c r="Q23" s="70" t="str">
        <f t="shared" si="22"/>
        <v/>
      </c>
      <c r="R23" s="80" t="str">
        <f t="shared" si="23"/>
        <v/>
      </c>
      <c r="S23" s="81" t="str">
        <f t="shared" si="6"/>
        <v/>
      </c>
      <c r="T23" s="82" t="str">
        <f t="shared" si="24"/>
        <v/>
      </c>
      <c r="U23" s="82" t="str">
        <f t="shared" si="25"/>
        <v/>
      </c>
      <c r="V23" s="81" t="str">
        <f t="shared" si="9"/>
        <v/>
      </c>
      <c r="W23" s="81" t="str">
        <f t="shared" si="10"/>
        <v/>
      </c>
      <c r="X23" s="81" t="str">
        <f t="shared" si="26"/>
        <v/>
      </c>
      <c r="Y23" s="88" t="str">
        <f t="shared" si="27"/>
        <v/>
      </c>
      <c r="Z23" s="89" t="str">
        <f t="shared" si="28"/>
        <v/>
      </c>
      <c r="AA23" s="89" t="str">
        <f t="shared" si="29"/>
        <v/>
      </c>
      <c r="AB23" s="89" t="str">
        <f t="shared" si="30"/>
        <v/>
      </c>
      <c r="AC23" s="89" t="str">
        <f t="shared" si="31"/>
        <v/>
      </c>
      <c r="AD23" s="96"/>
      <c r="AE23" s="97" t="str">
        <f t="shared" si="32"/>
        <v/>
      </c>
      <c r="AF23" s="98"/>
      <c r="AG23" s="105"/>
      <c r="AH23" s="105"/>
      <c r="AI23" s="106"/>
      <c r="AJ23" s="108"/>
      <c r="AK23" s="114"/>
      <c r="AL23" s="114"/>
      <c r="AM23" s="114"/>
      <c r="AN23" s="114"/>
      <c r="AO23" s="114"/>
      <c r="AP23" s="114"/>
      <c r="AQ23" s="114"/>
      <c r="AR23" s="114"/>
      <c r="AS23" s="114"/>
      <c r="AT23" s="114"/>
      <c r="AU23" s="114"/>
      <c r="AV23" s="114"/>
      <c r="AW23" s="114"/>
      <c r="AX23" s="114"/>
      <c r="AY23" s="114"/>
      <c r="AZ23" s="114"/>
      <c r="BA23" s="114"/>
      <c r="BB23" s="114"/>
      <c r="BC23" s="114"/>
      <c r="BD23" s="114"/>
      <c r="BE23" s="114"/>
      <c r="BF23" s="114"/>
      <c r="BG23" s="114"/>
      <c r="BH23" s="114"/>
      <c r="BI23" s="114"/>
      <c r="BJ23" s="114"/>
      <c r="BK23" s="114"/>
      <c r="BL23" s="114"/>
      <c r="BM23" s="114"/>
      <c r="BN23" s="116"/>
      <c r="BO23" s="114"/>
      <c r="BP23" s="114"/>
      <c r="BQ23" s="122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5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5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R23" s="126"/>
      <c r="KT23" s="126"/>
      <c r="WH23" s="126"/>
      <c r="XB23" s="126"/>
      <c r="AAB23" s="126"/>
      <c r="AAI23" s="126"/>
      <c r="AAR23" s="126"/>
      <c r="ABA23" s="126"/>
      <c r="ADR23" s="126"/>
      <c r="AEF23" s="126"/>
      <c r="AFH23" s="126"/>
      <c r="AGC23" s="126"/>
      <c r="AGI23" s="126"/>
      <c r="AJG23" s="126"/>
      <c r="AJQ23" s="126"/>
      <c r="AKC23" s="126"/>
      <c r="ANY23" s="126"/>
      <c r="AXB23" s="126"/>
      <c r="AXP23" s="126"/>
      <c r="BFW23" s="126"/>
      <c r="BLC23" s="126"/>
      <c r="BOD23" s="126"/>
      <c r="BSO23" s="126"/>
      <c r="CBC23" s="126"/>
      <c r="CBF23" s="126"/>
      <c r="CCI23" s="126"/>
      <c r="CGO23" s="126"/>
      <c r="CGZ23" s="126"/>
      <c r="DDF23" s="126"/>
      <c r="DFR23" s="126"/>
      <c r="DLE23" s="126"/>
      <c r="DOR23" s="126"/>
      <c r="DXQ23" s="126"/>
    </row>
    <row r="24" ht="15" customHeight="1" spans="1:3504">
      <c r="A24" s="34">
        <v>21</v>
      </c>
      <c r="B24" s="37"/>
      <c r="C24" s="40"/>
      <c r="D24" s="39"/>
      <c r="E24" s="50"/>
      <c r="F24" s="51"/>
      <c r="G24" s="52"/>
      <c r="H24" s="53"/>
      <c r="I24" s="53"/>
      <c r="J24" s="60"/>
      <c r="K24" s="61"/>
      <c r="L24" s="62" t="str">
        <f t="shared" si="18"/>
        <v/>
      </c>
      <c r="M24" s="71" t="str">
        <f t="shared" si="19"/>
        <v/>
      </c>
      <c r="N24" s="72"/>
      <c r="O24" s="70" t="str">
        <f t="shared" si="20"/>
        <v/>
      </c>
      <c r="P24" s="70" t="str">
        <f t="shared" si="21"/>
        <v/>
      </c>
      <c r="Q24" s="70" t="str">
        <f t="shared" si="22"/>
        <v/>
      </c>
      <c r="R24" s="80" t="str">
        <f t="shared" si="23"/>
        <v/>
      </c>
      <c r="S24" s="81" t="str">
        <f t="shared" ref="S24:S62" si="33">IF(OR($AK24="",ISNUMBER($AK24)=FALSE),"",IF(AND(G24=0,I24=0),V24,IF(AND(G24="",H24=""),W24,(H24+ABS(I24))/(6*R24))))</f>
        <v/>
      </c>
      <c r="T24" s="82" t="str">
        <f t="shared" si="24"/>
        <v/>
      </c>
      <c r="U24" s="82" t="str">
        <f t="shared" si="25"/>
        <v/>
      </c>
      <c r="V24" s="81" t="str">
        <f t="shared" ref="V24:V62" si="34">IF(OR($AK24="",ISNUMBER($AK24)=FALSE),"",IF(H24="","",(L24-Q24)/(3*R24)))</f>
        <v/>
      </c>
      <c r="W24" s="81" t="str">
        <f t="shared" ref="W24:W62" si="35">IF(OR($AK24="",ISNUMBER($AK24)=FALSE),"",IF(I24="","",(Q24-M24)/(3*R24)))</f>
        <v/>
      </c>
      <c r="X24" s="81" t="str">
        <f t="shared" si="26"/>
        <v/>
      </c>
      <c r="Y24" s="88" t="str">
        <f t="shared" si="27"/>
        <v/>
      </c>
      <c r="Z24" s="89" t="str">
        <f t="shared" si="28"/>
        <v/>
      </c>
      <c r="AA24" s="89" t="str">
        <f t="shared" si="29"/>
        <v/>
      </c>
      <c r="AB24" s="89" t="str">
        <f t="shared" si="30"/>
        <v/>
      </c>
      <c r="AC24" s="89" t="str">
        <f t="shared" si="31"/>
        <v/>
      </c>
      <c r="AD24" s="96"/>
      <c r="AE24" s="97" t="str">
        <f t="shared" si="32"/>
        <v/>
      </c>
      <c r="AF24" s="98"/>
      <c r="AG24" s="105"/>
      <c r="AH24" s="105"/>
      <c r="AI24" s="106"/>
      <c r="AJ24" s="108"/>
      <c r="AK24" s="114"/>
      <c r="AL24" s="114"/>
      <c r="AM24" s="114"/>
      <c r="AN24" s="114"/>
      <c r="AO24" s="114"/>
      <c r="AP24" s="114"/>
      <c r="AQ24" s="114"/>
      <c r="AR24" s="114"/>
      <c r="AS24" s="114"/>
      <c r="AT24" s="114"/>
      <c r="AU24" s="114"/>
      <c r="AV24" s="114"/>
      <c r="AW24" s="114"/>
      <c r="AX24" s="114"/>
      <c r="AY24" s="114"/>
      <c r="AZ24" s="114"/>
      <c r="BA24" s="114"/>
      <c r="BB24" s="114"/>
      <c r="BC24" s="114"/>
      <c r="BD24" s="114"/>
      <c r="BE24" s="114"/>
      <c r="BF24" s="114"/>
      <c r="BG24" s="114"/>
      <c r="BH24" s="114"/>
      <c r="BI24" s="114"/>
      <c r="BJ24" s="114"/>
      <c r="BK24" s="114"/>
      <c r="BL24" s="114"/>
      <c r="BM24" s="114"/>
      <c r="BN24" s="114"/>
      <c r="BO24" s="114"/>
      <c r="BP24" s="114"/>
      <c r="BQ24" s="122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5"/>
      <c r="DZ24" s="123"/>
      <c r="EA24" s="123"/>
      <c r="EB24" s="123"/>
      <c r="EC24" s="123"/>
      <c r="ED24" s="123"/>
      <c r="EE24" s="123"/>
      <c r="EF24" s="123"/>
      <c r="GN24" s="126"/>
      <c r="IS24" s="126"/>
      <c r="NX24" s="126"/>
      <c r="OC24" s="126"/>
      <c r="TR24" s="126"/>
      <c r="WQ24" s="126"/>
      <c r="YU24" s="126"/>
      <c r="ABI24" s="126"/>
      <c r="ACG24" s="126"/>
      <c r="ARR24" s="126"/>
      <c r="AWG24" s="126"/>
      <c r="BCL24" s="126"/>
      <c r="BJK24" s="126"/>
      <c r="BLP24" s="126"/>
      <c r="BSF24" s="126"/>
      <c r="BSY24" s="126"/>
      <c r="BWE24" s="126"/>
      <c r="CCU24" s="126"/>
      <c r="CEI24" s="126"/>
      <c r="CPS24" s="126"/>
      <c r="CRB24" s="126"/>
      <c r="CYG24" s="126"/>
      <c r="DCX24" s="126"/>
      <c r="DES24" s="126"/>
      <c r="DGT24" s="126"/>
      <c r="DJM24" s="126"/>
      <c r="DKC24" s="126"/>
      <c r="DKU24" s="126"/>
      <c r="DND24" s="126"/>
      <c r="DOT24" s="126"/>
      <c r="DVX24" s="126"/>
      <c r="DYJ24" s="126"/>
      <c r="EBD24" s="126"/>
      <c r="EDT24" s="126"/>
    </row>
    <row r="25" ht="15" customHeight="1" spans="1:3565">
      <c r="A25" s="34">
        <v>22</v>
      </c>
      <c r="B25" s="37"/>
      <c r="C25" s="40"/>
      <c r="D25" s="39"/>
      <c r="E25" s="50"/>
      <c r="F25" s="51"/>
      <c r="G25" s="52"/>
      <c r="H25" s="53"/>
      <c r="I25" s="53"/>
      <c r="J25" s="60"/>
      <c r="K25" s="61"/>
      <c r="L25" s="62" t="str">
        <f t="shared" si="18"/>
        <v/>
      </c>
      <c r="M25" s="71" t="str">
        <f t="shared" si="19"/>
        <v/>
      </c>
      <c r="N25" s="72"/>
      <c r="O25" s="70" t="str">
        <f t="shared" si="20"/>
        <v/>
      </c>
      <c r="P25" s="70" t="str">
        <f t="shared" si="21"/>
        <v/>
      </c>
      <c r="Q25" s="70" t="str">
        <f t="shared" si="22"/>
        <v/>
      </c>
      <c r="R25" s="80" t="str">
        <f t="shared" si="23"/>
        <v/>
      </c>
      <c r="S25" s="81" t="str">
        <f t="shared" si="33"/>
        <v/>
      </c>
      <c r="T25" s="82" t="str">
        <f t="shared" si="24"/>
        <v/>
      </c>
      <c r="U25" s="82" t="str">
        <f t="shared" si="25"/>
        <v/>
      </c>
      <c r="V25" s="81" t="str">
        <f t="shared" si="34"/>
        <v/>
      </c>
      <c r="W25" s="81" t="str">
        <f t="shared" si="35"/>
        <v/>
      </c>
      <c r="X25" s="81" t="str">
        <f t="shared" si="26"/>
        <v/>
      </c>
      <c r="Y25" s="88" t="str">
        <f t="shared" si="27"/>
        <v/>
      </c>
      <c r="Z25" s="89" t="str">
        <f t="shared" si="28"/>
        <v/>
      </c>
      <c r="AA25" s="89" t="str">
        <f t="shared" si="29"/>
        <v/>
      </c>
      <c r="AB25" s="89" t="str">
        <f t="shared" si="30"/>
        <v/>
      </c>
      <c r="AC25" s="89" t="str">
        <f t="shared" si="31"/>
        <v/>
      </c>
      <c r="AD25" s="96"/>
      <c r="AE25" s="97" t="str">
        <f t="shared" si="32"/>
        <v/>
      </c>
      <c r="AF25" s="98"/>
      <c r="AG25" s="105"/>
      <c r="AH25" s="105"/>
      <c r="AI25" s="106"/>
      <c r="AJ25" s="108"/>
      <c r="AK25" s="114"/>
      <c r="AL25" s="114"/>
      <c r="AM25" s="114"/>
      <c r="AN25" s="114"/>
      <c r="AO25" s="114"/>
      <c r="AP25" s="116"/>
      <c r="AQ25" s="114"/>
      <c r="AR25" s="114"/>
      <c r="AS25" s="114"/>
      <c r="AT25" s="116"/>
      <c r="AU25" s="114"/>
      <c r="AV25" s="114"/>
      <c r="AW25" s="114"/>
      <c r="AX25" s="114"/>
      <c r="AY25" s="114"/>
      <c r="AZ25" s="114"/>
      <c r="BA25" s="114"/>
      <c r="BB25" s="114"/>
      <c r="BC25" s="114"/>
      <c r="BD25" s="114"/>
      <c r="BE25" s="114"/>
      <c r="BF25" s="114"/>
      <c r="BG25" s="114"/>
      <c r="BH25" s="114"/>
      <c r="BI25" s="114"/>
      <c r="BJ25" s="114"/>
      <c r="BK25" s="114"/>
      <c r="BL25" s="114"/>
      <c r="BM25" s="114"/>
      <c r="BN25" s="114"/>
      <c r="BO25" s="114"/>
      <c r="BP25" s="114"/>
      <c r="BQ25" s="122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5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5"/>
      <c r="DZ25" s="123"/>
      <c r="EA25" s="123"/>
      <c r="EB25" s="123"/>
      <c r="EC25" s="123"/>
      <c r="ED25" s="123"/>
      <c r="EE25" s="123"/>
      <c r="EF25" s="123"/>
      <c r="HI25" s="126"/>
      <c r="SH25" s="126"/>
      <c r="YP25" s="126"/>
      <c r="YZ25" s="126"/>
      <c r="ZG25" s="126"/>
      <c r="ABV25" s="126"/>
      <c r="ADJ25" s="126"/>
      <c r="AKB25" s="126"/>
      <c r="APA25" s="126"/>
      <c r="ARF25" s="126"/>
      <c r="AXY25" s="126"/>
      <c r="BJK25" s="126"/>
      <c r="BOO25" s="126"/>
      <c r="BQE25" s="126"/>
      <c r="BQW25" s="126"/>
      <c r="BWE25" s="126"/>
      <c r="CCK25" s="126"/>
      <c r="CGR25" s="126"/>
      <c r="CRE25" s="126"/>
      <c r="CUE25" s="126"/>
      <c r="CZT25" s="126"/>
      <c r="DBK25" s="126"/>
      <c r="DBP25" s="126"/>
      <c r="DCR25" s="126"/>
      <c r="DLH25" s="126"/>
      <c r="DNN25" s="126"/>
      <c r="DQF25" s="126"/>
      <c r="DRE25" s="126"/>
      <c r="DRJ25" s="126"/>
      <c r="DVI25" s="126"/>
      <c r="EGC25" s="126"/>
    </row>
    <row r="26" ht="15" customHeight="1" spans="1:136">
      <c r="A26" s="34">
        <v>23</v>
      </c>
      <c r="B26" s="37"/>
      <c r="C26" s="40"/>
      <c r="D26" s="39"/>
      <c r="E26" s="50"/>
      <c r="F26" s="51"/>
      <c r="G26" s="52"/>
      <c r="H26" s="53"/>
      <c r="I26" s="53"/>
      <c r="J26" s="60"/>
      <c r="K26" s="61"/>
      <c r="L26" s="62" t="str">
        <f t="shared" si="18"/>
        <v/>
      </c>
      <c r="M26" s="71" t="str">
        <f t="shared" si="19"/>
        <v/>
      </c>
      <c r="N26" s="72"/>
      <c r="O26" s="70" t="str">
        <f t="shared" si="20"/>
        <v/>
      </c>
      <c r="P26" s="70" t="str">
        <f t="shared" ref="P26:P33" si="36">IF(OR($AK26="",ISNUMBER($AK26)=FALSE),"",MIN(AK26:EF26))</f>
        <v/>
      </c>
      <c r="Q26" s="70" t="str">
        <f t="shared" ref="Q26:Q33" si="37">IF(OR($AK26="",ISNUMBER($AK26)=FALSE),"",AVERAGE(AK26:EF26))</f>
        <v/>
      </c>
      <c r="R26" s="80" t="str">
        <f t="shared" ref="R26:R33" si="38">IF(OR($AK26="",ISNUMBER($AK26)=FALSE),"",STDEV(AK26:EF26))</f>
        <v/>
      </c>
      <c r="S26" s="81" t="str">
        <f t="shared" si="33"/>
        <v/>
      </c>
      <c r="T26" s="82" t="str">
        <f t="shared" si="24"/>
        <v/>
      </c>
      <c r="U26" s="82" t="str">
        <f t="shared" si="25"/>
        <v/>
      </c>
      <c r="V26" s="81" t="str">
        <f t="shared" si="34"/>
        <v/>
      </c>
      <c r="W26" s="81" t="str">
        <f t="shared" si="35"/>
        <v/>
      </c>
      <c r="X26" s="81" t="str">
        <f t="shared" si="26"/>
        <v/>
      </c>
      <c r="Y26" s="88" t="str">
        <f t="shared" si="27"/>
        <v/>
      </c>
      <c r="Z26" s="89" t="str">
        <f t="shared" si="28"/>
        <v/>
      </c>
      <c r="AA26" s="89" t="str">
        <f t="shared" si="29"/>
        <v/>
      </c>
      <c r="AB26" s="89" t="str">
        <f t="shared" si="30"/>
        <v/>
      </c>
      <c r="AC26" s="89" t="str">
        <f t="shared" si="31"/>
        <v/>
      </c>
      <c r="AD26" s="96"/>
      <c r="AE26" s="97" t="str">
        <f t="shared" ref="AE26:AE35" si="39">IF(AD26="","",IF(AD26&gt;=0.966,"Normal","Not Normal"))</f>
        <v/>
      </c>
      <c r="AF26" s="98"/>
      <c r="AG26" s="105"/>
      <c r="AH26" s="105"/>
      <c r="AI26" s="106"/>
      <c r="AJ26" s="108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22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</row>
    <row r="27" ht="15" customHeight="1" spans="1:136">
      <c r="A27" s="34">
        <v>24</v>
      </c>
      <c r="B27" s="37"/>
      <c r="C27" s="40"/>
      <c r="D27" s="39"/>
      <c r="E27" s="50"/>
      <c r="F27" s="51"/>
      <c r="G27" s="52"/>
      <c r="H27" s="53"/>
      <c r="I27" s="53"/>
      <c r="J27" s="60"/>
      <c r="K27" s="61"/>
      <c r="L27" s="62" t="str">
        <f t="shared" si="18"/>
        <v/>
      </c>
      <c r="M27" s="71" t="str">
        <f t="shared" si="19"/>
        <v/>
      </c>
      <c r="N27" s="72"/>
      <c r="O27" s="70" t="str">
        <f t="shared" si="20"/>
        <v/>
      </c>
      <c r="P27" s="70" t="str">
        <f t="shared" si="36"/>
        <v/>
      </c>
      <c r="Q27" s="70" t="str">
        <f t="shared" si="37"/>
        <v/>
      </c>
      <c r="R27" s="80" t="str">
        <f t="shared" si="38"/>
        <v/>
      </c>
      <c r="S27" s="81" t="str">
        <f t="shared" si="33"/>
        <v/>
      </c>
      <c r="T27" s="82" t="str">
        <f t="shared" si="24"/>
        <v/>
      </c>
      <c r="U27" s="82" t="str">
        <f t="shared" si="25"/>
        <v/>
      </c>
      <c r="V27" s="81" t="str">
        <f t="shared" si="34"/>
        <v/>
      </c>
      <c r="W27" s="81" t="str">
        <f t="shared" si="35"/>
        <v/>
      </c>
      <c r="X27" s="81" t="str">
        <f t="shared" si="26"/>
        <v/>
      </c>
      <c r="Y27" s="88" t="str">
        <f t="shared" si="27"/>
        <v/>
      </c>
      <c r="Z27" s="89" t="str">
        <f t="shared" si="28"/>
        <v/>
      </c>
      <c r="AA27" s="89" t="str">
        <f t="shared" si="29"/>
        <v/>
      </c>
      <c r="AB27" s="89" t="str">
        <f t="shared" si="30"/>
        <v/>
      </c>
      <c r="AC27" s="89" t="str">
        <f t="shared" si="31"/>
        <v/>
      </c>
      <c r="AD27" s="96"/>
      <c r="AE27" s="97" t="str">
        <f t="shared" si="39"/>
        <v/>
      </c>
      <c r="AF27" s="98"/>
      <c r="AG27" s="105"/>
      <c r="AH27" s="105"/>
      <c r="AI27" s="106"/>
      <c r="AJ27" s="108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22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</row>
    <row r="28" ht="15" customHeight="1" spans="1:136">
      <c r="A28" s="34">
        <v>25</v>
      </c>
      <c r="B28" s="37"/>
      <c r="C28" s="40"/>
      <c r="D28" s="39"/>
      <c r="E28" s="50"/>
      <c r="F28" s="51"/>
      <c r="G28" s="52"/>
      <c r="H28" s="53"/>
      <c r="I28" s="53"/>
      <c r="J28" s="60"/>
      <c r="K28" s="61"/>
      <c r="L28" s="62" t="str">
        <f t="shared" si="18"/>
        <v/>
      </c>
      <c r="M28" s="71" t="str">
        <f t="shared" si="19"/>
        <v/>
      </c>
      <c r="N28" s="72"/>
      <c r="O28" s="70" t="str">
        <f t="shared" ref="O28:O33" si="40">IF(OR($AK28="",ISNUMBER($AK28)=FALSE),"",MAX(AK28:EF28))</f>
        <v/>
      </c>
      <c r="P28" s="70" t="str">
        <f t="shared" si="36"/>
        <v/>
      </c>
      <c r="Q28" s="70" t="str">
        <f t="shared" si="37"/>
        <v/>
      </c>
      <c r="R28" s="80" t="str">
        <f t="shared" si="38"/>
        <v/>
      </c>
      <c r="S28" s="81" t="str">
        <f t="shared" si="33"/>
        <v/>
      </c>
      <c r="T28" s="82" t="str">
        <f t="shared" si="24"/>
        <v/>
      </c>
      <c r="U28" s="82" t="str">
        <f t="shared" si="25"/>
        <v/>
      </c>
      <c r="V28" s="81" t="str">
        <f t="shared" si="34"/>
        <v/>
      </c>
      <c r="W28" s="81" t="str">
        <f t="shared" si="35"/>
        <v/>
      </c>
      <c r="X28" s="81" t="str">
        <f t="shared" si="26"/>
        <v/>
      </c>
      <c r="Y28" s="88" t="str">
        <f t="shared" si="27"/>
        <v/>
      </c>
      <c r="Z28" s="89" t="str">
        <f t="shared" si="28"/>
        <v/>
      </c>
      <c r="AA28" s="89" t="str">
        <f t="shared" si="29"/>
        <v/>
      </c>
      <c r="AB28" s="89" t="str">
        <f t="shared" si="30"/>
        <v/>
      </c>
      <c r="AC28" s="89" t="str">
        <f t="shared" si="31"/>
        <v/>
      </c>
      <c r="AD28" s="96"/>
      <c r="AE28" s="97" t="str">
        <f t="shared" si="39"/>
        <v/>
      </c>
      <c r="AF28" s="98"/>
      <c r="AG28" s="105"/>
      <c r="AH28" s="105"/>
      <c r="AI28" s="106"/>
      <c r="AJ28" s="108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22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</row>
    <row r="29" ht="15" customHeight="1" spans="1:136">
      <c r="A29" s="34">
        <v>26</v>
      </c>
      <c r="B29" s="37"/>
      <c r="C29" s="40"/>
      <c r="D29" s="38"/>
      <c r="E29" s="50"/>
      <c r="F29" s="51"/>
      <c r="G29" s="52"/>
      <c r="H29" s="53"/>
      <c r="I29" s="53"/>
      <c r="J29" s="60"/>
      <c r="K29" s="61"/>
      <c r="L29" s="62" t="str">
        <f t="shared" si="18"/>
        <v/>
      </c>
      <c r="M29" s="71" t="str">
        <f t="shared" si="19"/>
        <v/>
      </c>
      <c r="N29" s="72"/>
      <c r="O29" s="70" t="str">
        <f t="shared" si="40"/>
        <v/>
      </c>
      <c r="P29" s="70" t="str">
        <f t="shared" si="36"/>
        <v/>
      </c>
      <c r="Q29" s="70" t="str">
        <f t="shared" si="37"/>
        <v/>
      </c>
      <c r="R29" s="80" t="str">
        <f t="shared" si="38"/>
        <v/>
      </c>
      <c r="S29" s="81" t="str">
        <f t="shared" si="33"/>
        <v/>
      </c>
      <c r="T29" s="82" t="str">
        <f t="shared" si="24"/>
        <v/>
      </c>
      <c r="U29" s="82" t="str">
        <f t="shared" si="25"/>
        <v/>
      </c>
      <c r="V29" s="81" t="str">
        <f t="shared" si="34"/>
        <v/>
      </c>
      <c r="W29" s="81" t="str">
        <f t="shared" si="35"/>
        <v/>
      </c>
      <c r="X29" s="81" t="str">
        <f t="shared" ref="X29:X67" si="41">IF(OR($AK29="",ISNUMBER($AK29)=FALSE),"",IF(AND(G29=0,I29=0),((H29)-(Q29))/(3*R29),MIN(V29:W29)))</f>
        <v/>
      </c>
      <c r="Y29" s="90" t="str">
        <f t="shared" ref="Y29:Y67" si="42">IF(OR($AK29="",ISNUMBER($AK29)=FALSE),"",IF(AND(G29=0,I29=0),NORMSDIST(3*X29),NORMSDIST(3*X29)+NORMSDIST(6*S29-3*X29)-1))</f>
        <v/>
      </c>
      <c r="Z29" s="89" t="str">
        <f t="shared" si="28"/>
        <v/>
      </c>
      <c r="AA29" s="89" t="str">
        <f t="shared" si="29"/>
        <v/>
      </c>
      <c r="AB29" s="89" t="str">
        <f t="shared" si="30"/>
        <v/>
      </c>
      <c r="AC29" s="89" t="str">
        <f t="shared" si="31"/>
        <v/>
      </c>
      <c r="AD29" s="96"/>
      <c r="AE29" s="97" t="str">
        <f t="shared" si="39"/>
        <v/>
      </c>
      <c r="AF29" s="98"/>
      <c r="AG29" s="105"/>
      <c r="AH29" s="105"/>
      <c r="AI29" s="106"/>
      <c r="AJ29" s="108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22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5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</row>
    <row r="30" ht="15" customHeight="1" spans="1:136">
      <c r="A30" s="34">
        <v>27</v>
      </c>
      <c r="B30" s="37"/>
      <c r="C30" s="40"/>
      <c r="D30" s="38"/>
      <c r="E30" s="50"/>
      <c r="F30" s="51"/>
      <c r="G30" s="52"/>
      <c r="H30" s="53"/>
      <c r="I30" s="53"/>
      <c r="J30" s="60"/>
      <c r="K30" s="61"/>
      <c r="L30" s="62" t="str">
        <f t="shared" si="18"/>
        <v/>
      </c>
      <c r="M30" s="71" t="str">
        <f t="shared" si="19"/>
        <v/>
      </c>
      <c r="N30" s="72"/>
      <c r="O30" s="70" t="str">
        <f t="shared" si="40"/>
        <v/>
      </c>
      <c r="P30" s="70" t="str">
        <f t="shared" si="36"/>
        <v/>
      </c>
      <c r="Q30" s="70" t="str">
        <f t="shared" si="37"/>
        <v/>
      </c>
      <c r="R30" s="80" t="str">
        <f t="shared" si="38"/>
        <v/>
      </c>
      <c r="S30" s="81" t="str">
        <f t="shared" si="33"/>
        <v/>
      </c>
      <c r="T30" s="82" t="str">
        <f t="shared" si="24"/>
        <v/>
      </c>
      <c r="U30" s="82" t="str">
        <f t="shared" si="25"/>
        <v/>
      </c>
      <c r="V30" s="81" t="str">
        <f t="shared" si="34"/>
        <v/>
      </c>
      <c r="W30" s="81" t="str">
        <f t="shared" si="35"/>
        <v/>
      </c>
      <c r="X30" s="81" t="str">
        <f t="shared" si="41"/>
        <v/>
      </c>
      <c r="Y30" s="90" t="str">
        <f t="shared" si="42"/>
        <v/>
      </c>
      <c r="Z30" s="89" t="str">
        <f t="shared" si="28"/>
        <v/>
      </c>
      <c r="AA30" s="89" t="str">
        <f t="shared" si="29"/>
        <v/>
      </c>
      <c r="AB30" s="89" t="str">
        <f t="shared" si="30"/>
        <v/>
      </c>
      <c r="AC30" s="89" t="str">
        <f t="shared" si="31"/>
        <v/>
      </c>
      <c r="AD30" s="96"/>
      <c r="AE30" s="97" t="str">
        <f t="shared" si="39"/>
        <v/>
      </c>
      <c r="AF30" s="98"/>
      <c r="AG30" s="105"/>
      <c r="AH30" s="105"/>
      <c r="AI30" s="106"/>
      <c r="AJ30" s="108"/>
      <c r="AK30" s="114"/>
      <c r="AL30" s="114"/>
      <c r="AM30" s="114"/>
      <c r="AN30" s="114"/>
      <c r="AO30" s="114"/>
      <c r="AP30" s="114"/>
      <c r="AQ30" s="114"/>
      <c r="AR30" s="114"/>
      <c r="AS30" s="114"/>
      <c r="AT30" s="114"/>
      <c r="AU30" s="114"/>
      <c r="AV30" s="114"/>
      <c r="AW30" s="114"/>
      <c r="AX30" s="114"/>
      <c r="AY30" s="114"/>
      <c r="AZ30" s="114"/>
      <c r="BA30" s="114"/>
      <c r="BB30" s="114"/>
      <c r="BC30" s="114"/>
      <c r="BD30" s="114"/>
      <c r="BE30" s="114"/>
      <c r="BF30" s="114"/>
      <c r="BG30" s="114"/>
      <c r="BH30" s="114"/>
      <c r="BI30" s="114"/>
      <c r="BJ30" s="114"/>
      <c r="BK30" s="114"/>
      <c r="BL30" s="114"/>
      <c r="BM30" s="114"/>
      <c r="BN30" s="114"/>
      <c r="BO30" s="114"/>
      <c r="BP30" s="114"/>
      <c r="BQ30" s="122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</row>
    <row r="31" ht="15" customHeight="1" spans="1:136">
      <c r="A31" s="34">
        <v>28</v>
      </c>
      <c r="B31" s="37"/>
      <c r="C31" s="40"/>
      <c r="D31" s="38"/>
      <c r="E31" s="50"/>
      <c r="F31" s="51"/>
      <c r="G31" s="52"/>
      <c r="H31" s="53"/>
      <c r="I31" s="53"/>
      <c r="J31" s="60"/>
      <c r="K31" s="61"/>
      <c r="L31" s="62" t="str">
        <f t="shared" si="18"/>
        <v/>
      </c>
      <c r="M31" s="71" t="str">
        <f t="shared" si="19"/>
        <v/>
      </c>
      <c r="N31" s="72"/>
      <c r="O31" s="70" t="str">
        <f t="shared" si="40"/>
        <v/>
      </c>
      <c r="P31" s="70" t="str">
        <f t="shared" si="36"/>
        <v/>
      </c>
      <c r="Q31" s="70" t="str">
        <f t="shared" si="37"/>
        <v/>
      </c>
      <c r="R31" s="80" t="str">
        <f t="shared" si="38"/>
        <v/>
      </c>
      <c r="S31" s="81" t="str">
        <f t="shared" si="33"/>
        <v/>
      </c>
      <c r="T31" s="82" t="str">
        <f t="shared" si="24"/>
        <v/>
      </c>
      <c r="U31" s="82" t="str">
        <f t="shared" si="25"/>
        <v/>
      </c>
      <c r="V31" s="81" t="str">
        <f t="shared" si="34"/>
        <v/>
      </c>
      <c r="W31" s="81" t="str">
        <f t="shared" si="35"/>
        <v/>
      </c>
      <c r="X31" s="81" t="str">
        <f t="shared" si="41"/>
        <v/>
      </c>
      <c r="Y31" s="90" t="str">
        <f t="shared" si="42"/>
        <v/>
      </c>
      <c r="Z31" s="89" t="str">
        <f t="shared" si="28"/>
        <v/>
      </c>
      <c r="AA31" s="89" t="str">
        <f t="shared" si="29"/>
        <v/>
      </c>
      <c r="AB31" s="89" t="str">
        <f t="shared" si="30"/>
        <v/>
      </c>
      <c r="AC31" s="89" t="str">
        <f t="shared" si="31"/>
        <v/>
      </c>
      <c r="AD31" s="96"/>
      <c r="AE31" s="97" t="str">
        <f t="shared" si="39"/>
        <v/>
      </c>
      <c r="AF31" s="98"/>
      <c r="AG31" s="105"/>
      <c r="AH31" s="105"/>
      <c r="AI31" s="106"/>
      <c r="AJ31" s="108"/>
      <c r="AK31" s="114"/>
      <c r="AL31" s="114"/>
      <c r="AM31" s="114"/>
      <c r="AN31" s="114"/>
      <c r="AO31" s="114"/>
      <c r="AP31" s="114"/>
      <c r="AQ31" s="114"/>
      <c r="AR31" s="114"/>
      <c r="AS31" s="114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22"/>
      <c r="BR31" s="123"/>
      <c r="BS31" s="123"/>
      <c r="BT31" s="123"/>
      <c r="BU31" s="123"/>
      <c r="BV31" s="123"/>
      <c r="BW31" s="125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</row>
    <row r="32" ht="15" customHeight="1" spans="1:136">
      <c r="A32" s="34">
        <v>29</v>
      </c>
      <c r="B32" s="37"/>
      <c r="C32" s="40"/>
      <c r="D32" s="38"/>
      <c r="E32" s="50"/>
      <c r="F32" s="51"/>
      <c r="G32" s="52"/>
      <c r="H32" s="53"/>
      <c r="I32" s="53"/>
      <c r="J32" s="60"/>
      <c r="K32" s="61"/>
      <c r="L32" s="62" t="str">
        <f t="shared" si="18"/>
        <v/>
      </c>
      <c r="M32" s="71" t="str">
        <f t="shared" si="19"/>
        <v/>
      </c>
      <c r="N32" s="72"/>
      <c r="O32" s="70" t="str">
        <f t="shared" si="40"/>
        <v/>
      </c>
      <c r="P32" s="70" t="str">
        <f t="shared" si="36"/>
        <v/>
      </c>
      <c r="Q32" s="70" t="str">
        <f t="shared" si="37"/>
        <v/>
      </c>
      <c r="R32" s="80" t="str">
        <f t="shared" si="38"/>
        <v/>
      </c>
      <c r="S32" s="81" t="str">
        <f t="shared" si="33"/>
        <v/>
      </c>
      <c r="T32" s="82" t="str">
        <f t="shared" si="24"/>
        <v/>
      </c>
      <c r="U32" s="82" t="str">
        <f t="shared" si="25"/>
        <v/>
      </c>
      <c r="V32" s="81" t="str">
        <f t="shared" si="34"/>
        <v/>
      </c>
      <c r="W32" s="81" t="str">
        <f t="shared" si="35"/>
        <v/>
      </c>
      <c r="X32" s="81" t="str">
        <f t="shared" si="41"/>
        <v/>
      </c>
      <c r="Y32" s="90" t="str">
        <f t="shared" si="42"/>
        <v/>
      </c>
      <c r="Z32" s="89" t="str">
        <f t="shared" si="28"/>
        <v/>
      </c>
      <c r="AA32" s="89" t="str">
        <f t="shared" si="29"/>
        <v/>
      </c>
      <c r="AB32" s="89" t="str">
        <f t="shared" si="30"/>
        <v/>
      </c>
      <c r="AC32" s="89" t="str">
        <f t="shared" si="31"/>
        <v/>
      </c>
      <c r="AD32" s="96"/>
      <c r="AE32" s="97" t="str">
        <f t="shared" si="39"/>
        <v/>
      </c>
      <c r="AF32" s="98"/>
      <c r="AG32" s="105"/>
      <c r="AH32" s="105"/>
      <c r="AI32" s="106"/>
      <c r="AJ32" s="108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24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5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</row>
    <row r="33" ht="15" customHeight="1" spans="1:136">
      <c r="A33" s="34">
        <v>30</v>
      </c>
      <c r="B33" s="37"/>
      <c r="C33" s="40"/>
      <c r="D33" s="38"/>
      <c r="E33" s="50"/>
      <c r="F33" s="51"/>
      <c r="G33" s="52"/>
      <c r="H33" s="53"/>
      <c r="I33" s="53"/>
      <c r="J33" s="60"/>
      <c r="K33" s="61"/>
      <c r="L33" s="62" t="str">
        <f t="shared" si="18"/>
        <v/>
      </c>
      <c r="M33" s="71" t="str">
        <f t="shared" si="19"/>
        <v/>
      </c>
      <c r="N33" s="72"/>
      <c r="O33" s="70" t="str">
        <f t="shared" si="40"/>
        <v/>
      </c>
      <c r="P33" s="70" t="str">
        <f t="shared" si="36"/>
        <v/>
      </c>
      <c r="Q33" s="70" t="str">
        <f t="shared" si="37"/>
        <v/>
      </c>
      <c r="R33" s="80" t="str">
        <f t="shared" si="38"/>
        <v/>
      </c>
      <c r="S33" s="81" t="str">
        <f t="shared" si="33"/>
        <v/>
      </c>
      <c r="T33" s="82" t="str">
        <f t="shared" si="24"/>
        <v/>
      </c>
      <c r="U33" s="82" t="str">
        <f t="shared" si="25"/>
        <v/>
      </c>
      <c r="V33" s="81" t="str">
        <f t="shared" si="34"/>
        <v/>
      </c>
      <c r="W33" s="81" t="str">
        <f t="shared" si="35"/>
        <v/>
      </c>
      <c r="X33" s="81" t="str">
        <f t="shared" si="41"/>
        <v/>
      </c>
      <c r="Y33" s="90" t="str">
        <f t="shared" si="42"/>
        <v/>
      </c>
      <c r="Z33" s="89" t="str">
        <f t="shared" si="28"/>
        <v/>
      </c>
      <c r="AA33" s="89" t="str">
        <f t="shared" si="29"/>
        <v/>
      </c>
      <c r="AB33" s="89" t="str">
        <f t="shared" si="30"/>
        <v/>
      </c>
      <c r="AC33" s="89" t="str">
        <f t="shared" si="31"/>
        <v/>
      </c>
      <c r="AD33" s="96"/>
      <c r="AE33" s="97" t="str">
        <f t="shared" si="39"/>
        <v/>
      </c>
      <c r="AF33" s="98"/>
      <c r="AG33" s="105"/>
      <c r="AH33" s="105"/>
      <c r="AI33" s="106"/>
      <c r="AJ33" s="108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22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</row>
    <row r="34" ht="15" customHeight="1" spans="1:136">
      <c r="A34" s="34">
        <v>31</v>
      </c>
      <c r="B34" s="37"/>
      <c r="C34" s="40"/>
      <c r="D34" s="39"/>
      <c r="E34" s="50"/>
      <c r="F34" s="51"/>
      <c r="G34" s="52"/>
      <c r="H34" s="53"/>
      <c r="I34" s="53"/>
      <c r="J34" s="60"/>
      <c r="K34" s="61"/>
      <c r="L34" s="62" t="str">
        <f t="shared" si="18"/>
        <v/>
      </c>
      <c r="M34" s="71" t="str">
        <f t="shared" si="19"/>
        <v/>
      </c>
      <c r="N34" s="72"/>
      <c r="O34" s="70" t="str">
        <f t="shared" ref="O34:O53" si="43">IF(OR($AK34="",ISNUMBER($AK34)=FALSE),"",MAX(AK34:EF34))</f>
        <v/>
      </c>
      <c r="P34" s="70" t="str">
        <f t="shared" ref="P34:P53" si="44">IF(OR($AK34="",ISNUMBER($AK34)=FALSE),"",MIN(AK34:EF34))</f>
        <v/>
      </c>
      <c r="Q34" s="70" t="str">
        <f t="shared" ref="Q34:Q53" si="45">IF(OR($AK34="",ISNUMBER($AK34)=FALSE),"",AVERAGE(AK34:EF34))</f>
        <v/>
      </c>
      <c r="R34" s="80" t="str">
        <f t="shared" ref="R34:R53" si="46">IF(OR($AK34="",ISNUMBER($AK34)=FALSE),"",STDEV(AK34:EF34))</f>
        <v/>
      </c>
      <c r="S34" s="81" t="str">
        <f t="shared" si="33"/>
        <v/>
      </c>
      <c r="T34" s="82" t="str">
        <f t="shared" si="24"/>
        <v/>
      </c>
      <c r="U34" s="82" t="str">
        <f t="shared" si="25"/>
        <v/>
      </c>
      <c r="V34" s="81" t="str">
        <f t="shared" si="34"/>
        <v/>
      </c>
      <c r="W34" s="81" t="str">
        <f t="shared" si="35"/>
        <v/>
      </c>
      <c r="X34" s="81" t="str">
        <f t="shared" si="41"/>
        <v/>
      </c>
      <c r="Y34" s="90" t="str">
        <f t="shared" si="42"/>
        <v/>
      </c>
      <c r="Z34" s="89" t="str">
        <f t="shared" si="28"/>
        <v/>
      </c>
      <c r="AA34" s="89" t="str">
        <f t="shared" si="29"/>
        <v/>
      </c>
      <c r="AB34" s="89" t="str">
        <f t="shared" si="30"/>
        <v/>
      </c>
      <c r="AC34" s="89" t="str">
        <f t="shared" si="31"/>
        <v/>
      </c>
      <c r="AD34" s="96"/>
      <c r="AE34" s="97" t="str">
        <f t="shared" si="39"/>
        <v/>
      </c>
      <c r="AF34" s="98"/>
      <c r="AG34" s="105"/>
      <c r="AH34" s="105"/>
      <c r="AI34" s="106"/>
      <c r="AJ34" s="108"/>
      <c r="AK34" s="114"/>
      <c r="AL34" s="114"/>
      <c r="AM34" s="114"/>
      <c r="AN34" s="114"/>
      <c r="AO34" s="114"/>
      <c r="AP34" s="114"/>
      <c r="AQ34" s="114"/>
      <c r="AR34" s="114"/>
      <c r="AS34" s="114"/>
      <c r="AT34" s="114"/>
      <c r="AU34" s="114"/>
      <c r="AV34" s="114"/>
      <c r="AW34" s="114"/>
      <c r="AX34" s="114"/>
      <c r="AY34" s="114"/>
      <c r="AZ34" s="114"/>
      <c r="BA34" s="114"/>
      <c r="BB34" s="114"/>
      <c r="BC34" s="114"/>
      <c r="BD34" s="114"/>
      <c r="BE34" s="114"/>
      <c r="BF34" s="114"/>
      <c r="BG34" s="114"/>
      <c r="BH34" s="114"/>
      <c r="BI34" s="114"/>
      <c r="BJ34" s="114"/>
      <c r="BK34" s="114"/>
      <c r="BL34" s="114"/>
      <c r="BM34" s="114"/>
      <c r="BN34" s="114"/>
      <c r="BO34" s="114"/>
      <c r="BP34" s="114"/>
      <c r="BQ34" s="122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</row>
    <row r="35" ht="15" customHeight="1" spans="1:136">
      <c r="A35" s="34">
        <v>32</v>
      </c>
      <c r="B35" s="37"/>
      <c r="C35" s="40"/>
      <c r="D35" s="38"/>
      <c r="E35" s="50"/>
      <c r="F35" s="51"/>
      <c r="G35" s="52"/>
      <c r="H35" s="53"/>
      <c r="I35" s="53"/>
      <c r="J35" s="60"/>
      <c r="K35" s="61"/>
      <c r="L35" s="62" t="str">
        <f t="shared" si="18"/>
        <v/>
      </c>
      <c r="M35" s="71" t="str">
        <f t="shared" si="19"/>
        <v/>
      </c>
      <c r="N35" s="72"/>
      <c r="O35" s="70" t="str">
        <f t="shared" si="43"/>
        <v/>
      </c>
      <c r="P35" s="70" t="str">
        <f t="shared" si="44"/>
        <v/>
      </c>
      <c r="Q35" s="70" t="str">
        <f t="shared" si="45"/>
        <v/>
      </c>
      <c r="R35" s="80" t="str">
        <f t="shared" si="46"/>
        <v/>
      </c>
      <c r="S35" s="81" t="str">
        <f t="shared" si="33"/>
        <v/>
      </c>
      <c r="T35" s="82" t="str">
        <f t="shared" si="24"/>
        <v/>
      </c>
      <c r="U35" s="82" t="str">
        <f t="shared" si="25"/>
        <v/>
      </c>
      <c r="V35" s="81" t="str">
        <f t="shared" si="34"/>
        <v/>
      </c>
      <c r="W35" s="81" t="str">
        <f t="shared" si="35"/>
        <v/>
      </c>
      <c r="X35" s="81" t="str">
        <f t="shared" si="41"/>
        <v/>
      </c>
      <c r="Y35" s="90" t="str">
        <f t="shared" si="42"/>
        <v/>
      </c>
      <c r="Z35" s="89" t="str">
        <f t="shared" si="28"/>
        <v/>
      </c>
      <c r="AA35" s="89" t="str">
        <f t="shared" si="29"/>
        <v/>
      </c>
      <c r="AB35" s="89" t="str">
        <f t="shared" si="30"/>
        <v/>
      </c>
      <c r="AC35" s="89" t="str">
        <f t="shared" si="31"/>
        <v/>
      </c>
      <c r="AD35" s="96"/>
      <c r="AE35" s="97" t="str">
        <f t="shared" si="39"/>
        <v/>
      </c>
      <c r="AF35" s="98"/>
      <c r="AG35" s="105"/>
      <c r="AH35" s="105"/>
      <c r="AI35" s="106"/>
      <c r="AJ35" s="108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  <c r="AU35" s="114"/>
      <c r="AV35" s="114"/>
      <c r="AW35" s="114"/>
      <c r="AX35" s="114"/>
      <c r="AY35" s="114"/>
      <c r="AZ35" s="114"/>
      <c r="BA35" s="114"/>
      <c r="BB35" s="114"/>
      <c r="BC35" s="114"/>
      <c r="BD35" s="114"/>
      <c r="BE35" s="114"/>
      <c r="BF35" s="114"/>
      <c r="BG35" s="114"/>
      <c r="BH35" s="114"/>
      <c r="BI35" s="114"/>
      <c r="BJ35" s="114"/>
      <c r="BK35" s="114"/>
      <c r="BL35" s="114"/>
      <c r="BM35" s="114"/>
      <c r="BN35" s="114"/>
      <c r="BO35" s="114"/>
      <c r="BP35" s="114"/>
      <c r="BQ35" s="122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</row>
    <row r="36" ht="15" customHeight="1" spans="1:136">
      <c r="A36" s="34">
        <v>33</v>
      </c>
      <c r="B36" s="37"/>
      <c r="C36" s="40"/>
      <c r="D36" s="38"/>
      <c r="E36" s="50"/>
      <c r="F36" s="51"/>
      <c r="G36" s="52"/>
      <c r="H36" s="53"/>
      <c r="I36" s="53"/>
      <c r="J36" s="60"/>
      <c r="K36" s="61"/>
      <c r="L36" s="62" t="str">
        <f t="shared" si="18"/>
        <v/>
      </c>
      <c r="M36" s="71" t="str">
        <f t="shared" si="19"/>
        <v/>
      </c>
      <c r="N36" s="72"/>
      <c r="O36" s="70" t="str">
        <f t="shared" si="43"/>
        <v/>
      </c>
      <c r="P36" s="70" t="str">
        <f t="shared" si="44"/>
        <v/>
      </c>
      <c r="Q36" s="70" t="str">
        <f t="shared" si="45"/>
        <v/>
      </c>
      <c r="R36" s="80" t="str">
        <f t="shared" si="46"/>
        <v/>
      </c>
      <c r="S36" s="81" t="str">
        <f t="shared" si="33"/>
        <v/>
      </c>
      <c r="T36" s="82" t="str">
        <f t="shared" si="24"/>
        <v/>
      </c>
      <c r="U36" s="82" t="str">
        <f t="shared" si="25"/>
        <v/>
      </c>
      <c r="V36" s="81" t="str">
        <f t="shared" si="34"/>
        <v/>
      </c>
      <c r="W36" s="81" t="str">
        <f t="shared" si="35"/>
        <v/>
      </c>
      <c r="X36" s="81" t="str">
        <f t="shared" si="41"/>
        <v/>
      </c>
      <c r="Y36" s="90" t="str">
        <f t="shared" si="42"/>
        <v/>
      </c>
      <c r="Z36" s="89" t="str">
        <f t="shared" si="28"/>
        <v/>
      </c>
      <c r="AA36" s="89" t="str">
        <f t="shared" si="29"/>
        <v/>
      </c>
      <c r="AB36" s="89" t="str">
        <f t="shared" si="30"/>
        <v/>
      </c>
      <c r="AC36" s="89" t="str">
        <f t="shared" si="31"/>
        <v/>
      </c>
      <c r="AD36" s="96"/>
      <c r="AE36" s="97" t="str">
        <f t="shared" ref="AE36:AE67" si="47">IF(AD36="","",IF(AD36&gt;=0.966,"Normal","Not Normal"))</f>
        <v/>
      </c>
      <c r="AF36" s="98"/>
      <c r="AG36" s="105"/>
      <c r="AH36" s="105"/>
      <c r="AI36" s="106"/>
      <c r="AJ36" s="108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  <c r="AZ36" s="114"/>
      <c r="BA36" s="114"/>
      <c r="BB36" s="114"/>
      <c r="BC36" s="114"/>
      <c r="BD36" s="114"/>
      <c r="BE36" s="114"/>
      <c r="BF36" s="114"/>
      <c r="BG36" s="114"/>
      <c r="BH36" s="114"/>
      <c r="BI36" s="114"/>
      <c r="BJ36" s="114"/>
      <c r="BK36" s="114"/>
      <c r="BL36" s="114"/>
      <c r="BM36" s="114"/>
      <c r="BN36" s="114"/>
      <c r="BO36" s="114"/>
      <c r="BP36" s="114"/>
      <c r="BQ36" s="122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5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</row>
    <row r="37" ht="15" customHeight="1" spans="1:136">
      <c r="A37" s="34">
        <v>34</v>
      </c>
      <c r="B37" s="37"/>
      <c r="C37" s="40"/>
      <c r="D37" s="38"/>
      <c r="E37" s="50"/>
      <c r="F37" s="51"/>
      <c r="G37" s="52"/>
      <c r="H37" s="53"/>
      <c r="I37" s="53"/>
      <c r="J37" s="60"/>
      <c r="K37" s="61"/>
      <c r="L37" s="62" t="str">
        <f t="shared" si="18"/>
        <v/>
      </c>
      <c r="M37" s="71" t="str">
        <f t="shared" si="19"/>
        <v/>
      </c>
      <c r="N37" s="72"/>
      <c r="O37" s="70" t="str">
        <f t="shared" si="43"/>
        <v/>
      </c>
      <c r="P37" s="70" t="str">
        <f t="shared" si="44"/>
        <v/>
      </c>
      <c r="Q37" s="70" t="str">
        <f t="shared" si="45"/>
        <v/>
      </c>
      <c r="R37" s="80" t="str">
        <f t="shared" si="46"/>
        <v/>
      </c>
      <c r="S37" s="81" t="str">
        <f t="shared" si="33"/>
        <v/>
      </c>
      <c r="T37" s="82" t="str">
        <f t="shared" si="24"/>
        <v/>
      </c>
      <c r="U37" s="82" t="str">
        <f t="shared" si="25"/>
        <v/>
      </c>
      <c r="V37" s="81" t="str">
        <f t="shared" si="34"/>
        <v/>
      </c>
      <c r="W37" s="81" t="str">
        <f t="shared" si="35"/>
        <v/>
      </c>
      <c r="X37" s="81" t="str">
        <f t="shared" si="41"/>
        <v/>
      </c>
      <c r="Y37" s="90" t="str">
        <f t="shared" si="42"/>
        <v/>
      </c>
      <c r="Z37" s="89" t="str">
        <f t="shared" si="28"/>
        <v/>
      </c>
      <c r="AA37" s="89" t="str">
        <f t="shared" si="29"/>
        <v/>
      </c>
      <c r="AB37" s="89" t="str">
        <f t="shared" si="30"/>
        <v/>
      </c>
      <c r="AC37" s="89" t="str">
        <f t="shared" si="31"/>
        <v/>
      </c>
      <c r="AD37" s="96"/>
      <c r="AE37" s="97" t="str">
        <f t="shared" si="47"/>
        <v/>
      </c>
      <c r="AF37" s="98"/>
      <c r="AG37" s="105"/>
      <c r="AH37" s="105"/>
      <c r="AI37" s="106"/>
      <c r="AJ37" s="108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  <c r="AZ37" s="114"/>
      <c r="BA37" s="114"/>
      <c r="BB37" s="114"/>
      <c r="BC37" s="114"/>
      <c r="BD37" s="114"/>
      <c r="BE37" s="114"/>
      <c r="BF37" s="114"/>
      <c r="BG37" s="114"/>
      <c r="BH37" s="114"/>
      <c r="BI37" s="114"/>
      <c r="BJ37" s="114"/>
      <c r="BK37" s="114"/>
      <c r="BL37" s="114"/>
      <c r="BM37" s="114"/>
      <c r="BN37" s="114"/>
      <c r="BO37" s="114"/>
      <c r="BP37" s="114"/>
      <c r="BQ37" s="122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</row>
    <row r="38" ht="15" customHeight="1" spans="1:136">
      <c r="A38" s="34">
        <v>35</v>
      </c>
      <c r="B38" s="37"/>
      <c r="C38" s="40"/>
      <c r="D38" s="38"/>
      <c r="E38" s="50"/>
      <c r="F38" s="51"/>
      <c r="G38" s="52"/>
      <c r="H38" s="53"/>
      <c r="I38" s="53"/>
      <c r="J38" s="60"/>
      <c r="K38" s="61"/>
      <c r="L38" s="62" t="str">
        <f t="shared" si="18"/>
        <v/>
      </c>
      <c r="M38" s="71" t="str">
        <f t="shared" si="19"/>
        <v/>
      </c>
      <c r="N38" s="72"/>
      <c r="O38" s="70" t="str">
        <f t="shared" si="43"/>
        <v/>
      </c>
      <c r="P38" s="70" t="str">
        <f t="shared" si="44"/>
        <v/>
      </c>
      <c r="Q38" s="70" t="str">
        <f t="shared" si="45"/>
        <v/>
      </c>
      <c r="R38" s="80" t="str">
        <f t="shared" si="46"/>
        <v/>
      </c>
      <c r="S38" s="81" t="str">
        <f t="shared" si="33"/>
        <v/>
      </c>
      <c r="T38" s="82" t="str">
        <f t="shared" si="24"/>
        <v/>
      </c>
      <c r="U38" s="82" t="str">
        <f t="shared" si="25"/>
        <v/>
      </c>
      <c r="V38" s="81" t="str">
        <f t="shared" si="34"/>
        <v/>
      </c>
      <c r="W38" s="81" t="str">
        <f t="shared" si="35"/>
        <v/>
      </c>
      <c r="X38" s="81" t="str">
        <f t="shared" si="41"/>
        <v/>
      </c>
      <c r="Y38" s="90" t="str">
        <f t="shared" si="42"/>
        <v/>
      </c>
      <c r="Z38" s="89" t="str">
        <f t="shared" si="28"/>
        <v/>
      </c>
      <c r="AA38" s="89" t="str">
        <f t="shared" si="29"/>
        <v/>
      </c>
      <c r="AB38" s="89" t="str">
        <f t="shared" si="30"/>
        <v/>
      </c>
      <c r="AC38" s="89" t="str">
        <f t="shared" si="31"/>
        <v/>
      </c>
      <c r="AD38" s="96"/>
      <c r="AE38" s="97" t="str">
        <f t="shared" si="47"/>
        <v/>
      </c>
      <c r="AF38" s="98"/>
      <c r="AG38" s="105"/>
      <c r="AH38" s="105"/>
      <c r="AI38" s="106"/>
      <c r="AJ38" s="108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4"/>
      <c r="BG38" s="114"/>
      <c r="BH38" s="114"/>
      <c r="BI38" s="114"/>
      <c r="BJ38" s="114"/>
      <c r="BK38" s="114"/>
      <c r="BL38" s="114"/>
      <c r="BM38" s="114"/>
      <c r="BN38" s="114"/>
      <c r="BO38" s="114"/>
      <c r="BP38" s="114"/>
      <c r="BQ38" s="122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</row>
    <row r="39" ht="15" customHeight="1" spans="1:136">
      <c r="A39" s="41">
        <v>36</v>
      </c>
      <c r="B39" s="37"/>
      <c r="C39" s="40"/>
      <c r="D39" s="38"/>
      <c r="E39" s="50"/>
      <c r="F39" s="51"/>
      <c r="G39" s="52"/>
      <c r="H39" s="53"/>
      <c r="I39" s="53"/>
      <c r="J39" s="60"/>
      <c r="K39" s="61"/>
      <c r="L39" s="62" t="str">
        <f t="shared" si="18"/>
        <v/>
      </c>
      <c r="M39" s="71" t="str">
        <f t="shared" si="19"/>
        <v/>
      </c>
      <c r="N39" s="73"/>
      <c r="O39" s="70" t="str">
        <f t="shared" si="43"/>
        <v/>
      </c>
      <c r="P39" s="70" t="str">
        <f t="shared" si="44"/>
        <v/>
      </c>
      <c r="Q39" s="70" t="str">
        <f t="shared" si="45"/>
        <v/>
      </c>
      <c r="R39" s="80" t="str">
        <f t="shared" si="46"/>
        <v/>
      </c>
      <c r="S39" s="81" t="str">
        <f t="shared" si="33"/>
        <v/>
      </c>
      <c r="T39" s="82" t="str">
        <f t="shared" si="24"/>
        <v/>
      </c>
      <c r="U39" s="82" t="str">
        <f t="shared" si="25"/>
        <v/>
      </c>
      <c r="V39" s="81" t="str">
        <f t="shared" si="34"/>
        <v/>
      </c>
      <c r="W39" s="81" t="str">
        <f t="shared" si="35"/>
        <v/>
      </c>
      <c r="X39" s="81" t="str">
        <f t="shared" si="41"/>
        <v/>
      </c>
      <c r="Y39" s="90" t="str">
        <f t="shared" si="42"/>
        <v/>
      </c>
      <c r="Z39" s="89" t="str">
        <f t="shared" si="28"/>
        <v/>
      </c>
      <c r="AA39" s="89" t="str">
        <f t="shared" si="29"/>
        <v/>
      </c>
      <c r="AB39" s="89" t="str">
        <f t="shared" si="30"/>
        <v/>
      </c>
      <c r="AC39" s="89" t="str">
        <f t="shared" si="31"/>
        <v/>
      </c>
      <c r="AD39" s="96"/>
      <c r="AE39" s="97" t="str">
        <f t="shared" si="47"/>
        <v/>
      </c>
      <c r="AF39" s="98"/>
      <c r="AG39" s="105"/>
      <c r="AH39" s="105"/>
      <c r="AI39" s="106"/>
      <c r="AJ39" s="108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4"/>
      <c r="BG39" s="114"/>
      <c r="BH39" s="114"/>
      <c r="BI39" s="114"/>
      <c r="BJ39" s="114"/>
      <c r="BK39" s="114"/>
      <c r="BL39" s="114"/>
      <c r="BM39" s="114"/>
      <c r="BN39" s="114"/>
      <c r="BO39" s="114"/>
      <c r="BP39" s="114"/>
      <c r="BQ39" s="122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</row>
    <row r="40" ht="15" customHeight="1" spans="1:136">
      <c r="A40" s="34">
        <v>37</v>
      </c>
      <c r="B40" s="37"/>
      <c r="C40" s="40"/>
      <c r="D40" s="38"/>
      <c r="E40" s="50"/>
      <c r="F40" s="51"/>
      <c r="G40" s="52"/>
      <c r="H40" s="53"/>
      <c r="I40" s="53"/>
      <c r="J40" s="60"/>
      <c r="K40" s="61"/>
      <c r="L40" s="62" t="str">
        <f t="shared" si="18"/>
        <v/>
      </c>
      <c r="M40" s="71" t="str">
        <f t="shared" si="19"/>
        <v/>
      </c>
      <c r="N40" s="72"/>
      <c r="O40" s="70" t="str">
        <f t="shared" si="43"/>
        <v/>
      </c>
      <c r="P40" s="70" t="str">
        <f t="shared" si="44"/>
        <v/>
      </c>
      <c r="Q40" s="70" t="str">
        <f t="shared" si="45"/>
        <v/>
      </c>
      <c r="R40" s="80" t="str">
        <f t="shared" si="46"/>
        <v/>
      </c>
      <c r="S40" s="81" t="str">
        <f t="shared" si="33"/>
        <v/>
      </c>
      <c r="T40" s="82" t="str">
        <f t="shared" si="24"/>
        <v/>
      </c>
      <c r="U40" s="82" t="str">
        <f t="shared" si="25"/>
        <v/>
      </c>
      <c r="V40" s="81" t="str">
        <f t="shared" si="34"/>
        <v/>
      </c>
      <c r="W40" s="81" t="str">
        <f t="shared" si="35"/>
        <v/>
      </c>
      <c r="X40" s="81" t="str">
        <f t="shared" si="41"/>
        <v/>
      </c>
      <c r="Y40" s="90" t="str">
        <f t="shared" si="42"/>
        <v/>
      </c>
      <c r="Z40" s="89" t="str">
        <f t="shared" si="28"/>
        <v/>
      </c>
      <c r="AA40" s="89" t="str">
        <f t="shared" si="29"/>
        <v/>
      </c>
      <c r="AB40" s="89" t="str">
        <f t="shared" si="30"/>
        <v/>
      </c>
      <c r="AC40" s="89" t="str">
        <f t="shared" si="31"/>
        <v/>
      </c>
      <c r="AD40" s="96"/>
      <c r="AE40" s="97" t="str">
        <f t="shared" si="47"/>
        <v/>
      </c>
      <c r="AF40" s="98"/>
      <c r="AG40" s="105"/>
      <c r="AH40" s="105"/>
      <c r="AI40" s="106"/>
      <c r="AJ40" s="108"/>
      <c r="AK40" s="114"/>
      <c r="AL40" s="114"/>
      <c r="AM40" s="114"/>
      <c r="AN40" s="114"/>
      <c r="AO40" s="114"/>
      <c r="AP40" s="114"/>
      <c r="AQ40" s="114"/>
      <c r="AR40" s="114"/>
      <c r="AS40" s="114"/>
      <c r="AT40" s="114"/>
      <c r="AU40" s="114"/>
      <c r="AV40" s="114"/>
      <c r="AW40" s="114"/>
      <c r="AX40" s="114"/>
      <c r="AY40" s="114"/>
      <c r="AZ40" s="114"/>
      <c r="BA40" s="114"/>
      <c r="BB40" s="114"/>
      <c r="BC40" s="114"/>
      <c r="BD40" s="114"/>
      <c r="BE40" s="114"/>
      <c r="BF40" s="114"/>
      <c r="BG40" s="114"/>
      <c r="BH40" s="114"/>
      <c r="BI40" s="114"/>
      <c r="BJ40" s="114"/>
      <c r="BK40" s="114"/>
      <c r="BL40" s="114"/>
      <c r="BM40" s="114"/>
      <c r="BN40" s="114"/>
      <c r="BO40" s="114"/>
      <c r="BP40" s="114"/>
      <c r="BQ40" s="122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</row>
    <row r="41" ht="15" customHeight="1" spans="1:136">
      <c r="A41" s="34">
        <v>38</v>
      </c>
      <c r="B41" s="37"/>
      <c r="C41" s="40"/>
      <c r="D41" s="38"/>
      <c r="E41" s="50"/>
      <c r="F41" s="51"/>
      <c r="G41" s="52"/>
      <c r="H41" s="53"/>
      <c r="I41" s="53"/>
      <c r="J41" s="60"/>
      <c r="K41" s="61"/>
      <c r="L41" s="62" t="str">
        <f t="shared" si="18"/>
        <v/>
      </c>
      <c r="M41" s="71" t="str">
        <f t="shared" si="19"/>
        <v/>
      </c>
      <c r="N41" s="72"/>
      <c r="O41" s="70" t="str">
        <f t="shared" si="43"/>
        <v/>
      </c>
      <c r="P41" s="70" t="str">
        <f t="shared" si="44"/>
        <v/>
      </c>
      <c r="Q41" s="70" t="str">
        <f t="shared" si="45"/>
        <v/>
      </c>
      <c r="R41" s="80" t="str">
        <f t="shared" si="46"/>
        <v/>
      </c>
      <c r="S41" s="81" t="str">
        <f t="shared" si="33"/>
        <v/>
      </c>
      <c r="T41" s="82" t="str">
        <f t="shared" si="24"/>
        <v/>
      </c>
      <c r="U41" s="82" t="str">
        <f t="shared" si="25"/>
        <v/>
      </c>
      <c r="V41" s="81" t="str">
        <f t="shared" si="34"/>
        <v/>
      </c>
      <c r="W41" s="81" t="str">
        <f t="shared" si="35"/>
        <v/>
      </c>
      <c r="X41" s="81" t="str">
        <f t="shared" si="41"/>
        <v/>
      </c>
      <c r="Y41" s="90" t="str">
        <f t="shared" si="42"/>
        <v/>
      </c>
      <c r="Z41" s="89" t="str">
        <f t="shared" si="28"/>
        <v/>
      </c>
      <c r="AA41" s="89" t="str">
        <f t="shared" si="29"/>
        <v/>
      </c>
      <c r="AB41" s="89" t="str">
        <f t="shared" si="30"/>
        <v/>
      </c>
      <c r="AC41" s="89" t="str">
        <f t="shared" si="31"/>
        <v/>
      </c>
      <c r="AD41" s="96"/>
      <c r="AE41" s="97" t="str">
        <f t="shared" si="47"/>
        <v/>
      </c>
      <c r="AF41" s="98"/>
      <c r="AG41" s="105"/>
      <c r="AH41" s="105"/>
      <c r="AI41" s="106"/>
      <c r="AJ41" s="108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  <c r="AU41" s="114"/>
      <c r="AV41" s="114"/>
      <c r="AW41" s="114"/>
      <c r="AX41" s="114"/>
      <c r="AY41" s="114"/>
      <c r="AZ41" s="114"/>
      <c r="BA41" s="114"/>
      <c r="BB41" s="114"/>
      <c r="BC41" s="114"/>
      <c r="BD41" s="114"/>
      <c r="BE41" s="114"/>
      <c r="BF41" s="114"/>
      <c r="BG41" s="114"/>
      <c r="BH41" s="114"/>
      <c r="BI41" s="114"/>
      <c r="BJ41" s="114"/>
      <c r="BK41" s="114"/>
      <c r="BL41" s="114"/>
      <c r="BM41" s="114"/>
      <c r="BN41" s="114"/>
      <c r="BO41" s="114"/>
      <c r="BP41" s="114"/>
      <c r="BQ41" s="122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5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</row>
    <row r="42" ht="15" customHeight="1" spans="1:136">
      <c r="A42" s="34">
        <v>39</v>
      </c>
      <c r="B42" s="37"/>
      <c r="C42" s="40"/>
      <c r="D42" s="38"/>
      <c r="E42" s="50"/>
      <c r="F42" s="51"/>
      <c r="G42" s="52"/>
      <c r="H42" s="53"/>
      <c r="I42" s="53"/>
      <c r="J42" s="60"/>
      <c r="K42" s="61"/>
      <c r="L42" s="62" t="str">
        <f t="shared" si="18"/>
        <v/>
      </c>
      <c r="M42" s="71" t="str">
        <f t="shared" si="19"/>
        <v/>
      </c>
      <c r="N42" s="72"/>
      <c r="O42" s="70" t="str">
        <f t="shared" si="43"/>
        <v/>
      </c>
      <c r="P42" s="70" t="str">
        <f t="shared" si="44"/>
        <v/>
      </c>
      <c r="Q42" s="70" t="str">
        <f t="shared" si="45"/>
        <v/>
      </c>
      <c r="R42" s="80" t="str">
        <f t="shared" si="46"/>
        <v/>
      </c>
      <c r="S42" s="81" t="str">
        <f t="shared" si="33"/>
        <v/>
      </c>
      <c r="T42" s="82" t="str">
        <f t="shared" si="24"/>
        <v/>
      </c>
      <c r="U42" s="82" t="str">
        <f t="shared" si="25"/>
        <v/>
      </c>
      <c r="V42" s="81" t="str">
        <f t="shared" si="34"/>
        <v/>
      </c>
      <c r="W42" s="81" t="str">
        <f t="shared" si="35"/>
        <v/>
      </c>
      <c r="X42" s="81" t="str">
        <f t="shared" si="41"/>
        <v/>
      </c>
      <c r="Y42" s="90" t="str">
        <f t="shared" si="42"/>
        <v/>
      </c>
      <c r="Z42" s="89" t="str">
        <f t="shared" si="28"/>
        <v/>
      </c>
      <c r="AA42" s="89" t="str">
        <f t="shared" si="29"/>
        <v/>
      </c>
      <c r="AB42" s="89" t="str">
        <f t="shared" si="30"/>
        <v/>
      </c>
      <c r="AC42" s="89" t="str">
        <f t="shared" si="31"/>
        <v/>
      </c>
      <c r="AD42" s="96"/>
      <c r="AE42" s="97" t="str">
        <f t="shared" si="47"/>
        <v/>
      </c>
      <c r="AF42" s="98"/>
      <c r="AG42" s="105"/>
      <c r="AH42" s="105"/>
      <c r="AI42" s="106"/>
      <c r="AJ42" s="108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  <c r="AZ42" s="114"/>
      <c r="BA42" s="114"/>
      <c r="BB42" s="114"/>
      <c r="BC42" s="114"/>
      <c r="BD42" s="114"/>
      <c r="BE42" s="114"/>
      <c r="BF42" s="114"/>
      <c r="BG42" s="114"/>
      <c r="BH42" s="114"/>
      <c r="BI42" s="114"/>
      <c r="BJ42" s="114"/>
      <c r="BK42" s="114"/>
      <c r="BL42" s="114"/>
      <c r="BM42" s="114"/>
      <c r="BN42" s="114"/>
      <c r="BO42" s="114"/>
      <c r="BP42" s="114"/>
      <c r="BQ42" s="122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</row>
    <row r="43" ht="15" customHeight="1" spans="1:136">
      <c r="A43" s="34">
        <v>40</v>
      </c>
      <c r="B43" s="37"/>
      <c r="C43" s="40"/>
      <c r="D43" s="38"/>
      <c r="E43" s="50"/>
      <c r="F43" s="51"/>
      <c r="G43" s="52"/>
      <c r="H43" s="53"/>
      <c r="I43" s="53"/>
      <c r="J43" s="60"/>
      <c r="K43" s="61"/>
      <c r="L43" s="62" t="str">
        <f t="shared" si="18"/>
        <v/>
      </c>
      <c r="M43" s="71" t="str">
        <f t="shared" si="19"/>
        <v/>
      </c>
      <c r="N43" s="72"/>
      <c r="O43" s="70" t="str">
        <f t="shared" si="43"/>
        <v/>
      </c>
      <c r="P43" s="70" t="str">
        <f t="shared" si="44"/>
        <v/>
      </c>
      <c r="Q43" s="70" t="str">
        <f t="shared" si="45"/>
        <v/>
      </c>
      <c r="R43" s="80" t="str">
        <f t="shared" si="46"/>
        <v/>
      </c>
      <c r="S43" s="81" t="str">
        <f t="shared" si="33"/>
        <v/>
      </c>
      <c r="T43" s="82" t="str">
        <f t="shared" si="24"/>
        <v/>
      </c>
      <c r="U43" s="82" t="str">
        <f t="shared" si="25"/>
        <v/>
      </c>
      <c r="V43" s="81" t="str">
        <f t="shared" si="34"/>
        <v/>
      </c>
      <c r="W43" s="81" t="str">
        <f t="shared" si="35"/>
        <v/>
      </c>
      <c r="X43" s="81" t="str">
        <f t="shared" si="41"/>
        <v/>
      </c>
      <c r="Y43" s="90" t="str">
        <f t="shared" si="42"/>
        <v/>
      </c>
      <c r="Z43" s="89" t="str">
        <f t="shared" si="28"/>
        <v/>
      </c>
      <c r="AA43" s="89" t="str">
        <f t="shared" si="29"/>
        <v/>
      </c>
      <c r="AB43" s="89" t="str">
        <f t="shared" si="30"/>
        <v/>
      </c>
      <c r="AC43" s="89" t="str">
        <f t="shared" si="31"/>
        <v/>
      </c>
      <c r="AD43" s="96"/>
      <c r="AE43" s="97" t="str">
        <f t="shared" si="47"/>
        <v/>
      </c>
      <c r="AF43" s="98"/>
      <c r="AG43" s="105"/>
      <c r="AH43" s="105"/>
      <c r="AI43" s="106"/>
      <c r="AJ43" s="108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22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</row>
    <row r="44" ht="15" customHeight="1" spans="1:136">
      <c r="A44" s="34">
        <v>41</v>
      </c>
      <c r="B44" s="37"/>
      <c r="C44" s="40"/>
      <c r="D44" s="38"/>
      <c r="E44" s="50"/>
      <c r="F44" s="51"/>
      <c r="G44" s="52"/>
      <c r="H44" s="53"/>
      <c r="I44" s="53"/>
      <c r="J44" s="60"/>
      <c r="K44" s="61"/>
      <c r="L44" s="62" t="str">
        <f t="shared" si="18"/>
        <v/>
      </c>
      <c r="M44" s="71" t="str">
        <f t="shared" si="19"/>
        <v/>
      </c>
      <c r="N44" s="72"/>
      <c r="O44" s="70" t="str">
        <f t="shared" si="43"/>
        <v/>
      </c>
      <c r="P44" s="70" t="str">
        <f t="shared" si="44"/>
        <v/>
      </c>
      <c r="Q44" s="70" t="str">
        <f t="shared" si="45"/>
        <v/>
      </c>
      <c r="R44" s="80" t="str">
        <f t="shared" si="46"/>
        <v/>
      </c>
      <c r="S44" s="81" t="str">
        <f t="shared" si="33"/>
        <v/>
      </c>
      <c r="T44" s="82" t="str">
        <f t="shared" si="24"/>
        <v/>
      </c>
      <c r="U44" s="82" t="str">
        <f t="shared" si="25"/>
        <v/>
      </c>
      <c r="V44" s="81" t="str">
        <f t="shared" si="34"/>
        <v/>
      </c>
      <c r="W44" s="81" t="str">
        <f t="shared" si="35"/>
        <v/>
      </c>
      <c r="X44" s="81" t="str">
        <f t="shared" si="41"/>
        <v/>
      </c>
      <c r="Y44" s="90" t="str">
        <f t="shared" si="42"/>
        <v/>
      </c>
      <c r="Z44" s="89" t="str">
        <f t="shared" si="28"/>
        <v/>
      </c>
      <c r="AA44" s="89" t="str">
        <f t="shared" si="29"/>
        <v/>
      </c>
      <c r="AB44" s="89" t="str">
        <f t="shared" si="30"/>
        <v/>
      </c>
      <c r="AC44" s="89" t="str">
        <f t="shared" si="31"/>
        <v/>
      </c>
      <c r="AD44" s="96"/>
      <c r="AE44" s="97" t="str">
        <f t="shared" si="47"/>
        <v/>
      </c>
      <c r="AF44" s="98"/>
      <c r="AG44" s="105"/>
      <c r="AH44" s="105"/>
      <c r="AI44" s="106"/>
      <c r="AJ44" s="108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22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</row>
    <row r="45" ht="15" customHeight="1" spans="1:136">
      <c r="A45" s="34">
        <v>42</v>
      </c>
      <c r="B45" s="37"/>
      <c r="C45" s="40"/>
      <c r="D45" s="38"/>
      <c r="E45" s="50"/>
      <c r="F45" s="51"/>
      <c r="G45" s="52"/>
      <c r="H45" s="53"/>
      <c r="I45" s="53"/>
      <c r="J45" s="60"/>
      <c r="K45" s="61"/>
      <c r="L45" s="62" t="str">
        <f t="shared" si="18"/>
        <v/>
      </c>
      <c r="M45" s="71" t="str">
        <f t="shared" si="19"/>
        <v/>
      </c>
      <c r="N45" s="72"/>
      <c r="O45" s="70" t="str">
        <f t="shared" si="43"/>
        <v/>
      </c>
      <c r="P45" s="70" t="str">
        <f t="shared" si="44"/>
        <v/>
      </c>
      <c r="Q45" s="70" t="str">
        <f t="shared" si="45"/>
        <v/>
      </c>
      <c r="R45" s="80" t="str">
        <f t="shared" si="46"/>
        <v/>
      </c>
      <c r="S45" s="81" t="str">
        <f t="shared" si="33"/>
        <v/>
      </c>
      <c r="T45" s="82" t="str">
        <f t="shared" si="24"/>
        <v/>
      </c>
      <c r="U45" s="82" t="str">
        <f t="shared" si="25"/>
        <v/>
      </c>
      <c r="V45" s="81" t="str">
        <f t="shared" si="34"/>
        <v/>
      </c>
      <c r="W45" s="81" t="str">
        <f t="shared" si="35"/>
        <v/>
      </c>
      <c r="X45" s="81" t="str">
        <f t="shared" si="41"/>
        <v/>
      </c>
      <c r="Y45" s="90" t="str">
        <f t="shared" si="42"/>
        <v/>
      </c>
      <c r="Z45" s="89" t="str">
        <f t="shared" si="28"/>
        <v/>
      </c>
      <c r="AA45" s="89" t="str">
        <f t="shared" si="29"/>
        <v/>
      </c>
      <c r="AB45" s="89" t="str">
        <f t="shared" si="30"/>
        <v/>
      </c>
      <c r="AC45" s="89" t="str">
        <f t="shared" si="31"/>
        <v/>
      </c>
      <c r="AD45" s="96"/>
      <c r="AE45" s="97" t="str">
        <f t="shared" si="47"/>
        <v/>
      </c>
      <c r="AF45" s="98"/>
      <c r="AG45" s="105"/>
      <c r="AH45" s="105"/>
      <c r="AI45" s="106"/>
      <c r="AJ45" s="108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22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</row>
    <row r="46" ht="15" customHeight="1" spans="1:136">
      <c r="A46" s="34">
        <v>43</v>
      </c>
      <c r="B46" s="37"/>
      <c r="C46" s="40"/>
      <c r="D46" s="38"/>
      <c r="E46" s="50"/>
      <c r="F46" s="51"/>
      <c r="G46" s="52"/>
      <c r="H46" s="53"/>
      <c r="I46" s="53"/>
      <c r="J46" s="60"/>
      <c r="K46" s="61"/>
      <c r="L46" s="62" t="str">
        <f t="shared" si="18"/>
        <v/>
      </c>
      <c r="M46" s="71" t="str">
        <f t="shared" si="19"/>
        <v/>
      </c>
      <c r="N46" s="72"/>
      <c r="O46" s="70" t="str">
        <f t="shared" si="43"/>
        <v/>
      </c>
      <c r="P46" s="70" t="str">
        <f t="shared" si="44"/>
        <v/>
      </c>
      <c r="Q46" s="70" t="str">
        <f t="shared" si="45"/>
        <v/>
      </c>
      <c r="R46" s="80" t="str">
        <f t="shared" si="46"/>
        <v/>
      </c>
      <c r="S46" s="81" t="str">
        <f t="shared" si="33"/>
        <v/>
      </c>
      <c r="T46" s="82" t="str">
        <f t="shared" si="24"/>
        <v/>
      </c>
      <c r="U46" s="82" t="str">
        <f t="shared" si="25"/>
        <v/>
      </c>
      <c r="V46" s="81" t="str">
        <f t="shared" si="34"/>
        <v/>
      </c>
      <c r="W46" s="81" t="str">
        <f t="shared" si="35"/>
        <v/>
      </c>
      <c r="X46" s="81" t="str">
        <f t="shared" si="41"/>
        <v/>
      </c>
      <c r="Y46" s="90" t="str">
        <f t="shared" si="42"/>
        <v/>
      </c>
      <c r="Z46" s="89" t="str">
        <f t="shared" si="28"/>
        <v/>
      </c>
      <c r="AA46" s="89" t="str">
        <f t="shared" si="29"/>
        <v/>
      </c>
      <c r="AB46" s="89" t="str">
        <f t="shared" si="30"/>
        <v/>
      </c>
      <c r="AC46" s="89" t="str">
        <f t="shared" si="31"/>
        <v/>
      </c>
      <c r="AD46" s="96"/>
      <c r="AE46" s="97" t="str">
        <f t="shared" si="47"/>
        <v/>
      </c>
      <c r="AF46" s="98"/>
      <c r="AG46" s="105"/>
      <c r="AH46" s="105"/>
      <c r="AI46" s="106"/>
      <c r="AJ46" s="108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22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</row>
    <row r="47" ht="15" customHeight="1" spans="1:136">
      <c r="A47" s="34">
        <v>44</v>
      </c>
      <c r="B47" s="37"/>
      <c r="C47" s="40"/>
      <c r="D47" s="38"/>
      <c r="E47" s="50"/>
      <c r="F47" s="51"/>
      <c r="G47" s="52"/>
      <c r="H47" s="53"/>
      <c r="I47" s="53"/>
      <c r="J47" s="60"/>
      <c r="K47" s="61"/>
      <c r="L47" s="62" t="str">
        <f t="shared" si="18"/>
        <v/>
      </c>
      <c r="M47" s="71" t="str">
        <f t="shared" si="19"/>
        <v/>
      </c>
      <c r="N47" s="72"/>
      <c r="O47" s="70" t="str">
        <f t="shared" si="43"/>
        <v/>
      </c>
      <c r="P47" s="70" t="str">
        <f t="shared" si="44"/>
        <v/>
      </c>
      <c r="Q47" s="70" t="str">
        <f t="shared" si="45"/>
        <v/>
      </c>
      <c r="R47" s="80" t="str">
        <f t="shared" si="46"/>
        <v/>
      </c>
      <c r="S47" s="81" t="str">
        <f t="shared" si="33"/>
        <v/>
      </c>
      <c r="T47" s="82" t="str">
        <f t="shared" si="24"/>
        <v/>
      </c>
      <c r="U47" s="82" t="str">
        <f t="shared" si="25"/>
        <v/>
      </c>
      <c r="V47" s="81" t="str">
        <f t="shared" si="34"/>
        <v/>
      </c>
      <c r="W47" s="81" t="str">
        <f t="shared" si="35"/>
        <v/>
      </c>
      <c r="X47" s="81" t="str">
        <f t="shared" si="41"/>
        <v/>
      </c>
      <c r="Y47" s="90" t="str">
        <f t="shared" si="42"/>
        <v/>
      </c>
      <c r="Z47" s="89" t="str">
        <f t="shared" si="28"/>
        <v/>
      </c>
      <c r="AA47" s="89" t="str">
        <f t="shared" si="29"/>
        <v/>
      </c>
      <c r="AB47" s="89" t="str">
        <f t="shared" si="30"/>
        <v/>
      </c>
      <c r="AC47" s="89" t="str">
        <f t="shared" si="31"/>
        <v/>
      </c>
      <c r="AD47" s="96"/>
      <c r="AE47" s="97" t="str">
        <f t="shared" si="47"/>
        <v/>
      </c>
      <c r="AF47" s="98"/>
      <c r="AG47" s="105"/>
      <c r="AH47" s="105"/>
      <c r="AI47" s="106"/>
      <c r="AJ47" s="108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22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</row>
    <row r="48" ht="15" customHeight="1" spans="1:136">
      <c r="A48" s="34">
        <v>45</v>
      </c>
      <c r="B48" s="37"/>
      <c r="C48" s="40"/>
      <c r="D48" s="38"/>
      <c r="E48" s="50"/>
      <c r="F48" s="51"/>
      <c r="G48" s="52"/>
      <c r="H48" s="53"/>
      <c r="I48" s="53"/>
      <c r="J48" s="60"/>
      <c r="K48" s="61"/>
      <c r="L48" s="62" t="str">
        <f t="shared" si="18"/>
        <v/>
      </c>
      <c r="M48" s="71" t="str">
        <f t="shared" si="19"/>
        <v/>
      </c>
      <c r="N48" s="72"/>
      <c r="O48" s="70" t="str">
        <f t="shared" si="43"/>
        <v/>
      </c>
      <c r="P48" s="70" t="str">
        <f t="shared" si="44"/>
        <v/>
      </c>
      <c r="Q48" s="70" t="str">
        <f t="shared" si="45"/>
        <v/>
      </c>
      <c r="R48" s="80" t="str">
        <f t="shared" si="46"/>
        <v/>
      </c>
      <c r="S48" s="81" t="str">
        <f t="shared" si="33"/>
        <v/>
      </c>
      <c r="T48" s="82" t="str">
        <f t="shared" si="24"/>
        <v/>
      </c>
      <c r="U48" s="82" t="str">
        <f t="shared" si="25"/>
        <v/>
      </c>
      <c r="V48" s="81" t="str">
        <f t="shared" si="34"/>
        <v/>
      </c>
      <c r="W48" s="81" t="str">
        <f t="shared" si="35"/>
        <v/>
      </c>
      <c r="X48" s="81" t="str">
        <f t="shared" si="41"/>
        <v/>
      </c>
      <c r="Y48" s="90" t="str">
        <f t="shared" si="42"/>
        <v/>
      </c>
      <c r="Z48" s="89" t="str">
        <f t="shared" si="28"/>
        <v/>
      </c>
      <c r="AA48" s="89" t="str">
        <f t="shared" si="29"/>
        <v/>
      </c>
      <c r="AB48" s="89" t="str">
        <f t="shared" si="30"/>
        <v/>
      </c>
      <c r="AC48" s="89" t="str">
        <f t="shared" si="31"/>
        <v/>
      </c>
      <c r="AD48" s="96"/>
      <c r="AE48" s="97" t="str">
        <f t="shared" si="47"/>
        <v/>
      </c>
      <c r="AF48" s="98"/>
      <c r="AG48" s="105"/>
      <c r="AH48" s="105"/>
      <c r="AI48" s="106"/>
      <c r="AJ48" s="108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22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</row>
    <row r="49" ht="15" customHeight="1" spans="1:136">
      <c r="A49" s="34">
        <v>46</v>
      </c>
      <c r="B49" s="37"/>
      <c r="C49" s="40"/>
      <c r="D49" s="38"/>
      <c r="E49" s="50"/>
      <c r="F49" s="51"/>
      <c r="G49" s="52"/>
      <c r="H49" s="53"/>
      <c r="I49" s="53"/>
      <c r="J49" s="60"/>
      <c r="K49" s="61"/>
      <c r="L49" s="62" t="str">
        <f t="shared" si="18"/>
        <v/>
      </c>
      <c r="M49" s="71" t="str">
        <f t="shared" si="19"/>
        <v/>
      </c>
      <c r="N49" s="72"/>
      <c r="O49" s="70" t="str">
        <f t="shared" si="43"/>
        <v/>
      </c>
      <c r="P49" s="70" t="str">
        <f t="shared" si="44"/>
        <v/>
      </c>
      <c r="Q49" s="70" t="str">
        <f t="shared" si="45"/>
        <v/>
      </c>
      <c r="R49" s="80" t="str">
        <f t="shared" si="46"/>
        <v/>
      </c>
      <c r="S49" s="81" t="str">
        <f t="shared" si="33"/>
        <v/>
      </c>
      <c r="T49" s="82" t="str">
        <f t="shared" si="24"/>
        <v/>
      </c>
      <c r="U49" s="82" t="str">
        <f t="shared" si="25"/>
        <v/>
      </c>
      <c r="V49" s="81" t="str">
        <f t="shared" si="34"/>
        <v/>
      </c>
      <c r="W49" s="81" t="str">
        <f t="shared" si="35"/>
        <v/>
      </c>
      <c r="X49" s="81" t="str">
        <f t="shared" si="41"/>
        <v/>
      </c>
      <c r="Y49" s="90" t="str">
        <f t="shared" si="42"/>
        <v/>
      </c>
      <c r="Z49" s="89" t="str">
        <f t="shared" si="28"/>
        <v/>
      </c>
      <c r="AA49" s="89" t="str">
        <f t="shared" si="29"/>
        <v/>
      </c>
      <c r="AB49" s="89" t="str">
        <f t="shared" si="30"/>
        <v/>
      </c>
      <c r="AC49" s="89" t="str">
        <f t="shared" si="31"/>
        <v/>
      </c>
      <c r="AD49" s="96"/>
      <c r="AE49" s="97" t="str">
        <f t="shared" si="47"/>
        <v/>
      </c>
      <c r="AF49" s="98"/>
      <c r="AG49" s="105"/>
      <c r="AH49" s="105"/>
      <c r="AI49" s="106"/>
      <c r="AJ49" s="108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22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</row>
    <row r="50" ht="15" customHeight="1" spans="1:136">
      <c r="A50" s="34">
        <v>47</v>
      </c>
      <c r="B50" s="37"/>
      <c r="C50" s="40"/>
      <c r="D50" s="38"/>
      <c r="E50" s="50"/>
      <c r="F50" s="51"/>
      <c r="G50" s="52"/>
      <c r="H50" s="53"/>
      <c r="I50" s="53"/>
      <c r="J50" s="60"/>
      <c r="K50" s="61"/>
      <c r="L50" s="62" t="str">
        <f t="shared" si="18"/>
        <v/>
      </c>
      <c r="M50" s="71" t="str">
        <f t="shared" si="19"/>
        <v/>
      </c>
      <c r="N50" s="72"/>
      <c r="O50" s="70" t="str">
        <f t="shared" si="43"/>
        <v/>
      </c>
      <c r="P50" s="70" t="str">
        <f t="shared" si="44"/>
        <v/>
      </c>
      <c r="Q50" s="70" t="str">
        <f t="shared" si="45"/>
        <v/>
      </c>
      <c r="R50" s="80" t="str">
        <f t="shared" si="46"/>
        <v/>
      </c>
      <c r="S50" s="81" t="str">
        <f t="shared" si="33"/>
        <v/>
      </c>
      <c r="T50" s="82" t="str">
        <f t="shared" si="24"/>
        <v/>
      </c>
      <c r="U50" s="82" t="str">
        <f t="shared" si="25"/>
        <v/>
      </c>
      <c r="V50" s="81" t="str">
        <f t="shared" si="34"/>
        <v/>
      </c>
      <c r="W50" s="81" t="str">
        <f t="shared" si="35"/>
        <v/>
      </c>
      <c r="X50" s="81" t="str">
        <f t="shared" si="41"/>
        <v/>
      </c>
      <c r="Y50" s="90" t="str">
        <f t="shared" si="42"/>
        <v/>
      </c>
      <c r="Z50" s="89" t="str">
        <f t="shared" si="28"/>
        <v/>
      </c>
      <c r="AA50" s="89" t="str">
        <f t="shared" si="29"/>
        <v/>
      </c>
      <c r="AB50" s="89" t="str">
        <f t="shared" si="30"/>
        <v/>
      </c>
      <c r="AC50" s="89" t="str">
        <f t="shared" si="31"/>
        <v/>
      </c>
      <c r="AD50" s="96"/>
      <c r="AE50" s="97" t="str">
        <f t="shared" si="47"/>
        <v/>
      </c>
      <c r="AF50" s="98"/>
      <c r="AG50" s="105"/>
      <c r="AH50" s="105"/>
      <c r="AI50" s="106"/>
      <c r="AJ50" s="108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22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</row>
    <row r="51" ht="15" customHeight="1" spans="1:136">
      <c r="A51" s="34">
        <v>48</v>
      </c>
      <c r="B51" s="37"/>
      <c r="C51" s="40"/>
      <c r="D51" s="38"/>
      <c r="E51" s="50"/>
      <c r="F51" s="51"/>
      <c r="G51" s="52"/>
      <c r="H51" s="53"/>
      <c r="I51" s="53"/>
      <c r="J51" s="60"/>
      <c r="K51" s="61"/>
      <c r="L51" s="62" t="str">
        <f t="shared" si="18"/>
        <v/>
      </c>
      <c r="M51" s="71" t="str">
        <f t="shared" si="19"/>
        <v/>
      </c>
      <c r="N51" s="72"/>
      <c r="O51" s="70" t="str">
        <f t="shared" si="43"/>
        <v/>
      </c>
      <c r="P51" s="70" t="str">
        <f t="shared" si="44"/>
        <v/>
      </c>
      <c r="Q51" s="70" t="str">
        <f t="shared" si="45"/>
        <v/>
      </c>
      <c r="R51" s="80" t="str">
        <f t="shared" si="46"/>
        <v/>
      </c>
      <c r="S51" s="81" t="str">
        <f t="shared" si="33"/>
        <v/>
      </c>
      <c r="T51" s="82" t="str">
        <f t="shared" si="24"/>
        <v/>
      </c>
      <c r="U51" s="82" t="str">
        <f t="shared" si="25"/>
        <v/>
      </c>
      <c r="V51" s="81" t="str">
        <f t="shared" si="34"/>
        <v/>
      </c>
      <c r="W51" s="81" t="str">
        <f t="shared" si="35"/>
        <v/>
      </c>
      <c r="X51" s="81" t="str">
        <f t="shared" si="41"/>
        <v/>
      </c>
      <c r="Y51" s="90" t="str">
        <f t="shared" si="42"/>
        <v/>
      </c>
      <c r="Z51" s="89" t="str">
        <f t="shared" si="28"/>
        <v/>
      </c>
      <c r="AA51" s="89" t="str">
        <f t="shared" si="29"/>
        <v/>
      </c>
      <c r="AB51" s="89" t="str">
        <f t="shared" si="30"/>
        <v/>
      </c>
      <c r="AC51" s="89" t="str">
        <f t="shared" si="31"/>
        <v/>
      </c>
      <c r="AD51" s="96"/>
      <c r="AE51" s="97" t="str">
        <f t="shared" si="47"/>
        <v/>
      </c>
      <c r="AF51" s="98"/>
      <c r="AG51" s="105"/>
      <c r="AH51" s="105"/>
      <c r="AI51" s="106"/>
      <c r="AJ51" s="108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22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</row>
    <row r="52" ht="15" customHeight="1" spans="1:136">
      <c r="A52" s="34">
        <v>2</v>
      </c>
      <c r="B52" s="37"/>
      <c r="C52" s="40"/>
      <c r="D52" s="39"/>
      <c r="E52" s="50"/>
      <c r="F52" s="51"/>
      <c r="G52" s="52"/>
      <c r="H52" s="53"/>
      <c r="I52" s="53"/>
      <c r="J52" s="60"/>
      <c r="K52" s="61"/>
      <c r="L52" s="62" t="str">
        <f t="shared" ref="L52:L90" si="48">IF(AND(G52="",H52=""),"",IF(G52="",H52,G52+H52))</f>
        <v/>
      </c>
      <c r="M52" s="71" t="str">
        <f t="shared" ref="M52:M90" si="49">IF(AND(G52="",I52=""),"",IF(G52="",I52,G52+I52))</f>
        <v/>
      </c>
      <c r="N52" s="69"/>
      <c r="O52" s="70" t="str">
        <f t="shared" si="43"/>
        <v/>
      </c>
      <c r="P52" s="70" t="str">
        <f t="shared" si="44"/>
        <v/>
      </c>
      <c r="Q52" s="70" t="str">
        <f t="shared" si="45"/>
        <v/>
      </c>
      <c r="R52" s="80" t="str">
        <f t="shared" si="46"/>
        <v/>
      </c>
      <c r="S52" s="81" t="str">
        <f t="shared" si="33"/>
        <v/>
      </c>
      <c r="T52" s="82" t="str">
        <f t="shared" si="24"/>
        <v/>
      </c>
      <c r="U52" s="82" t="str">
        <f t="shared" si="25"/>
        <v/>
      </c>
      <c r="V52" s="81" t="str">
        <f t="shared" si="34"/>
        <v/>
      </c>
      <c r="W52" s="81" t="str">
        <f t="shared" si="35"/>
        <v/>
      </c>
      <c r="X52" s="81" t="str">
        <f t="shared" si="41"/>
        <v/>
      </c>
      <c r="Y52" s="88" t="str">
        <f t="shared" si="42"/>
        <v/>
      </c>
      <c r="Z52" s="89" t="str">
        <f t="shared" ref="Z52:Z90" si="50">IF($Q52="","",IF(F52="Tolerance",IF(($E52*3*R52+Q52)-G52&lt;H52,"",($E52*3*R52+Q52)-G52),IF(OR(F52="GD&amp;T",F52="MAX"),IF(($E52*3*R52+Q52)&lt;H52,"",($E52*3*R52+Q52)),"")))</f>
        <v/>
      </c>
      <c r="AA52" s="89" t="str">
        <f t="shared" ref="AA52:AA90" si="51">IF(Q52="","",IF(F52="Tolerance",IF(-(($E52*3*R52)-Q52)-G52&gt;I52,"",-(($E52*3*R52)-Q52)-G52),IF(F52="MIN",IF(-(($E52*3*R52)-Q52)&gt;I52,"",-(($E52*3*R52)-Q52)),"")))</f>
        <v/>
      </c>
      <c r="AB52" s="89" t="str">
        <f t="shared" ref="AB52:AB90" si="52">IF(OR(G52="",Q52=""),"",(L52+M52)/2-Q52)</f>
        <v/>
      </c>
      <c r="AC52" s="89" t="str">
        <f t="shared" si="31"/>
        <v/>
      </c>
      <c r="AD52" s="96"/>
      <c r="AE52" s="97" t="str">
        <f t="shared" si="47"/>
        <v/>
      </c>
      <c r="AF52" s="98"/>
      <c r="AG52" s="105"/>
      <c r="AH52" s="105"/>
      <c r="AI52" s="106"/>
      <c r="AJ52" s="107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22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</row>
    <row r="53" ht="15" customHeight="1" spans="1:136">
      <c r="A53" s="34">
        <v>2</v>
      </c>
      <c r="B53" s="37"/>
      <c r="C53" s="40"/>
      <c r="D53" s="39"/>
      <c r="E53" s="50"/>
      <c r="F53" s="51"/>
      <c r="G53" s="52"/>
      <c r="H53" s="53"/>
      <c r="I53" s="53"/>
      <c r="J53" s="60"/>
      <c r="K53" s="61"/>
      <c r="L53" s="62" t="str">
        <f t="shared" si="48"/>
        <v/>
      </c>
      <c r="M53" s="71" t="str">
        <f t="shared" si="49"/>
        <v/>
      </c>
      <c r="N53" s="69"/>
      <c r="O53" s="70" t="str">
        <f t="shared" si="43"/>
        <v/>
      </c>
      <c r="P53" s="70" t="str">
        <f t="shared" si="44"/>
        <v/>
      </c>
      <c r="Q53" s="70" t="str">
        <f t="shared" si="45"/>
        <v/>
      </c>
      <c r="R53" s="80" t="str">
        <f t="shared" si="46"/>
        <v/>
      </c>
      <c r="S53" s="81" t="str">
        <f t="shared" si="33"/>
        <v/>
      </c>
      <c r="T53" s="82" t="str">
        <f t="shared" si="24"/>
        <v/>
      </c>
      <c r="U53" s="82" t="str">
        <f t="shared" si="25"/>
        <v/>
      </c>
      <c r="V53" s="81" t="str">
        <f t="shared" si="34"/>
        <v/>
      </c>
      <c r="W53" s="81" t="str">
        <f t="shared" si="35"/>
        <v/>
      </c>
      <c r="X53" s="81" t="str">
        <f t="shared" si="41"/>
        <v/>
      </c>
      <c r="Y53" s="88" t="str">
        <f t="shared" si="42"/>
        <v/>
      </c>
      <c r="Z53" s="89" t="str">
        <f t="shared" si="50"/>
        <v/>
      </c>
      <c r="AA53" s="89" t="str">
        <f t="shared" si="51"/>
        <v/>
      </c>
      <c r="AB53" s="89" t="str">
        <f t="shared" si="52"/>
        <v/>
      </c>
      <c r="AC53" s="89" t="str">
        <f t="shared" si="31"/>
        <v/>
      </c>
      <c r="AD53" s="96"/>
      <c r="AE53" s="97" t="str">
        <f t="shared" si="47"/>
        <v/>
      </c>
      <c r="AF53" s="98"/>
      <c r="AG53" s="105"/>
      <c r="AH53" s="105"/>
      <c r="AI53" s="106"/>
      <c r="AJ53" s="107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22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</row>
    <row r="54" ht="15" customHeight="1" spans="1:136">
      <c r="A54" s="34">
        <v>12</v>
      </c>
      <c r="B54" s="37"/>
      <c r="C54" s="40"/>
      <c r="D54" s="38"/>
      <c r="E54" s="50"/>
      <c r="F54" s="51"/>
      <c r="G54" s="52"/>
      <c r="H54" s="53"/>
      <c r="I54" s="53"/>
      <c r="J54" s="60"/>
      <c r="K54" s="61"/>
      <c r="L54" s="62" t="str">
        <f t="shared" si="48"/>
        <v/>
      </c>
      <c r="M54" s="71" t="str">
        <f t="shared" si="49"/>
        <v/>
      </c>
      <c r="N54" s="72"/>
      <c r="O54" s="70" t="str">
        <f t="shared" ref="O54:O92" si="53">IF(OR($AK54="",ISNUMBER($AK54)=FALSE),"",MAX(AK54:EF54))</f>
        <v/>
      </c>
      <c r="P54" s="70" t="str">
        <f t="shared" ref="P54:P92" si="54">IF(OR($AK54="",ISNUMBER($AK54)=FALSE),"",MIN(AK54:EF54))</f>
        <v/>
      </c>
      <c r="Q54" s="70" t="str">
        <f t="shared" ref="Q54:Q92" si="55">IF(OR($AK54="",ISNUMBER($AK54)=FALSE),"",AVERAGE(AK54:EF54))</f>
        <v/>
      </c>
      <c r="R54" s="80" t="str">
        <f t="shared" ref="R54:R92" si="56">IF(OR($AK54="",ISNUMBER($AK54)=FALSE),"",STDEV(AK54:EF54))</f>
        <v/>
      </c>
      <c r="S54" s="81" t="str">
        <f t="shared" si="33"/>
        <v/>
      </c>
      <c r="T54" s="82" t="str">
        <f t="shared" si="24"/>
        <v/>
      </c>
      <c r="U54" s="82" t="str">
        <f t="shared" si="25"/>
        <v/>
      </c>
      <c r="V54" s="81" t="str">
        <f t="shared" si="34"/>
        <v/>
      </c>
      <c r="W54" s="81" t="str">
        <f t="shared" si="35"/>
        <v/>
      </c>
      <c r="X54" s="81" t="str">
        <f t="shared" si="41"/>
        <v/>
      </c>
      <c r="Y54" s="88" t="str">
        <f t="shared" si="42"/>
        <v/>
      </c>
      <c r="Z54" s="89" t="str">
        <f t="shared" si="50"/>
        <v/>
      </c>
      <c r="AA54" s="89" t="str">
        <f t="shared" si="51"/>
        <v/>
      </c>
      <c r="AB54" s="89" t="str">
        <f t="shared" si="52"/>
        <v/>
      </c>
      <c r="AC54" s="89" t="str">
        <f t="shared" si="31"/>
        <v/>
      </c>
      <c r="AD54" s="96"/>
      <c r="AE54" s="97" t="str">
        <f t="shared" si="47"/>
        <v/>
      </c>
      <c r="AF54" s="98"/>
      <c r="AG54" s="105"/>
      <c r="AH54" s="105"/>
      <c r="AI54" s="106"/>
      <c r="AJ54" s="108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22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5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</row>
    <row r="55" ht="15" customHeight="1" spans="1:136">
      <c r="A55" s="34">
        <v>13</v>
      </c>
      <c r="B55" s="37"/>
      <c r="C55" s="40"/>
      <c r="D55" s="38"/>
      <c r="E55" s="50"/>
      <c r="F55" s="51"/>
      <c r="G55" s="52"/>
      <c r="H55" s="53"/>
      <c r="I55" s="53"/>
      <c r="J55" s="60"/>
      <c r="K55" s="61"/>
      <c r="L55" s="62" t="str">
        <f t="shared" si="48"/>
        <v/>
      </c>
      <c r="M55" s="71" t="str">
        <f t="shared" si="49"/>
        <v/>
      </c>
      <c r="N55" s="72"/>
      <c r="O55" s="70" t="str">
        <f t="shared" si="53"/>
        <v/>
      </c>
      <c r="P55" s="70" t="str">
        <f t="shared" si="54"/>
        <v/>
      </c>
      <c r="Q55" s="70" t="str">
        <f t="shared" si="55"/>
        <v/>
      </c>
      <c r="R55" s="80" t="str">
        <f t="shared" si="56"/>
        <v/>
      </c>
      <c r="S55" s="81" t="str">
        <f t="shared" si="33"/>
        <v/>
      </c>
      <c r="T55" s="82" t="str">
        <f t="shared" si="24"/>
        <v/>
      </c>
      <c r="U55" s="82" t="str">
        <f t="shared" si="25"/>
        <v/>
      </c>
      <c r="V55" s="81" t="str">
        <f t="shared" si="34"/>
        <v/>
      </c>
      <c r="W55" s="81" t="str">
        <f t="shared" si="35"/>
        <v/>
      </c>
      <c r="X55" s="81" t="str">
        <f t="shared" si="41"/>
        <v/>
      </c>
      <c r="Y55" s="88" t="str">
        <f t="shared" si="42"/>
        <v/>
      </c>
      <c r="Z55" s="89" t="str">
        <f t="shared" si="50"/>
        <v/>
      </c>
      <c r="AA55" s="89" t="str">
        <f t="shared" si="51"/>
        <v/>
      </c>
      <c r="AB55" s="89" t="str">
        <f t="shared" si="52"/>
        <v/>
      </c>
      <c r="AC55" s="89" t="str">
        <f t="shared" si="31"/>
        <v/>
      </c>
      <c r="AD55" s="96"/>
      <c r="AE55" s="97" t="str">
        <f t="shared" si="47"/>
        <v/>
      </c>
      <c r="AF55" s="98"/>
      <c r="AG55" s="105"/>
      <c r="AH55" s="105"/>
      <c r="AI55" s="106"/>
      <c r="AJ55" s="108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22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</row>
    <row r="56" ht="15" customHeight="1" spans="1:136">
      <c r="A56" s="34">
        <v>14</v>
      </c>
      <c r="B56" s="37"/>
      <c r="C56" s="40"/>
      <c r="D56" s="38"/>
      <c r="E56" s="50"/>
      <c r="F56" s="51"/>
      <c r="G56" s="52"/>
      <c r="H56" s="53"/>
      <c r="I56" s="53"/>
      <c r="J56" s="60"/>
      <c r="K56" s="61"/>
      <c r="L56" s="62" t="str">
        <f t="shared" si="48"/>
        <v/>
      </c>
      <c r="M56" s="71" t="str">
        <f t="shared" si="49"/>
        <v/>
      </c>
      <c r="N56" s="69"/>
      <c r="O56" s="70" t="str">
        <f t="shared" si="53"/>
        <v/>
      </c>
      <c r="P56" s="70" t="str">
        <f t="shared" si="54"/>
        <v/>
      </c>
      <c r="Q56" s="70" t="str">
        <f t="shared" si="55"/>
        <v/>
      </c>
      <c r="R56" s="80" t="str">
        <f t="shared" si="56"/>
        <v/>
      </c>
      <c r="S56" s="81" t="str">
        <f t="shared" si="33"/>
        <v/>
      </c>
      <c r="T56" s="82" t="str">
        <f t="shared" si="24"/>
        <v/>
      </c>
      <c r="U56" s="82" t="str">
        <f t="shared" si="25"/>
        <v/>
      </c>
      <c r="V56" s="81" t="str">
        <f t="shared" si="34"/>
        <v/>
      </c>
      <c r="W56" s="81" t="str">
        <f t="shared" si="35"/>
        <v/>
      </c>
      <c r="X56" s="81" t="str">
        <f t="shared" si="41"/>
        <v/>
      </c>
      <c r="Y56" s="88" t="str">
        <f t="shared" si="42"/>
        <v/>
      </c>
      <c r="Z56" s="89" t="str">
        <f t="shared" si="50"/>
        <v/>
      </c>
      <c r="AA56" s="89" t="str">
        <f t="shared" si="51"/>
        <v/>
      </c>
      <c r="AB56" s="89" t="str">
        <f t="shared" si="52"/>
        <v/>
      </c>
      <c r="AC56" s="89" t="str">
        <f t="shared" si="31"/>
        <v/>
      </c>
      <c r="AD56" s="96"/>
      <c r="AE56" s="97" t="str">
        <f t="shared" si="47"/>
        <v/>
      </c>
      <c r="AF56" s="98"/>
      <c r="AG56" s="105"/>
      <c r="AH56" s="105"/>
      <c r="AI56" s="106"/>
      <c r="AJ56" s="107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22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5"/>
      <c r="CG56" s="123"/>
      <c r="CH56" s="123"/>
      <c r="CI56" s="123"/>
      <c r="CJ56" s="125"/>
      <c r="CK56" s="125"/>
      <c r="CL56" s="123"/>
      <c r="CM56" s="125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</row>
    <row r="57" ht="15" customHeight="1" spans="1:136">
      <c r="A57" s="34">
        <v>15</v>
      </c>
      <c r="B57" s="37"/>
      <c r="C57" s="40"/>
      <c r="D57" s="39"/>
      <c r="E57" s="50"/>
      <c r="F57" s="51"/>
      <c r="G57" s="52"/>
      <c r="H57" s="53"/>
      <c r="I57" s="53"/>
      <c r="J57" s="60"/>
      <c r="K57" s="61"/>
      <c r="L57" s="62" t="str">
        <f t="shared" si="48"/>
        <v/>
      </c>
      <c r="M57" s="71" t="str">
        <f t="shared" si="49"/>
        <v/>
      </c>
      <c r="N57" s="69"/>
      <c r="O57" s="70" t="str">
        <f t="shared" si="53"/>
        <v/>
      </c>
      <c r="P57" s="70" t="str">
        <f t="shared" si="54"/>
        <v/>
      </c>
      <c r="Q57" s="70" t="str">
        <f t="shared" si="55"/>
        <v/>
      </c>
      <c r="R57" s="80" t="str">
        <f t="shared" si="56"/>
        <v/>
      </c>
      <c r="S57" s="81" t="str">
        <f t="shared" si="33"/>
        <v/>
      </c>
      <c r="T57" s="82" t="str">
        <f t="shared" si="24"/>
        <v/>
      </c>
      <c r="U57" s="82" t="str">
        <f t="shared" si="25"/>
        <v/>
      </c>
      <c r="V57" s="81" t="str">
        <f t="shared" si="34"/>
        <v/>
      </c>
      <c r="W57" s="81" t="str">
        <f t="shared" si="35"/>
        <v/>
      </c>
      <c r="X57" s="81" t="str">
        <f t="shared" si="41"/>
        <v/>
      </c>
      <c r="Y57" s="88" t="str">
        <f t="shared" si="42"/>
        <v/>
      </c>
      <c r="Z57" s="89" t="str">
        <f t="shared" si="50"/>
        <v/>
      </c>
      <c r="AA57" s="89" t="str">
        <f t="shared" si="51"/>
        <v/>
      </c>
      <c r="AB57" s="89" t="str">
        <f t="shared" si="52"/>
        <v/>
      </c>
      <c r="AC57" s="89" t="str">
        <f t="shared" si="31"/>
        <v/>
      </c>
      <c r="AD57" s="96"/>
      <c r="AE57" s="97" t="str">
        <f t="shared" si="47"/>
        <v/>
      </c>
      <c r="AF57" s="98"/>
      <c r="AG57" s="105"/>
      <c r="AH57" s="105"/>
      <c r="AI57" s="106"/>
      <c r="AJ57" s="107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22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</row>
    <row r="58" ht="15" customHeight="1" spans="1:136">
      <c r="A58" s="34">
        <v>15</v>
      </c>
      <c r="B58" s="37"/>
      <c r="C58" s="40"/>
      <c r="D58" s="38"/>
      <c r="E58" s="50"/>
      <c r="F58" s="51"/>
      <c r="G58" s="52"/>
      <c r="H58" s="53"/>
      <c r="I58" s="53"/>
      <c r="J58" s="60"/>
      <c r="K58" s="61"/>
      <c r="L58" s="62" t="str">
        <f t="shared" si="48"/>
        <v/>
      </c>
      <c r="M58" s="71" t="str">
        <f t="shared" si="49"/>
        <v/>
      </c>
      <c r="N58" s="69"/>
      <c r="O58" s="70" t="str">
        <f t="shared" si="53"/>
        <v/>
      </c>
      <c r="P58" s="70" t="str">
        <f t="shared" si="54"/>
        <v/>
      </c>
      <c r="Q58" s="70" t="str">
        <f t="shared" si="55"/>
        <v/>
      </c>
      <c r="R58" s="80" t="str">
        <f t="shared" si="56"/>
        <v/>
      </c>
      <c r="S58" s="81" t="str">
        <f t="shared" si="33"/>
        <v/>
      </c>
      <c r="T58" s="82" t="str">
        <f t="shared" si="24"/>
        <v/>
      </c>
      <c r="U58" s="82" t="str">
        <f t="shared" si="25"/>
        <v/>
      </c>
      <c r="V58" s="81" t="str">
        <f t="shared" si="34"/>
        <v/>
      </c>
      <c r="W58" s="81" t="str">
        <f t="shared" si="35"/>
        <v/>
      </c>
      <c r="X58" s="81" t="str">
        <f t="shared" si="41"/>
        <v/>
      </c>
      <c r="Y58" s="88" t="str">
        <f t="shared" si="42"/>
        <v/>
      </c>
      <c r="Z58" s="89" t="str">
        <f t="shared" si="50"/>
        <v/>
      </c>
      <c r="AA58" s="89" t="str">
        <f t="shared" si="51"/>
        <v/>
      </c>
      <c r="AB58" s="89" t="str">
        <f t="shared" si="52"/>
        <v/>
      </c>
      <c r="AC58" s="89" t="str">
        <f t="shared" si="31"/>
        <v/>
      </c>
      <c r="AD58" s="96"/>
      <c r="AE58" s="97" t="str">
        <f t="shared" si="47"/>
        <v/>
      </c>
      <c r="AF58" s="98"/>
      <c r="AG58" s="105"/>
      <c r="AH58" s="105"/>
      <c r="AI58" s="106"/>
      <c r="AJ58" s="107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22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</row>
    <row r="59" ht="15" customHeight="1" spans="1:136">
      <c r="A59" s="34">
        <v>17</v>
      </c>
      <c r="B59" s="37"/>
      <c r="C59" s="40"/>
      <c r="D59" s="38"/>
      <c r="E59" s="50"/>
      <c r="F59" s="51"/>
      <c r="G59" s="52"/>
      <c r="H59" s="53"/>
      <c r="I59" s="53"/>
      <c r="J59" s="60"/>
      <c r="K59" s="61"/>
      <c r="L59" s="62" t="str">
        <f t="shared" si="48"/>
        <v/>
      </c>
      <c r="M59" s="71" t="str">
        <f t="shared" si="49"/>
        <v/>
      </c>
      <c r="N59" s="72"/>
      <c r="O59" s="70" t="str">
        <f t="shared" si="53"/>
        <v/>
      </c>
      <c r="P59" s="70" t="str">
        <f t="shared" si="54"/>
        <v/>
      </c>
      <c r="Q59" s="70" t="str">
        <f t="shared" si="55"/>
        <v/>
      </c>
      <c r="R59" s="80" t="str">
        <f t="shared" si="56"/>
        <v/>
      </c>
      <c r="S59" s="81" t="str">
        <f t="shared" si="33"/>
        <v/>
      </c>
      <c r="T59" s="82" t="str">
        <f t="shared" si="24"/>
        <v/>
      </c>
      <c r="U59" s="82" t="str">
        <f t="shared" si="25"/>
        <v/>
      </c>
      <c r="V59" s="81" t="str">
        <f t="shared" si="34"/>
        <v/>
      </c>
      <c r="W59" s="81" t="str">
        <f t="shared" si="35"/>
        <v/>
      </c>
      <c r="X59" s="81" t="str">
        <f t="shared" si="41"/>
        <v/>
      </c>
      <c r="Y59" s="88" t="str">
        <f t="shared" si="42"/>
        <v/>
      </c>
      <c r="Z59" s="89" t="str">
        <f t="shared" si="50"/>
        <v/>
      </c>
      <c r="AA59" s="89" t="str">
        <f t="shared" si="51"/>
        <v/>
      </c>
      <c r="AB59" s="89" t="str">
        <f t="shared" si="52"/>
        <v/>
      </c>
      <c r="AC59" s="89" t="str">
        <f t="shared" si="31"/>
        <v/>
      </c>
      <c r="AD59" s="96"/>
      <c r="AE59" s="97" t="str">
        <f t="shared" si="47"/>
        <v/>
      </c>
      <c r="AF59" s="98"/>
      <c r="AG59" s="105"/>
      <c r="AH59" s="105"/>
      <c r="AI59" s="106"/>
      <c r="AJ59" s="108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22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</row>
    <row r="60" ht="15" customHeight="1" spans="1:136">
      <c r="A60" s="34">
        <v>18</v>
      </c>
      <c r="B60" s="37"/>
      <c r="C60" s="40"/>
      <c r="D60" s="39"/>
      <c r="E60" s="50"/>
      <c r="F60" s="51"/>
      <c r="G60" s="52"/>
      <c r="H60" s="53"/>
      <c r="I60" s="53"/>
      <c r="J60" s="60"/>
      <c r="K60" s="61"/>
      <c r="L60" s="62" t="str">
        <f t="shared" si="48"/>
        <v/>
      </c>
      <c r="M60" s="71" t="str">
        <f t="shared" si="49"/>
        <v/>
      </c>
      <c r="N60" s="72"/>
      <c r="O60" s="70" t="str">
        <f t="shared" si="53"/>
        <v/>
      </c>
      <c r="P60" s="70" t="str">
        <f t="shared" si="54"/>
        <v/>
      </c>
      <c r="Q60" s="70" t="str">
        <f t="shared" si="55"/>
        <v/>
      </c>
      <c r="R60" s="80" t="str">
        <f t="shared" si="56"/>
        <v/>
      </c>
      <c r="S60" s="81" t="str">
        <f t="shared" si="33"/>
        <v/>
      </c>
      <c r="T60" s="82" t="str">
        <f t="shared" si="24"/>
        <v/>
      </c>
      <c r="U60" s="82" t="str">
        <f t="shared" si="25"/>
        <v/>
      </c>
      <c r="V60" s="81" t="str">
        <f t="shared" si="34"/>
        <v/>
      </c>
      <c r="W60" s="81" t="str">
        <f t="shared" si="35"/>
        <v/>
      </c>
      <c r="X60" s="81" t="str">
        <f t="shared" si="41"/>
        <v/>
      </c>
      <c r="Y60" s="88" t="str">
        <f t="shared" si="42"/>
        <v/>
      </c>
      <c r="Z60" s="89" t="str">
        <f t="shared" si="50"/>
        <v/>
      </c>
      <c r="AA60" s="89" t="str">
        <f t="shared" si="51"/>
        <v/>
      </c>
      <c r="AB60" s="89" t="str">
        <f t="shared" si="52"/>
        <v/>
      </c>
      <c r="AC60" s="89" t="str">
        <f t="shared" si="31"/>
        <v/>
      </c>
      <c r="AD60" s="96"/>
      <c r="AE60" s="97" t="str">
        <f t="shared" si="47"/>
        <v/>
      </c>
      <c r="AF60" s="98"/>
      <c r="AG60" s="105"/>
      <c r="AH60" s="105"/>
      <c r="AI60" s="106"/>
      <c r="AJ60" s="108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22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</row>
    <row r="61" ht="15" customHeight="1" spans="1:136">
      <c r="A61" s="34">
        <v>19</v>
      </c>
      <c r="B61" s="37"/>
      <c r="C61" s="40"/>
      <c r="D61" s="39"/>
      <c r="E61" s="50"/>
      <c r="F61" s="51"/>
      <c r="G61" s="52"/>
      <c r="H61" s="53"/>
      <c r="I61" s="53"/>
      <c r="J61" s="60"/>
      <c r="K61" s="61"/>
      <c r="L61" s="62" t="str">
        <f t="shared" si="48"/>
        <v/>
      </c>
      <c r="M61" s="71" t="str">
        <f t="shared" si="49"/>
        <v/>
      </c>
      <c r="N61" s="72"/>
      <c r="O61" s="70" t="str">
        <f t="shared" si="53"/>
        <v/>
      </c>
      <c r="P61" s="70" t="str">
        <f t="shared" si="54"/>
        <v/>
      </c>
      <c r="Q61" s="70" t="str">
        <f t="shared" si="55"/>
        <v/>
      </c>
      <c r="R61" s="80" t="str">
        <f t="shared" si="56"/>
        <v/>
      </c>
      <c r="S61" s="81" t="str">
        <f t="shared" si="33"/>
        <v/>
      </c>
      <c r="T61" s="82" t="str">
        <f t="shared" si="24"/>
        <v/>
      </c>
      <c r="U61" s="82" t="str">
        <f t="shared" si="25"/>
        <v/>
      </c>
      <c r="V61" s="81" t="str">
        <f t="shared" si="34"/>
        <v/>
      </c>
      <c r="W61" s="81" t="str">
        <f t="shared" si="35"/>
        <v/>
      </c>
      <c r="X61" s="81" t="str">
        <f t="shared" si="41"/>
        <v/>
      </c>
      <c r="Y61" s="88" t="str">
        <f t="shared" si="42"/>
        <v/>
      </c>
      <c r="Z61" s="89" t="str">
        <f t="shared" si="50"/>
        <v/>
      </c>
      <c r="AA61" s="89" t="str">
        <f t="shared" si="51"/>
        <v/>
      </c>
      <c r="AB61" s="89" t="str">
        <f t="shared" si="52"/>
        <v/>
      </c>
      <c r="AC61" s="89" t="str">
        <f t="shared" si="31"/>
        <v/>
      </c>
      <c r="AD61" s="96"/>
      <c r="AE61" s="97" t="str">
        <f t="shared" si="47"/>
        <v/>
      </c>
      <c r="AF61" s="98"/>
      <c r="AG61" s="105"/>
      <c r="AH61" s="105"/>
      <c r="AI61" s="106"/>
      <c r="AJ61" s="108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  <c r="BL61" s="114"/>
      <c r="BM61" s="114"/>
      <c r="BN61" s="114"/>
      <c r="BO61" s="114"/>
      <c r="BP61" s="114"/>
      <c r="BQ61" s="122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</row>
    <row r="62" ht="15" customHeight="1" spans="1:136">
      <c r="A62" s="34">
        <v>20</v>
      </c>
      <c r="B62" s="37"/>
      <c r="C62" s="40"/>
      <c r="D62" s="39"/>
      <c r="E62" s="50"/>
      <c r="F62" s="51"/>
      <c r="G62" s="52"/>
      <c r="H62" s="53"/>
      <c r="I62" s="53"/>
      <c r="J62" s="60"/>
      <c r="K62" s="61"/>
      <c r="L62" s="62" t="str">
        <f t="shared" si="48"/>
        <v/>
      </c>
      <c r="M62" s="71" t="str">
        <f t="shared" si="49"/>
        <v/>
      </c>
      <c r="N62" s="72"/>
      <c r="O62" s="70" t="str">
        <f t="shared" si="53"/>
        <v/>
      </c>
      <c r="P62" s="70" t="str">
        <f t="shared" si="54"/>
        <v/>
      </c>
      <c r="Q62" s="70" t="str">
        <f t="shared" si="55"/>
        <v/>
      </c>
      <c r="R62" s="80" t="str">
        <f t="shared" si="56"/>
        <v/>
      </c>
      <c r="S62" s="81" t="str">
        <f t="shared" si="33"/>
        <v/>
      </c>
      <c r="T62" s="82" t="str">
        <f t="shared" si="24"/>
        <v/>
      </c>
      <c r="U62" s="82" t="str">
        <f t="shared" si="25"/>
        <v/>
      </c>
      <c r="V62" s="81" t="str">
        <f t="shared" si="34"/>
        <v/>
      </c>
      <c r="W62" s="81" t="str">
        <f t="shared" si="35"/>
        <v/>
      </c>
      <c r="X62" s="81" t="str">
        <f t="shared" si="41"/>
        <v/>
      </c>
      <c r="Y62" s="88" t="str">
        <f t="shared" si="42"/>
        <v/>
      </c>
      <c r="Z62" s="89" t="str">
        <f t="shared" si="50"/>
        <v/>
      </c>
      <c r="AA62" s="89" t="str">
        <f t="shared" si="51"/>
        <v/>
      </c>
      <c r="AB62" s="89" t="str">
        <f t="shared" si="52"/>
        <v/>
      </c>
      <c r="AC62" s="89" t="str">
        <f t="shared" si="31"/>
        <v/>
      </c>
      <c r="AD62" s="96"/>
      <c r="AE62" s="97" t="str">
        <f t="shared" si="47"/>
        <v/>
      </c>
      <c r="AF62" s="98"/>
      <c r="AG62" s="105"/>
      <c r="AH62" s="105"/>
      <c r="AI62" s="106"/>
      <c r="AJ62" s="108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22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</row>
    <row r="63" ht="15" customHeight="1" spans="1:136">
      <c r="A63" s="34">
        <v>21</v>
      </c>
      <c r="B63" s="37"/>
      <c r="C63" s="40"/>
      <c r="D63" s="39"/>
      <c r="E63" s="50"/>
      <c r="F63" s="51"/>
      <c r="G63" s="52"/>
      <c r="H63" s="53"/>
      <c r="I63" s="53"/>
      <c r="J63" s="60"/>
      <c r="K63" s="61"/>
      <c r="L63" s="62" t="str">
        <f t="shared" si="48"/>
        <v/>
      </c>
      <c r="M63" s="71" t="str">
        <f t="shared" si="49"/>
        <v/>
      </c>
      <c r="N63" s="72"/>
      <c r="O63" s="70" t="str">
        <f t="shared" si="53"/>
        <v/>
      </c>
      <c r="P63" s="70" t="str">
        <f t="shared" si="54"/>
        <v/>
      </c>
      <c r="Q63" s="70" t="str">
        <f t="shared" si="55"/>
        <v/>
      </c>
      <c r="R63" s="80" t="str">
        <f t="shared" si="56"/>
        <v/>
      </c>
      <c r="S63" s="81" t="str">
        <f t="shared" ref="S63:S101" si="57">IF(OR($AK63="",ISNUMBER($AK63)=FALSE),"",IF(AND(G63=0,I63=0),V63,IF(AND(G63="",H63=""),W63,(H63+ABS(I63))/(6*R63))))</f>
        <v/>
      </c>
      <c r="T63" s="82" t="str">
        <f t="shared" si="24"/>
        <v/>
      </c>
      <c r="U63" s="82" t="str">
        <f t="shared" si="25"/>
        <v/>
      </c>
      <c r="V63" s="81" t="str">
        <f t="shared" ref="V63:V101" si="58">IF(OR($AK63="",ISNUMBER($AK63)=FALSE),"",IF(H63="","",(L63-Q63)/(3*R63)))</f>
        <v/>
      </c>
      <c r="W63" s="81" t="str">
        <f t="shared" ref="W63:W101" si="59">IF(OR($AK63="",ISNUMBER($AK63)=FALSE),"",IF(I63="","",(Q63-M63)/(3*R63)))</f>
        <v/>
      </c>
      <c r="X63" s="81" t="str">
        <f t="shared" si="41"/>
        <v/>
      </c>
      <c r="Y63" s="88" t="str">
        <f t="shared" si="42"/>
        <v/>
      </c>
      <c r="Z63" s="89" t="str">
        <f t="shared" si="50"/>
        <v/>
      </c>
      <c r="AA63" s="89" t="str">
        <f t="shared" si="51"/>
        <v/>
      </c>
      <c r="AB63" s="89" t="str">
        <f t="shared" si="52"/>
        <v/>
      </c>
      <c r="AC63" s="89" t="str">
        <f t="shared" si="31"/>
        <v/>
      </c>
      <c r="AD63" s="96"/>
      <c r="AE63" s="97" t="str">
        <f t="shared" si="47"/>
        <v/>
      </c>
      <c r="AF63" s="98"/>
      <c r="AG63" s="105"/>
      <c r="AH63" s="105"/>
      <c r="AI63" s="106"/>
      <c r="AJ63" s="108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22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</row>
    <row r="64" ht="15" customHeight="1" spans="1:136">
      <c r="A64" s="34">
        <v>22</v>
      </c>
      <c r="B64" s="37"/>
      <c r="C64" s="40"/>
      <c r="D64" s="39"/>
      <c r="E64" s="50"/>
      <c r="F64" s="51"/>
      <c r="G64" s="52"/>
      <c r="H64" s="53"/>
      <c r="I64" s="53"/>
      <c r="J64" s="60"/>
      <c r="K64" s="61"/>
      <c r="L64" s="62" t="str">
        <f t="shared" si="48"/>
        <v/>
      </c>
      <c r="M64" s="71" t="str">
        <f t="shared" si="49"/>
        <v/>
      </c>
      <c r="N64" s="72"/>
      <c r="O64" s="70" t="str">
        <f t="shared" si="53"/>
        <v/>
      </c>
      <c r="P64" s="70" t="str">
        <f t="shared" si="54"/>
        <v/>
      </c>
      <c r="Q64" s="70" t="str">
        <f t="shared" si="55"/>
        <v/>
      </c>
      <c r="R64" s="80" t="str">
        <f t="shared" si="56"/>
        <v/>
      </c>
      <c r="S64" s="81" t="str">
        <f t="shared" si="57"/>
        <v/>
      </c>
      <c r="T64" s="82" t="str">
        <f t="shared" si="24"/>
        <v/>
      </c>
      <c r="U64" s="82" t="str">
        <f t="shared" si="25"/>
        <v/>
      </c>
      <c r="V64" s="81" t="str">
        <f t="shared" si="58"/>
        <v/>
      </c>
      <c r="W64" s="81" t="str">
        <f t="shared" si="59"/>
        <v/>
      </c>
      <c r="X64" s="81" t="str">
        <f t="shared" si="41"/>
        <v/>
      </c>
      <c r="Y64" s="88" t="str">
        <f t="shared" si="42"/>
        <v/>
      </c>
      <c r="Z64" s="89" t="str">
        <f t="shared" si="50"/>
        <v/>
      </c>
      <c r="AA64" s="89" t="str">
        <f t="shared" si="51"/>
        <v/>
      </c>
      <c r="AB64" s="89" t="str">
        <f t="shared" si="52"/>
        <v/>
      </c>
      <c r="AC64" s="89" t="str">
        <f t="shared" si="31"/>
        <v/>
      </c>
      <c r="AD64" s="96"/>
      <c r="AE64" s="97" t="str">
        <f t="shared" si="47"/>
        <v/>
      </c>
      <c r="AF64" s="98"/>
      <c r="AG64" s="105"/>
      <c r="AH64" s="105"/>
      <c r="AI64" s="106"/>
      <c r="AJ64" s="108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22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</row>
    <row r="65" ht="15" customHeight="1" spans="1:136">
      <c r="A65" s="34">
        <v>23</v>
      </c>
      <c r="B65" s="37"/>
      <c r="C65" s="40"/>
      <c r="D65" s="39"/>
      <c r="E65" s="50"/>
      <c r="F65" s="51"/>
      <c r="G65" s="52"/>
      <c r="H65" s="53"/>
      <c r="I65" s="53"/>
      <c r="J65" s="60"/>
      <c r="K65" s="61"/>
      <c r="L65" s="62" t="str">
        <f t="shared" si="48"/>
        <v/>
      </c>
      <c r="M65" s="71" t="str">
        <f t="shared" si="49"/>
        <v/>
      </c>
      <c r="N65" s="72"/>
      <c r="O65" s="70" t="str">
        <f t="shared" si="53"/>
        <v/>
      </c>
      <c r="P65" s="70" t="str">
        <f t="shared" si="54"/>
        <v/>
      </c>
      <c r="Q65" s="70" t="str">
        <f t="shared" si="55"/>
        <v/>
      </c>
      <c r="R65" s="80" t="str">
        <f t="shared" si="56"/>
        <v/>
      </c>
      <c r="S65" s="81" t="str">
        <f t="shared" si="57"/>
        <v/>
      </c>
      <c r="T65" s="82" t="str">
        <f t="shared" si="24"/>
        <v/>
      </c>
      <c r="U65" s="82" t="str">
        <f t="shared" si="25"/>
        <v/>
      </c>
      <c r="V65" s="81" t="str">
        <f t="shared" si="58"/>
        <v/>
      </c>
      <c r="W65" s="81" t="str">
        <f t="shared" si="59"/>
        <v/>
      </c>
      <c r="X65" s="81" t="str">
        <f t="shared" si="41"/>
        <v/>
      </c>
      <c r="Y65" s="88" t="str">
        <f t="shared" si="42"/>
        <v/>
      </c>
      <c r="Z65" s="89" t="str">
        <f t="shared" si="50"/>
        <v/>
      </c>
      <c r="AA65" s="89" t="str">
        <f t="shared" si="51"/>
        <v/>
      </c>
      <c r="AB65" s="89" t="str">
        <f t="shared" si="52"/>
        <v/>
      </c>
      <c r="AC65" s="89" t="str">
        <f t="shared" si="31"/>
        <v/>
      </c>
      <c r="AD65" s="96"/>
      <c r="AE65" s="97" t="str">
        <f t="shared" si="47"/>
        <v/>
      </c>
      <c r="AF65" s="98"/>
      <c r="AG65" s="105"/>
      <c r="AH65" s="105"/>
      <c r="AI65" s="106"/>
      <c r="AJ65" s="108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22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</row>
    <row r="66" ht="15" customHeight="1" spans="1:136">
      <c r="A66" s="34">
        <v>24</v>
      </c>
      <c r="B66" s="37"/>
      <c r="C66" s="40"/>
      <c r="D66" s="39"/>
      <c r="E66" s="50"/>
      <c r="F66" s="51"/>
      <c r="G66" s="52"/>
      <c r="H66" s="53"/>
      <c r="I66" s="53"/>
      <c r="J66" s="60"/>
      <c r="K66" s="61"/>
      <c r="L66" s="62" t="str">
        <f t="shared" si="48"/>
        <v/>
      </c>
      <c r="M66" s="71" t="str">
        <f t="shared" si="49"/>
        <v/>
      </c>
      <c r="N66" s="72"/>
      <c r="O66" s="70" t="str">
        <f t="shared" si="53"/>
        <v/>
      </c>
      <c r="P66" s="70" t="str">
        <f t="shared" si="54"/>
        <v/>
      </c>
      <c r="Q66" s="70" t="str">
        <f t="shared" si="55"/>
        <v/>
      </c>
      <c r="R66" s="80" t="str">
        <f t="shared" si="56"/>
        <v/>
      </c>
      <c r="S66" s="81" t="str">
        <f t="shared" si="57"/>
        <v/>
      </c>
      <c r="T66" s="82" t="str">
        <f t="shared" si="24"/>
        <v/>
      </c>
      <c r="U66" s="82" t="str">
        <f t="shared" si="25"/>
        <v/>
      </c>
      <c r="V66" s="81" t="str">
        <f t="shared" si="58"/>
        <v/>
      </c>
      <c r="W66" s="81" t="str">
        <f t="shared" si="59"/>
        <v/>
      </c>
      <c r="X66" s="81" t="str">
        <f t="shared" si="41"/>
        <v/>
      </c>
      <c r="Y66" s="88" t="str">
        <f t="shared" si="42"/>
        <v/>
      </c>
      <c r="Z66" s="89" t="str">
        <f t="shared" si="50"/>
        <v/>
      </c>
      <c r="AA66" s="89" t="str">
        <f t="shared" si="51"/>
        <v/>
      </c>
      <c r="AB66" s="89" t="str">
        <f t="shared" si="52"/>
        <v/>
      </c>
      <c r="AC66" s="89" t="str">
        <f t="shared" si="31"/>
        <v/>
      </c>
      <c r="AD66" s="96"/>
      <c r="AE66" s="97" t="str">
        <f t="shared" si="47"/>
        <v/>
      </c>
      <c r="AF66" s="98"/>
      <c r="AG66" s="105"/>
      <c r="AH66" s="105"/>
      <c r="AI66" s="106"/>
      <c r="AJ66" s="108"/>
      <c r="AK66" s="114"/>
      <c r="AL66" s="114"/>
      <c r="AM66" s="114"/>
      <c r="AN66" s="114"/>
      <c r="AO66" s="114"/>
      <c r="AP66" s="114"/>
      <c r="AQ66" s="114"/>
      <c r="AR66" s="114"/>
      <c r="AS66" s="114"/>
      <c r="AT66" s="114"/>
      <c r="AU66" s="114"/>
      <c r="AV66" s="114"/>
      <c r="AW66" s="114"/>
      <c r="AX66" s="114"/>
      <c r="AY66" s="114"/>
      <c r="AZ66" s="114"/>
      <c r="BA66" s="114"/>
      <c r="BB66" s="114"/>
      <c r="BC66" s="114"/>
      <c r="BD66" s="114"/>
      <c r="BE66" s="114"/>
      <c r="BF66" s="114"/>
      <c r="BG66" s="114"/>
      <c r="BH66" s="114"/>
      <c r="BI66" s="114"/>
      <c r="BJ66" s="114"/>
      <c r="BK66" s="114"/>
      <c r="BL66" s="114"/>
      <c r="BM66" s="114"/>
      <c r="BN66" s="114"/>
      <c r="BO66" s="114"/>
      <c r="BP66" s="114"/>
      <c r="BQ66" s="122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</row>
    <row r="67" ht="15" customHeight="1" spans="1:136">
      <c r="A67" s="34">
        <v>25</v>
      </c>
      <c r="B67" s="37"/>
      <c r="C67" s="40"/>
      <c r="D67" s="39"/>
      <c r="E67" s="50"/>
      <c r="F67" s="51"/>
      <c r="G67" s="52"/>
      <c r="H67" s="53"/>
      <c r="I67" s="53"/>
      <c r="J67" s="60"/>
      <c r="K67" s="61"/>
      <c r="L67" s="62" t="str">
        <f t="shared" si="48"/>
        <v/>
      </c>
      <c r="M67" s="71" t="str">
        <f t="shared" si="49"/>
        <v/>
      </c>
      <c r="N67" s="72"/>
      <c r="O67" s="70" t="str">
        <f t="shared" si="53"/>
        <v/>
      </c>
      <c r="P67" s="70" t="str">
        <f t="shared" si="54"/>
        <v/>
      </c>
      <c r="Q67" s="70" t="str">
        <f t="shared" si="55"/>
        <v/>
      </c>
      <c r="R67" s="80" t="str">
        <f t="shared" si="56"/>
        <v/>
      </c>
      <c r="S67" s="81" t="str">
        <f t="shared" si="57"/>
        <v/>
      </c>
      <c r="T67" s="82" t="str">
        <f t="shared" si="24"/>
        <v/>
      </c>
      <c r="U67" s="82" t="str">
        <f t="shared" si="25"/>
        <v/>
      </c>
      <c r="V67" s="81" t="str">
        <f t="shared" si="58"/>
        <v/>
      </c>
      <c r="W67" s="81" t="str">
        <f t="shared" si="59"/>
        <v/>
      </c>
      <c r="X67" s="81" t="str">
        <f t="shared" si="41"/>
        <v/>
      </c>
      <c r="Y67" s="88" t="str">
        <f t="shared" si="42"/>
        <v/>
      </c>
      <c r="Z67" s="89" t="str">
        <f t="shared" si="50"/>
        <v/>
      </c>
      <c r="AA67" s="89" t="str">
        <f t="shared" si="51"/>
        <v/>
      </c>
      <c r="AB67" s="89" t="str">
        <f t="shared" si="52"/>
        <v/>
      </c>
      <c r="AC67" s="89" t="str">
        <f t="shared" si="31"/>
        <v/>
      </c>
      <c r="AD67" s="96"/>
      <c r="AE67" s="97" t="str">
        <f t="shared" si="47"/>
        <v/>
      </c>
      <c r="AF67" s="98"/>
      <c r="AG67" s="105"/>
      <c r="AH67" s="105"/>
      <c r="AI67" s="106"/>
      <c r="AJ67" s="108"/>
      <c r="AK67" s="114"/>
      <c r="AL67" s="114"/>
      <c r="AM67" s="114"/>
      <c r="AN67" s="114"/>
      <c r="AO67" s="114"/>
      <c r="AP67" s="114"/>
      <c r="AQ67" s="114"/>
      <c r="AR67" s="114"/>
      <c r="AS67" s="114"/>
      <c r="AT67" s="114"/>
      <c r="AU67" s="114"/>
      <c r="AV67" s="114"/>
      <c r="AW67" s="114"/>
      <c r="AX67" s="114"/>
      <c r="AY67" s="114"/>
      <c r="AZ67" s="114"/>
      <c r="BA67" s="114"/>
      <c r="BB67" s="114"/>
      <c r="BC67" s="114"/>
      <c r="BD67" s="114"/>
      <c r="BE67" s="114"/>
      <c r="BF67" s="114"/>
      <c r="BG67" s="114"/>
      <c r="BH67" s="114"/>
      <c r="BI67" s="114"/>
      <c r="BJ67" s="114"/>
      <c r="BK67" s="114"/>
      <c r="BL67" s="114"/>
      <c r="BM67" s="114"/>
      <c r="BN67" s="114"/>
      <c r="BO67" s="114"/>
      <c r="BP67" s="114"/>
      <c r="BQ67" s="122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</row>
    <row r="68" ht="15" customHeight="1" spans="1:136">
      <c r="A68" s="34">
        <v>26</v>
      </c>
      <c r="B68" s="37"/>
      <c r="C68" s="40"/>
      <c r="D68" s="38"/>
      <c r="E68" s="50"/>
      <c r="F68" s="51"/>
      <c r="G68" s="52"/>
      <c r="H68" s="53"/>
      <c r="I68" s="53"/>
      <c r="J68" s="60"/>
      <c r="K68" s="61"/>
      <c r="L68" s="62" t="str">
        <f t="shared" si="48"/>
        <v/>
      </c>
      <c r="M68" s="71" t="str">
        <f t="shared" si="49"/>
        <v/>
      </c>
      <c r="N68" s="72"/>
      <c r="O68" s="70" t="str">
        <f t="shared" si="53"/>
        <v/>
      </c>
      <c r="P68" s="70" t="str">
        <f t="shared" si="54"/>
        <v/>
      </c>
      <c r="Q68" s="70" t="str">
        <f t="shared" si="55"/>
        <v/>
      </c>
      <c r="R68" s="80" t="str">
        <f t="shared" si="56"/>
        <v/>
      </c>
      <c r="S68" s="81" t="str">
        <f t="shared" si="57"/>
        <v/>
      </c>
      <c r="T68" s="82" t="str">
        <f t="shared" si="24"/>
        <v/>
      </c>
      <c r="U68" s="82" t="str">
        <f t="shared" si="25"/>
        <v/>
      </c>
      <c r="V68" s="81" t="str">
        <f t="shared" si="58"/>
        <v/>
      </c>
      <c r="W68" s="81" t="str">
        <f t="shared" si="59"/>
        <v/>
      </c>
      <c r="X68" s="81" t="str">
        <f t="shared" ref="X68:X106" si="60">IF(OR($AK68="",ISNUMBER($AK68)=FALSE),"",IF(AND(G68=0,I68=0),((H68)-(Q68))/(3*R68),MIN(V68:W68)))</f>
        <v/>
      </c>
      <c r="Y68" s="90" t="str">
        <f t="shared" ref="Y68:Y106" si="61">IF(OR($AK68="",ISNUMBER($AK68)=FALSE),"",IF(AND(G68=0,I68=0),NORMSDIST(3*X68),NORMSDIST(3*X68)+NORMSDIST(6*S68-3*X68)-1))</f>
        <v/>
      </c>
      <c r="Z68" s="89" t="str">
        <f t="shared" si="50"/>
        <v/>
      </c>
      <c r="AA68" s="89" t="str">
        <f t="shared" si="51"/>
        <v/>
      </c>
      <c r="AB68" s="89" t="str">
        <f t="shared" si="52"/>
        <v/>
      </c>
      <c r="AC68" s="89" t="str">
        <f t="shared" ref="AC68:AC131" si="62">IF(OR($S68&gt;$AC$9,$R68=""),"",$AC$9*6*$R68)</f>
        <v/>
      </c>
      <c r="AD68" s="96"/>
      <c r="AE68" s="97" t="str">
        <f t="shared" ref="AE68:AE99" si="63">IF(AD68="","",IF(AD68&gt;=0.966,"Normal","Not Normal"))</f>
        <v/>
      </c>
      <c r="AF68" s="98"/>
      <c r="AG68" s="105"/>
      <c r="AH68" s="105"/>
      <c r="AI68" s="106"/>
      <c r="AJ68" s="108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22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5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</row>
    <row r="69" ht="15" customHeight="1" spans="1:136">
      <c r="A69" s="34">
        <v>27</v>
      </c>
      <c r="B69" s="37"/>
      <c r="C69" s="40"/>
      <c r="D69" s="38"/>
      <c r="E69" s="50"/>
      <c r="F69" s="51"/>
      <c r="G69" s="52"/>
      <c r="H69" s="53"/>
      <c r="I69" s="53"/>
      <c r="J69" s="60"/>
      <c r="K69" s="61"/>
      <c r="L69" s="62" t="str">
        <f t="shared" si="48"/>
        <v/>
      </c>
      <c r="M69" s="71" t="str">
        <f t="shared" si="49"/>
        <v/>
      </c>
      <c r="N69" s="72"/>
      <c r="O69" s="70" t="str">
        <f t="shared" si="53"/>
        <v/>
      </c>
      <c r="P69" s="70" t="str">
        <f t="shared" si="54"/>
        <v/>
      </c>
      <c r="Q69" s="70" t="str">
        <f t="shared" si="55"/>
        <v/>
      </c>
      <c r="R69" s="80" t="str">
        <f t="shared" si="56"/>
        <v/>
      </c>
      <c r="S69" s="81" t="str">
        <f t="shared" si="57"/>
        <v/>
      </c>
      <c r="T69" s="82" t="str">
        <f t="shared" ref="T69:T131" si="64">IF(OR($AK69="",ISNUMBER($AK69)=FALSE),"",IF(AND($F69="Tolerance",$G69&lt;&gt;""),($Q69-$G69)/(($L69-$M69)/2),IF(AND($F69="GD&amp;T",$H69&lt;&gt;""),$Q69/$H69,"")))</f>
        <v/>
      </c>
      <c r="U69" s="82" t="str">
        <f t="shared" ref="U69:U131" si="65">IF($T69="","",IF(ABS($T69)&lt;=0.125,"Level A",IF(AND(ABS($T69)&gt;0.125,ABS($T69)&lt;=0.25),"Level B",IF(AND(ABS($T69)&gt;0.25,ABS($T69)&lt;=0.5),"Level C",IF(ABS($T69)&gt;0.5,"Level D")))))</f>
        <v/>
      </c>
      <c r="V69" s="81" t="str">
        <f t="shared" si="58"/>
        <v/>
      </c>
      <c r="W69" s="81" t="str">
        <f t="shared" si="59"/>
        <v/>
      </c>
      <c r="X69" s="81" t="str">
        <f t="shared" si="60"/>
        <v/>
      </c>
      <c r="Y69" s="90" t="str">
        <f t="shared" si="61"/>
        <v/>
      </c>
      <c r="Z69" s="89" t="str">
        <f t="shared" si="50"/>
        <v/>
      </c>
      <c r="AA69" s="89" t="str">
        <f t="shared" si="51"/>
        <v/>
      </c>
      <c r="AB69" s="89" t="str">
        <f t="shared" si="52"/>
        <v/>
      </c>
      <c r="AC69" s="89" t="str">
        <f t="shared" si="62"/>
        <v/>
      </c>
      <c r="AD69" s="96"/>
      <c r="AE69" s="97" t="str">
        <f t="shared" si="63"/>
        <v/>
      </c>
      <c r="AF69" s="98"/>
      <c r="AG69" s="105"/>
      <c r="AH69" s="105"/>
      <c r="AI69" s="106"/>
      <c r="AJ69" s="108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22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</row>
    <row r="70" ht="15" customHeight="1" spans="1:136">
      <c r="A70" s="34">
        <v>28</v>
      </c>
      <c r="B70" s="37"/>
      <c r="C70" s="40"/>
      <c r="D70" s="38"/>
      <c r="E70" s="50"/>
      <c r="F70" s="51"/>
      <c r="G70" s="52"/>
      <c r="H70" s="53"/>
      <c r="I70" s="53"/>
      <c r="J70" s="60"/>
      <c r="K70" s="61"/>
      <c r="L70" s="62" t="str">
        <f t="shared" si="48"/>
        <v/>
      </c>
      <c r="M70" s="71" t="str">
        <f t="shared" si="49"/>
        <v/>
      </c>
      <c r="N70" s="72"/>
      <c r="O70" s="70" t="str">
        <f t="shared" si="53"/>
        <v/>
      </c>
      <c r="P70" s="70" t="str">
        <f t="shared" si="54"/>
        <v/>
      </c>
      <c r="Q70" s="70" t="str">
        <f t="shared" si="55"/>
        <v/>
      </c>
      <c r="R70" s="80" t="str">
        <f t="shared" si="56"/>
        <v/>
      </c>
      <c r="S70" s="81" t="str">
        <f t="shared" si="57"/>
        <v/>
      </c>
      <c r="T70" s="82" t="str">
        <f t="shared" si="64"/>
        <v/>
      </c>
      <c r="U70" s="82" t="str">
        <f t="shared" si="65"/>
        <v/>
      </c>
      <c r="V70" s="81" t="str">
        <f t="shared" si="58"/>
        <v/>
      </c>
      <c r="W70" s="81" t="str">
        <f t="shared" si="59"/>
        <v/>
      </c>
      <c r="X70" s="81" t="str">
        <f t="shared" si="60"/>
        <v/>
      </c>
      <c r="Y70" s="90" t="str">
        <f t="shared" si="61"/>
        <v/>
      </c>
      <c r="Z70" s="89" t="str">
        <f t="shared" si="50"/>
        <v/>
      </c>
      <c r="AA70" s="89" t="str">
        <f t="shared" si="51"/>
        <v/>
      </c>
      <c r="AB70" s="89" t="str">
        <f t="shared" si="52"/>
        <v/>
      </c>
      <c r="AC70" s="89" t="str">
        <f t="shared" si="62"/>
        <v/>
      </c>
      <c r="AD70" s="96"/>
      <c r="AE70" s="97" t="str">
        <f t="shared" si="63"/>
        <v/>
      </c>
      <c r="AF70" s="98"/>
      <c r="AG70" s="105"/>
      <c r="AH70" s="105"/>
      <c r="AI70" s="106"/>
      <c r="AJ70" s="108"/>
      <c r="AK70" s="114"/>
      <c r="AL70" s="114"/>
      <c r="AM70" s="114"/>
      <c r="AN70" s="114"/>
      <c r="AO70" s="114"/>
      <c r="AP70" s="114"/>
      <c r="AQ70" s="114"/>
      <c r="AR70" s="114"/>
      <c r="AS70" s="114"/>
      <c r="AT70" s="114"/>
      <c r="AU70" s="114"/>
      <c r="AV70" s="114"/>
      <c r="AW70" s="114"/>
      <c r="AX70" s="114"/>
      <c r="AY70" s="114"/>
      <c r="AZ70" s="114"/>
      <c r="BA70" s="114"/>
      <c r="BB70" s="114"/>
      <c r="BC70" s="114"/>
      <c r="BD70" s="114"/>
      <c r="BE70" s="114"/>
      <c r="BF70" s="114"/>
      <c r="BG70" s="114"/>
      <c r="BH70" s="114"/>
      <c r="BI70" s="114"/>
      <c r="BJ70" s="114"/>
      <c r="BK70" s="114"/>
      <c r="BL70" s="114"/>
      <c r="BM70" s="114"/>
      <c r="BN70" s="114"/>
      <c r="BO70" s="114"/>
      <c r="BP70" s="114"/>
      <c r="BQ70" s="122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</row>
    <row r="71" ht="15" customHeight="1" spans="1:136">
      <c r="A71" s="34">
        <v>29</v>
      </c>
      <c r="B71" s="37"/>
      <c r="C71" s="40"/>
      <c r="D71" s="38"/>
      <c r="E71" s="50"/>
      <c r="F71" s="51"/>
      <c r="G71" s="52"/>
      <c r="H71" s="53"/>
      <c r="I71" s="53"/>
      <c r="J71" s="60"/>
      <c r="K71" s="61"/>
      <c r="L71" s="62" t="str">
        <f t="shared" si="48"/>
        <v/>
      </c>
      <c r="M71" s="71" t="str">
        <f t="shared" si="49"/>
        <v/>
      </c>
      <c r="N71" s="72"/>
      <c r="O71" s="70" t="str">
        <f t="shared" si="53"/>
        <v/>
      </c>
      <c r="P71" s="70" t="str">
        <f t="shared" si="54"/>
        <v/>
      </c>
      <c r="Q71" s="70" t="str">
        <f t="shared" si="55"/>
        <v/>
      </c>
      <c r="R71" s="80" t="str">
        <f t="shared" si="56"/>
        <v/>
      </c>
      <c r="S71" s="81" t="str">
        <f t="shared" si="57"/>
        <v/>
      </c>
      <c r="T71" s="82" t="str">
        <f t="shared" si="64"/>
        <v/>
      </c>
      <c r="U71" s="82" t="str">
        <f t="shared" si="65"/>
        <v/>
      </c>
      <c r="V71" s="81" t="str">
        <f t="shared" si="58"/>
        <v/>
      </c>
      <c r="W71" s="81" t="str">
        <f t="shared" si="59"/>
        <v/>
      </c>
      <c r="X71" s="81" t="str">
        <f t="shared" si="60"/>
        <v/>
      </c>
      <c r="Y71" s="90" t="str">
        <f t="shared" si="61"/>
        <v/>
      </c>
      <c r="Z71" s="89" t="str">
        <f t="shared" si="50"/>
        <v/>
      </c>
      <c r="AA71" s="89" t="str">
        <f t="shared" si="51"/>
        <v/>
      </c>
      <c r="AB71" s="89" t="str">
        <f t="shared" si="52"/>
        <v/>
      </c>
      <c r="AC71" s="89" t="str">
        <f t="shared" si="62"/>
        <v/>
      </c>
      <c r="AD71" s="96"/>
      <c r="AE71" s="97" t="str">
        <f t="shared" si="63"/>
        <v/>
      </c>
      <c r="AF71" s="98"/>
      <c r="AG71" s="105"/>
      <c r="AH71" s="105"/>
      <c r="AI71" s="106"/>
      <c r="AJ71" s="108"/>
      <c r="AK71" s="114"/>
      <c r="AL71" s="114"/>
      <c r="AM71" s="114"/>
      <c r="AN71" s="114"/>
      <c r="AO71" s="114"/>
      <c r="AP71" s="114"/>
      <c r="AQ71" s="114"/>
      <c r="AR71" s="114"/>
      <c r="AS71" s="114"/>
      <c r="AT71" s="114"/>
      <c r="AU71" s="114"/>
      <c r="AV71" s="114"/>
      <c r="AW71" s="114"/>
      <c r="AX71" s="114"/>
      <c r="AY71" s="114"/>
      <c r="AZ71" s="114"/>
      <c r="BA71" s="114"/>
      <c r="BB71" s="114"/>
      <c r="BC71" s="114"/>
      <c r="BD71" s="114"/>
      <c r="BE71" s="114"/>
      <c r="BF71" s="114"/>
      <c r="BG71" s="114"/>
      <c r="BH71" s="114"/>
      <c r="BI71" s="114"/>
      <c r="BJ71" s="114"/>
      <c r="BK71" s="114"/>
      <c r="BL71" s="114"/>
      <c r="BM71" s="114"/>
      <c r="BN71" s="114"/>
      <c r="BO71" s="114"/>
      <c r="BP71" s="114"/>
      <c r="BQ71" s="124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5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</row>
    <row r="72" ht="15" customHeight="1" spans="1:136">
      <c r="A72" s="34">
        <v>30</v>
      </c>
      <c r="B72" s="37"/>
      <c r="C72" s="40"/>
      <c r="D72" s="38"/>
      <c r="E72" s="50"/>
      <c r="F72" s="51"/>
      <c r="G72" s="52"/>
      <c r="H72" s="53"/>
      <c r="I72" s="53"/>
      <c r="J72" s="60"/>
      <c r="K72" s="61"/>
      <c r="L72" s="62" t="str">
        <f t="shared" si="48"/>
        <v/>
      </c>
      <c r="M72" s="71" t="str">
        <f t="shared" si="49"/>
        <v/>
      </c>
      <c r="N72" s="72"/>
      <c r="O72" s="70" t="str">
        <f t="shared" si="53"/>
        <v/>
      </c>
      <c r="P72" s="70" t="str">
        <f t="shared" si="54"/>
        <v/>
      </c>
      <c r="Q72" s="70" t="str">
        <f t="shared" si="55"/>
        <v/>
      </c>
      <c r="R72" s="80" t="str">
        <f t="shared" si="56"/>
        <v/>
      </c>
      <c r="S72" s="81" t="str">
        <f t="shared" si="57"/>
        <v/>
      </c>
      <c r="T72" s="82" t="str">
        <f t="shared" si="64"/>
        <v/>
      </c>
      <c r="U72" s="82" t="str">
        <f t="shared" si="65"/>
        <v/>
      </c>
      <c r="V72" s="81" t="str">
        <f t="shared" si="58"/>
        <v/>
      </c>
      <c r="W72" s="81" t="str">
        <f t="shared" si="59"/>
        <v/>
      </c>
      <c r="X72" s="81" t="str">
        <f t="shared" si="60"/>
        <v/>
      </c>
      <c r="Y72" s="90" t="str">
        <f t="shared" si="61"/>
        <v/>
      </c>
      <c r="Z72" s="89" t="str">
        <f t="shared" si="50"/>
        <v/>
      </c>
      <c r="AA72" s="89" t="str">
        <f t="shared" si="51"/>
        <v/>
      </c>
      <c r="AB72" s="89" t="str">
        <f t="shared" si="52"/>
        <v/>
      </c>
      <c r="AC72" s="89" t="str">
        <f t="shared" si="62"/>
        <v/>
      </c>
      <c r="AD72" s="96"/>
      <c r="AE72" s="97" t="str">
        <f t="shared" si="63"/>
        <v/>
      </c>
      <c r="AF72" s="98"/>
      <c r="AG72" s="105"/>
      <c r="AH72" s="105"/>
      <c r="AI72" s="106"/>
      <c r="AJ72" s="108"/>
      <c r="AK72" s="114"/>
      <c r="AL72" s="114"/>
      <c r="AM72" s="114"/>
      <c r="AN72" s="114"/>
      <c r="AO72" s="114"/>
      <c r="AP72" s="114"/>
      <c r="AQ72" s="114"/>
      <c r="AR72" s="114"/>
      <c r="AS72" s="114"/>
      <c r="AT72" s="114"/>
      <c r="AU72" s="114"/>
      <c r="AV72" s="114"/>
      <c r="AW72" s="114"/>
      <c r="AX72" s="114"/>
      <c r="AY72" s="114"/>
      <c r="AZ72" s="114"/>
      <c r="BA72" s="114"/>
      <c r="BB72" s="114"/>
      <c r="BC72" s="114"/>
      <c r="BD72" s="114"/>
      <c r="BE72" s="114"/>
      <c r="BF72" s="114"/>
      <c r="BG72" s="114"/>
      <c r="BH72" s="114"/>
      <c r="BI72" s="114"/>
      <c r="BJ72" s="114"/>
      <c r="BK72" s="114"/>
      <c r="BL72" s="114"/>
      <c r="BM72" s="114"/>
      <c r="BN72" s="114"/>
      <c r="BO72" s="114"/>
      <c r="BP72" s="114"/>
      <c r="BQ72" s="122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</row>
    <row r="73" ht="15" customHeight="1" spans="1:136">
      <c r="A73" s="34">
        <v>31</v>
      </c>
      <c r="B73" s="37"/>
      <c r="C73" s="40"/>
      <c r="D73" s="39"/>
      <c r="E73" s="50"/>
      <c r="F73" s="51"/>
      <c r="G73" s="52"/>
      <c r="H73" s="53"/>
      <c r="I73" s="53"/>
      <c r="J73" s="60"/>
      <c r="K73" s="61"/>
      <c r="L73" s="62" t="str">
        <f t="shared" si="48"/>
        <v/>
      </c>
      <c r="M73" s="71" t="str">
        <f t="shared" si="49"/>
        <v/>
      </c>
      <c r="N73" s="72"/>
      <c r="O73" s="70" t="str">
        <f t="shared" si="53"/>
        <v/>
      </c>
      <c r="P73" s="70" t="str">
        <f t="shared" si="54"/>
        <v/>
      </c>
      <c r="Q73" s="70" t="str">
        <f t="shared" si="55"/>
        <v/>
      </c>
      <c r="R73" s="80" t="str">
        <f t="shared" si="56"/>
        <v/>
      </c>
      <c r="S73" s="81" t="str">
        <f t="shared" si="57"/>
        <v/>
      </c>
      <c r="T73" s="82" t="str">
        <f t="shared" si="64"/>
        <v/>
      </c>
      <c r="U73" s="82" t="str">
        <f t="shared" si="65"/>
        <v/>
      </c>
      <c r="V73" s="81" t="str">
        <f t="shared" si="58"/>
        <v/>
      </c>
      <c r="W73" s="81" t="str">
        <f t="shared" si="59"/>
        <v/>
      </c>
      <c r="X73" s="81" t="str">
        <f t="shared" si="60"/>
        <v/>
      </c>
      <c r="Y73" s="90" t="str">
        <f t="shared" si="61"/>
        <v/>
      </c>
      <c r="Z73" s="89" t="str">
        <f t="shared" si="50"/>
        <v/>
      </c>
      <c r="AA73" s="89" t="str">
        <f t="shared" si="51"/>
        <v/>
      </c>
      <c r="AB73" s="89" t="str">
        <f t="shared" si="52"/>
        <v/>
      </c>
      <c r="AC73" s="89" t="str">
        <f t="shared" si="62"/>
        <v/>
      </c>
      <c r="AD73" s="96"/>
      <c r="AE73" s="97" t="str">
        <f t="shared" si="63"/>
        <v/>
      </c>
      <c r="AF73" s="98"/>
      <c r="AG73" s="105"/>
      <c r="AH73" s="105"/>
      <c r="AI73" s="106"/>
      <c r="AJ73" s="108"/>
      <c r="AK73" s="114"/>
      <c r="AL73" s="114"/>
      <c r="AM73" s="114"/>
      <c r="AN73" s="114"/>
      <c r="AO73" s="1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/>
      <c r="BM73" s="114"/>
      <c r="BN73" s="114"/>
      <c r="BO73" s="114"/>
      <c r="BP73" s="114"/>
      <c r="BQ73" s="122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</row>
    <row r="74" ht="15" customHeight="1" spans="1:136">
      <c r="A74" s="34">
        <v>32</v>
      </c>
      <c r="B74" s="37"/>
      <c r="C74" s="40"/>
      <c r="D74" s="38"/>
      <c r="E74" s="50"/>
      <c r="F74" s="51"/>
      <c r="G74" s="52"/>
      <c r="H74" s="53"/>
      <c r="I74" s="53"/>
      <c r="J74" s="60"/>
      <c r="K74" s="61"/>
      <c r="L74" s="62" t="str">
        <f t="shared" si="48"/>
        <v/>
      </c>
      <c r="M74" s="71" t="str">
        <f t="shared" si="49"/>
        <v/>
      </c>
      <c r="N74" s="72"/>
      <c r="O74" s="70" t="str">
        <f t="shared" si="53"/>
        <v/>
      </c>
      <c r="P74" s="70" t="str">
        <f t="shared" si="54"/>
        <v/>
      </c>
      <c r="Q74" s="70" t="str">
        <f t="shared" si="55"/>
        <v/>
      </c>
      <c r="R74" s="80" t="str">
        <f t="shared" si="56"/>
        <v/>
      </c>
      <c r="S74" s="81" t="str">
        <f t="shared" si="57"/>
        <v/>
      </c>
      <c r="T74" s="82" t="str">
        <f t="shared" si="64"/>
        <v/>
      </c>
      <c r="U74" s="82" t="str">
        <f t="shared" si="65"/>
        <v/>
      </c>
      <c r="V74" s="81" t="str">
        <f t="shared" si="58"/>
        <v/>
      </c>
      <c r="W74" s="81" t="str">
        <f t="shared" si="59"/>
        <v/>
      </c>
      <c r="X74" s="81" t="str">
        <f t="shared" si="60"/>
        <v/>
      </c>
      <c r="Y74" s="90" t="str">
        <f t="shared" si="61"/>
        <v/>
      </c>
      <c r="Z74" s="89" t="str">
        <f t="shared" si="50"/>
        <v/>
      </c>
      <c r="AA74" s="89" t="str">
        <f t="shared" si="51"/>
        <v/>
      </c>
      <c r="AB74" s="89" t="str">
        <f t="shared" si="52"/>
        <v/>
      </c>
      <c r="AC74" s="89" t="str">
        <f t="shared" si="62"/>
        <v/>
      </c>
      <c r="AD74" s="96"/>
      <c r="AE74" s="97" t="str">
        <f t="shared" si="63"/>
        <v/>
      </c>
      <c r="AF74" s="98"/>
      <c r="AG74" s="105"/>
      <c r="AH74" s="105"/>
      <c r="AI74" s="106"/>
      <c r="AJ74" s="108"/>
      <c r="AK74" s="114"/>
      <c r="AL74" s="114"/>
      <c r="AM74" s="114"/>
      <c r="AN74" s="114"/>
      <c r="AO74" s="1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/>
      <c r="BM74" s="114"/>
      <c r="BN74" s="114"/>
      <c r="BO74" s="114"/>
      <c r="BP74" s="114"/>
      <c r="BQ74" s="122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</row>
    <row r="75" ht="15" customHeight="1" spans="1:136">
      <c r="A75" s="34">
        <v>33</v>
      </c>
      <c r="B75" s="37"/>
      <c r="C75" s="40"/>
      <c r="D75" s="38"/>
      <c r="E75" s="50"/>
      <c r="F75" s="51"/>
      <c r="G75" s="52"/>
      <c r="H75" s="53"/>
      <c r="I75" s="53"/>
      <c r="J75" s="60"/>
      <c r="K75" s="61"/>
      <c r="L75" s="62" t="str">
        <f t="shared" si="48"/>
        <v/>
      </c>
      <c r="M75" s="71" t="str">
        <f t="shared" si="49"/>
        <v/>
      </c>
      <c r="N75" s="72"/>
      <c r="O75" s="70" t="str">
        <f t="shared" si="53"/>
        <v/>
      </c>
      <c r="P75" s="70" t="str">
        <f t="shared" si="54"/>
        <v/>
      </c>
      <c r="Q75" s="70" t="str">
        <f t="shared" si="55"/>
        <v/>
      </c>
      <c r="R75" s="80" t="str">
        <f t="shared" si="56"/>
        <v/>
      </c>
      <c r="S75" s="81" t="str">
        <f t="shared" si="57"/>
        <v/>
      </c>
      <c r="T75" s="82" t="str">
        <f t="shared" si="64"/>
        <v/>
      </c>
      <c r="U75" s="82" t="str">
        <f t="shared" si="65"/>
        <v/>
      </c>
      <c r="V75" s="81" t="str">
        <f t="shared" si="58"/>
        <v/>
      </c>
      <c r="W75" s="81" t="str">
        <f t="shared" si="59"/>
        <v/>
      </c>
      <c r="X75" s="81" t="str">
        <f t="shared" si="60"/>
        <v/>
      </c>
      <c r="Y75" s="90" t="str">
        <f t="shared" si="61"/>
        <v/>
      </c>
      <c r="Z75" s="89" t="str">
        <f t="shared" si="50"/>
        <v/>
      </c>
      <c r="AA75" s="89" t="str">
        <f t="shared" si="51"/>
        <v/>
      </c>
      <c r="AB75" s="89" t="str">
        <f t="shared" si="52"/>
        <v/>
      </c>
      <c r="AC75" s="89" t="str">
        <f t="shared" si="62"/>
        <v/>
      </c>
      <c r="AD75" s="96"/>
      <c r="AE75" s="97" t="str">
        <f t="shared" si="63"/>
        <v/>
      </c>
      <c r="AF75" s="98"/>
      <c r="AG75" s="105"/>
      <c r="AH75" s="105"/>
      <c r="AI75" s="106"/>
      <c r="AJ75" s="108"/>
      <c r="AK75" s="114"/>
      <c r="AL75" s="114"/>
      <c r="AM75" s="114"/>
      <c r="AN75" s="114"/>
      <c r="AO75" s="114"/>
      <c r="AP75" s="114"/>
      <c r="AQ75" s="114"/>
      <c r="AR75" s="114"/>
      <c r="AS75" s="114"/>
      <c r="AT75" s="114"/>
      <c r="AU75" s="114"/>
      <c r="AV75" s="114"/>
      <c r="AW75" s="114"/>
      <c r="AX75" s="114"/>
      <c r="AY75" s="114"/>
      <c r="AZ75" s="114"/>
      <c r="BA75" s="114"/>
      <c r="BB75" s="114"/>
      <c r="BC75" s="114"/>
      <c r="BD75" s="114"/>
      <c r="BE75" s="114"/>
      <c r="BF75" s="114"/>
      <c r="BG75" s="114"/>
      <c r="BH75" s="114"/>
      <c r="BI75" s="114"/>
      <c r="BJ75" s="114"/>
      <c r="BK75" s="114"/>
      <c r="BL75" s="114"/>
      <c r="BM75" s="114"/>
      <c r="BN75" s="114"/>
      <c r="BO75" s="114"/>
      <c r="BP75" s="114"/>
      <c r="BQ75" s="122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</row>
    <row r="76" ht="15" customHeight="1" spans="1:136">
      <c r="A76" s="34">
        <v>34</v>
      </c>
      <c r="B76" s="37"/>
      <c r="C76" s="40"/>
      <c r="D76" s="38"/>
      <c r="E76" s="50"/>
      <c r="F76" s="51"/>
      <c r="G76" s="52"/>
      <c r="H76" s="53"/>
      <c r="I76" s="53"/>
      <c r="J76" s="60"/>
      <c r="K76" s="61"/>
      <c r="L76" s="62" t="str">
        <f t="shared" si="48"/>
        <v/>
      </c>
      <c r="M76" s="71" t="str">
        <f t="shared" si="49"/>
        <v/>
      </c>
      <c r="N76" s="72"/>
      <c r="O76" s="70" t="str">
        <f t="shared" si="53"/>
        <v/>
      </c>
      <c r="P76" s="70" t="str">
        <f t="shared" si="54"/>
        <v/>
      </c>
      <c r="Q76" s="70" t="str">
        <f t="shared" si="55"/>
        <v/>
      </c>
      <c r="R76" s="80" t="str">
        <f t="shared" si="56"/>
        <v/>
      </c>
      <c r="S76" s="81" t="str">
        <f t="shared" si="57"/>
        <v/>
      </c>
      <c r="T76" s="82" t="str">
        <f t="shared" si="64"/>
        <v/>
      </c>
      <c r="U76" s="82" t="str">
        <f t="shared" si="65"/>
        <v/>
      </c>
      <c r="V76" s="81" t="str">
        <f t="shared" si="58"/>
        <v/>
      </c>
      <c r="W76" s="81" t="str">
        <f t="shared" si="59"/>
        <v/>
      </c>
      <c r="X76" s="81" t="str">
        <f t="shared" si="60"/>
        <v/>
      </c>
      <c r="Y76" s="90" t="str">
        <f t="shared" si="61"/>
        <v/>
      </c>
      <c r="Z76" s="89" t="str">
        <f t="shared" si="50"/>
        <v/>
      </c>
      <c r="AA76" s="89" t="str">
        <f t="shared" si="51"/>
        <v/>
      </c>
      <c r="AB76" s="89" t="str">
        <f t="shared" si="52"/>
        <v/>
      </c>
      <c r="AC76" s="89" t="str">
        <f t="shared" si="62"/>
        <v/>
      </c>
      <c r="AD76" s="96"/>
      <c r="AE76" s="97" t="str">
        <f t="shared" si="63"/>
        <v/>
      </c>
      <c r="AF76" s="98"/>
      <c r="AG76" s="105"/>
      <c r="AH76" s="105"/>
      <c r="AI76" s="106"/>
      <c r="AJ76" s="108"/>
      <c r="AK76" s="114"/>
      <c r="AL76" s="114"/>
      <c r="AM76" s="114"/>
      <c r="AN76" s="114"/>
      <c r="AO76" s="114"/>
      <c r="AP76" s="114"/>
      <c r="AQ76" s="114"/>
      <c r="AR76" s="114"/>
      <c r="AS76" s="114"/>
      <c r="AT76" s="114"/>
      <c r="AU76" s="114"/>
      <c r="AV76" s="114"/>
      <c r="AW76" s="114"/>
      <c r="AX76" s="114"/>
      <c r="AY76" s="114"/>
      <c r="AZ76" s="114"/>
      <c r="BA76" s="114"/>
      <c r="BB76" s="114"/>
      <c r="BC76" s="114"/>
      <c r="BD76" s="114"/>
      <c r="BE76" s="114"/>
      <c r="BF76" s="114"/>
      <c r="BG76" s="114"/>
      <c r="BH76" s="114"/>
      <c r="BI76" s="114"/>
      <c r="BJ76" s="114"/>
      <c r="BK76" s="114"/>
      <c r="BL76" s="114"/>
      <c r="BM76" s="114"/>
      <c r="BN76" s="114"/>
      <c r="BO76" s="114"/>
      <c r="BP76" s="114"/>
      <c r="BQ76" s="122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</row>
    <row r="77" ht="15" customHeight="1" spans="1:136">
      <c r="A77" s="34">
        <v>35</v>
      </c>
      <c r="B77" s="37"/>
      <c r="C77" s="40"/>
      <c r="D77" s="38"/>
      <c r="E77" s="50"/>
      <c r="F77" s="51"/>
      <c r="G77" s="52"/>
      <c r="H77" s="53"/>
      <c r="I77" s="53"/>
      <c r="J77" s="60"/>
      <c r="K77" s="61"/>
      <c r="L77" s="62" t="str">
        <f t="shared" si="48"/>
        <v/>
      </c>
      <c r="M77" s="71" t="str">
        <f t="shared" si="49"/>
        <v/>
      </c>
      <c r="N77" s="72"/>
      <c r="O77" s="70" t="str">
        <f t="shared" si="53"/>
        <v/>
      </c>
      <c r="P77" s="70" t="str">
        <f t="shared" si="54"/>
        <v/>
      </c>
      <c r="Q77" s="70" t="str">
        <f t="shared" si="55"/>
        <v/>
      </c>
      <c r="R77" s="80" t="str">
        <f t="shared" si="56"/>
        <v/>
      </c>
      <c r="S77" s="81" t="str">
        <f t="shared" si="57"/>
        <v/>
      </c>
      <c r="T77" s="82" t="str">
        <f t="shared" si="64"/>
        <v/>
      </c>
      <c r="U77" s="82" t="str">
        <f t="shared" si="65"/>
        <v/>
      </c>
      <c r="V77" s="81" t="str">
        <f t="shared" si="58"/>
        <v/>
      </c>
      <c r="W77" s="81" t="str">
        <f t="shared" si="59"/>
        <v/>
      </c>
      <c r="X77" s="81" t="str">
        <f t="shared" si="60"/>
        <v/>
      </c>
      <c r="Y77" s="90" t="str">
        <f t="shared" si="61"/>
        <v/>
      </c>
      <c r="Z77" s="89" t="str">
        <f t="shared" si="50"/>
        <v/>
      </c>
      <c r="AA77" s="89" t="str">
        <f t="shared" si="51"/>
        <v/>
      </c>
      <c r="AB77" s="89" t="str">
        <f t="shared" si="52"/>
        <v/>
      </c>
      <c r="AC77" s="89" t="str">
        <f t="shared" si="62"/>
        <v/>
      </c>
      <c r="AD77" s="96"/>
      <c r="AE77" s="97" t="str">
        <f t="shared" si="63"/>
        <v/>
      </c>
      <c r="AF77" s="98"/>
      <c r="AG77" s="105"/>
      <c r="AH77" s="105"/>
      <c r="AI77" s="106"/>
      <c r="AJ77" s="108"/>
      <c r="AK77" s="114"/>
      <c r="AL77" s="114"/>
      <c r="AM77" s="114"/>
      <c r="AN77" s="114"/>
      <c r="AO77" s="114"/>
      <c r="AP77" s="114"/>
      <c r="AQ77" s="114"/>
      <c r="AR77" s="114"/>
      <c r="AS77" s="114"/>
      <c r="AT77" s="114"/>
      <c r="AU77" s="114"/>
      <c r="AV77" s="114"/>
      <c r="AW77" s="114"/>
      <c r="AX77" s="114"/>
      <c r="AY77" s="114"/>
      <c r="AZ77" s="114"/>
      <c r="BA77" s="114"/>
      <c r="BB77" s="114"/>
      <c r="BC77" s="114"/>
      <c r="BD77" s="114"/>
      <c r="BE77" s="114"/>
      <c r="BF77" s="114"/>
      <c r="BG77" s="114"/>
      <c r="BH77" s="114"/>
      <c r="BI77" s="114"/>
      <c r="BJ77" s="114"/>
      <c r="BK77" s="114"/>
      <c r="BL77" s="114"/>
      <c r="BM77" s="114"/>
      <c r="BN77" s="114"/>
      <c r="BO77" s="114"/>
      <c r="BP77" s="114"/>
      <c r="BQ77" s="122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</row>
    <row r="78" ht="15" customHeight="1" spans="1:136">
      <c r="A78" s="41">
        <v>36</v>
      </c>
      <c r="B78" s="37"/>
      <c r="C78" s="40"/>
      <c r="D78" s="38"/>
      <c r="E78" s="50"/>
      <c r="F78" s="51"/>
      <c r="G78" s="52"/>
      <c r="H78" s="53"/>
      <c r="I78" s="53"/>
      <c r="J78" s="60"/>
      <c r="K78" s="61"/>
      <c r="L78" s="62" t="str">
        <f t="shared" si="48"/>
        <v/>
      </c>
      <c r="M78" s="71" t="str">
        <f t="shared" si="49"/>
        <v/>
      </c>
      <c r="N78" s="73"/>
      <c r="O78" s="70" t="str">
        <f t="shared" si="53"/>
        <v/>
      </c>
      <c r="P78" s="70" t="str">
        <f t="shared" si="54"/>
        <v/>
      </c>
      <c r="Q78" s="70" t="str">
        <f t="shared" si="55"/>
        <v/>
      </c>
      <c r="R78" s="80" t="str">
        <f t="shared" si="56"/>
        <v/>
      </c>
      <c r="S78" s="81" t="str">
        <f t="shared" si="57"/>
        <v/>
      </c>
      <c r="T78" s="82" t="str">
        <f t="shared" si="64"/>
        <v/>
      </c>
      <c r="U78" s="82" t="str">
        <f t="shared" si="65"/>
        <v/>
      </c>
      <c r="V78" s="81" t="str">
        <f t="shared" si="58"/>
        <v/>
      </c>
      <c r="W78" s="81" t="str">
        <f t="shared" si="59"/>
        <v/>
      </c>
      <c r="X78" s="81" t="str">
        <f t="shared" si="60"/>
        <v/>
      </c>
      <c r="Y78" s="90" t="str">
        <f t="shared" si="61"/>
        <v/>
      </c>
      <c r="Z78" s="89" t="str">
        <f t="shared" si="50"/>
        <v/>
      </c>
      <c r="AA78" s="89" t="str">
        <f t="shared" si="51"/>
        <v/>
      </c>
      <c r="AB78" s="89" t="str">
        <f t="shared" si="52"/>
        <v/>
      </c>
      <c r="AC78" s="89" t="str">
        <f t="shared" si="62"/>
        <v/>
      </c>
      <c r="AD78" s="96"/>
      <c r="AE78" s="97" t="str">
        <f t="shared" si="63"/>
        <v/>
      </c>
      <c r="AF78" s="98"/>
      <c r="AG78" s="105"/>
      <c r="AH78" s="105"/>
      <c r="AI78" s="106"/>
      <c r="AJ78" s="108"/>
      <c r="AK78" s="114"/>
      <c r="AL78" s="114"/>
      <c r="AM78" s="114"/>
      <c r="AN78" s="114"/>
      <c r="AO78" s="114"/>
      <c r="AP78" s="114"/>
      <c r="AQ78" s="114"/>
      <c r="AR78" s="114"/>
      <c r="AS78" s="114"/>
      <c r="AT78" s="114"/>
      <c r="AU78" s="114"/>
      <c r="AV78" s="114"/>
      <c r="AW78" s="114"/>
      <c r="AX78" s="114"/>
      <c r="AY78" s="114"/>
      <c r="AZ78" s="114"/>
      <c r="BA78" s="114"/>
      <c r="BB78" s="114"/>
      <c r="BC78" s="114"/>
      <c r="BD78" s="114"/>
      <c r="BE78" s="114"/>
      <c r="BF78" s="114"/>
      <c r="BG78" s="114"/>
      <c r="BH78" s="114"/>
      <c r="BI78" s="114"/>
      <c r="BJ78" s="114"/>
      <c r="BK78" s="114"/>
      <c r="BL78" s="114"/>
      <c r="BM78" s="114"/>
      <c r="BN78" s="114"/>
      <c r="BO78" s="114"/>
      <c r="BP78" s="114"/>
      <c r="BQ78" s="122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</row>
    <row r="79" ht="15" customHeight="1" spans="1:136">
      <c r="A79" s="34">
        <v>37</v>
      </c>
      <c r="B79" s="37"/>
      <c r="C79" s="40"/>
      <c r="D79" s="38"/>
      <c r="E79" s="50"/>
      <c r="F79" s="51"/>
      <c r="G79" s="52"/>
      <c r="H79" s="53"/>
      <c r="I79" s="53"/>
      <c r="J79" s="60"/>
      <c r="K79" s="61"/>
      <c r="L79" s="62" t="str">
        <f t="shared" si="48"/>
        <v/>
      </c>
      <c r="M79" s="71" t="str">
        <f t="shared" si="49"/>
        <v/>
      </c>
      <c r="N79" s="72"/>
      <c r="O79" s="70" t="str">
        <f t="shared" si="53"/>
        <v/>
      </c>
      <c r="P79" s="70" t="str">
        <f t="shared" si="54"/>
        <v/>
      </c>
      <c r="Q79" s="70" t="str">
        <f t="shared" si="55"/>
        <v/>
      </c>
      <c r="R79" s="80" t="str">
        <f t="shared" si="56"/>
        <v/>
      </c>
      <c r="S79" s="81" t="str">
        <f t="shared" si="57"/>
        <v/>
      </c>
      <c r="T79" s="82" t="str">
        <f t="shared" si="64"/>
        <v/>
      </c>
      <c r="U79" s="82" t="str">
        <f t="shared" si="65"/>
        <v/>
      </c>
      <c r="V79" s="81" t="str">
        <f t="shared" si="58"/>
        <v/>
      </c>
      <c r="W79" s="81" t="str">
        <f t="shared" si="59"/>
        <v/>
      </c>
      <c r="X79" s="81" t="str">
        <f t="shared" si="60"/>
        <v/>
      </c>
      <c r="Y79" s="90" t="str">
        <f t="shared" si="61"/>
        <v/>
      </c>
      <c r="Z79" s="89" t="str">
        <f t="shared" si="50"/>
        <v/>
      </c>
      <c r="AA79" s="89" t="str">
        <f t="shared" si="51"/>
        <v/>
      </c>
      <c r="AB79" s="89" t="str">
        <f t="shared" si="52"/>
        <v/>
      </c>
      <c r="AC79" s="89" t="str">
        <f t="shared" si="62"/>
        <v/>
      </c>
      <c r="AD79" s="96"/>
      <c r="AE79" s="97" t="str">
        <f t="shared" si="63"/>
        <v/>
      </c>
      <c r="AF79" s="98"/>
      <c r="AG79" s="105"/>
      <c r="AH79" s="105"/>
      <c r="AI79" s="106"/>
      <c r="AJ79" s="108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/>
      <c r="AY79" s="114"/>
      <c r="AZ79" s="114"/>
      <c r="BA79" s="114"/>
      <c r="BB79" s="114"/>
      <c r="BC79" s="114"/>
      <c r="BD79" s="114"/>
      <c r="BE79" s="114"/>
      <c r="BF79" s="114"/>
      <c r="BG79" s="114"/>
      <c r="BH79" s="114"/>
      <c r="BI79" s="114"/>
      <c r="BJ79" s="114"/>
      <c r="BK79" s="114"/>
      <c r="BL79" s="114"/>
      <c r="BM79" s="114"/>
      <c r="BN79" s="114"/>
      <c r="BO79" s="114"/>
      <c r="BP79" s="114"/>
      <c r="BQ79" s="122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</row>
    <row r="80" ht="15" customHeight="1" spans="1:136">
      <c r="A80" s="34">
        <v>38</v>
      </c>
      <c r="B80" s="37"/>
      <c r="C80" s="40"/>
      <c r="D80" s="38"/>
      <c r="E80" s="50"/>
      <c r="F80" s="51"/>
      <c r="G80" s="52"/>
      <c r="H80" s="53"/>
      <c r="I80" s="53"/>
      <c r="J80" s="60"/>
      <c r="K80" s="61"/>
      <c r="L80" s="62" t="str">
        <f t="shared" si="48"/>
        <v/>
      </c>
      <c r="M80" s="71" t="str">
        <f t="shared" si="49"/>
        <v/>
      </c>
      <c r="N80" s="72"/>
      <c r="O80" s="70" t="str">
        <f t="shared" si="53"/>
        <v/>
      </c>
      <c r="P80" s="70" t="str">
        <f t="shared" si="54"/>
        <v/>
      </c>
      <c r="Q80" s="70" t="str">
        <f t="shared" si="55"/>
        <v/>
      </c>
      <c r="R80" s="80" t="str">
        <f t="shared" si="56"/>
        <v/>
      </c>
      <c r="S80" s="81" t="str">
        <f t="shared" si="57"/>
        <v/>
      </c>
      <c r="T80" s="82" t="str">
        <f t="shared" si="64"/>
        <v/>
      </c>
      <c r="U80" s="82" t="str">
        <f t="shared" si="65"/>
        <v/>
      </c>
      <c r="V80" s="81" t="str">
        <f t="shared" si="58"/>
        <v/>
      </c>
      <c r="W80" s="81" t="str">
        <f t="shared" si="59"/>
        <v/>
      </c>
      <c r="X80" s="81" t="str">
        <f t="shared" si="60"/>
        <v/>
      </c>
      <c r="Y80" s="90" t="str">
        <f t="shared" si="61"/>
        <v/>
      </c>
      <c r="Z80" s="89" t="str">
        <f t="shared" si="50"/>
        <v/>
      </c>
      <c r="AA80" s="89" t="str">
        <f t="shared" si="51"/>
        <v/>
      </c>
      <c r="AB80" s="89" t="str">
        <f t="shared" si="52"/>
        <v/>
      </c>
      <c r="AC80" s="89" t="str">
        <f t="shared" si="62"/>
        <v/>
      </c>
      <c r="AD80" s="96"/>
      <c r="AE80" s="97" t="str">
        <f t="shared" si="63"/>
        <v/>
      </c>
      <c r="AF80" s="98"/>
      <c r="AG80" s="105"/>
      <c r="AH80" s="105"/>
      <c r="AI80" s="106"/>
      <c r="AJ80" s="108"/>
      <c r="AK80" s="114"/>
      <c r="AL80" s="114"/>
      <c r="AM80" s="114"/>
      <c r="AN80" s="114"/>
      <c r="AO80" s="114"/>
      <c r="AP80" s="114"/>
      <c r="AQ80" s="114"/>
      <c r="AR80" s="114"/>
      <c r="AS80" s="114"/>
      <c r="AT80" s="114"/>
      <c r="AU80" s="114"/>
      <c r="AV80" s="114"/>
      <c r="AW80" s="1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22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</row>
    <row r="81" ht="15" customHeight="1" spans="1:136">
      <c r="A81" s="34">
        <v>39</v>
      </c>
      <c r="B81" s="37"/>
      <c r="C81" s="40"/>
      <c r="D81" s="38"/>
      <c r="E81" s="50"/>
      <c r="F81" s="51"/>
      <c r="G81" s="52"/>
      <c r="H81" s="53"/>
      <c r="I81" s="53"/>
      <c r="J81" s="60"/>
      <c r="K81" s="61"/>
      <c r="L81" s="62" t="str">
        <f t="shared" si="48"/>
        <v/>
      </c>
      <c r="M81" s="71" t="str">
        <f t="shared" si="49"/>
        <v/>
      </c>
      <c r="N81" s="72"/>
      <c r="O81" s="70" t="str">
        <f t="shared" si="53"/>
        <v/>
      </c>
      <c r="P81" s="70" t="str">
        <f t="shared" si="54"/>
        <v/>
      </c>
      <c r="Q81" s="70" t="str">
        <f t="shared" si="55"/>
        <v/>
      </c>
      <c r="R81" s="80" t="str">
        <f t="shared" si="56"/>
        <v/>
      </c>
      <c r="S81" s="81" t="str">
        <f t="shared" si="57"/>
        <v/>
      </c>
      <c r="T81" s="82" t="str">
        <f t="shared" si="64"/>
        <v/>
      </c>
      <c r="U81" s="82" t="str">
        <f t="shared" si="65"/>
        <v/>
      </c>
      <c r="V81" s="81" t="str">
        <f t="shared" si="58"/>
        <v/>
      </c>
      <c r="W81" s="81" t="str">
        <f t="shared" si="59"/>
        <v/>
      </c>
      <c r="X81" s="81" t="str">
        <f t="shared" si="60"/>
        <v/>
      </c>
      <c r="Y81" s="90" t="str">
        <f t="shared" si="61"/>
        <v/>
      </c>
      <c r="Z81" s="89" t="str">
        <f t="shared" si="50"/>
        <v/>
      </c>
      <c r="AA81" s="89" t="str">
        <f t="shared" si="51"/>
        <v/>
      </c>
      <c r="AB81" s="89" t="str">
        <f t="shared" si="52"/>
        <v/>
      </c>
      <c r="AC81" s="89" t="str">
        <f t="shared" si="62"/>
        <v/>
      </c>
      <c r="AD81" s="96"/>
      <c r="AE81" s="97" t="str">
        <f t="shared" si="63"/>
        <v/>
      </c>
      <c r="AF81" s="98"/>
      <c r="AG81" s="105"/>
      <c r="AH81" s="105"/>
      <c r="AI81" s="106"/>
      <c r="AJ81" s="108"/>
      <c r="AK81" s="114"/>
      <c r="AL81" s="114"/>
      <c r="AM81" s="114"/>
      <c r="AN81" s="114"/>
      <c r="AO81" s="114"/>
      <c r="AP81" s="114"/>
      <c r="AQ81" s="114"/>
      <c r="AR81" s="114"/>
      <c r="AS81" s="114"/>
      <c r="AT81" s="114"/>
      <c r="AU81" s="114"/>
      <c r="AV81" s="114"/>
      <c r="AW81" s="114"/>
      <c r="AX81" s="114"/>
      <c r="AY81" s="114"/>
      <c r="AZ81" s="114"/>
      <c r="BA81" s="114"/>
      <c r="BB81" s="114"/>
      <c r="BC81" s="114"/>
      <c r="BD81" s="114"/>
      <c r="BE81" s="114"/>
      <c r="BF81" s="114"/>
      <c r="BG81" s="114"/>
      <c r="BH81" s="114"/>
      <c r="BI81" s="114"/>
      <c r="BJ81" s="114"/>
      <c r="BK81" s="114"/>
      <c r="BL81" s="114"/>
      <c r="BM81" s="114"/>
      <c r="BN81" s="114"/>
      <c r="BO81" s="114"/>
      <c r="BP81" s="114"/>
      <c r="BQ81" s="122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</row>
    <row r="82" ht="15" customHeight="1" spans="1:136">
      <c r="A82" s="34">
        <v>40</v>
      </c>
      <c r="B82" s="37"/>
      <c r="C82" s="40"/>
      <c r="D82" s="38"/>
      <c r="E82" s="50"/>
      <c r="F82" s="51"/>
      <c r="G82" s="52"/>
      <c r="H82" s="53"/>
      <c r="I82" s="53"/>
      <c r="J82" s="60"/>
      <c r="K82" s="61"/>
      <c r="L82" s="62" t="str">
        <f t="shared" si="48"/>
        <v/>
      </c>
      <c r="M82" s="71" t="str">
        <f t="shared" si="49"/>
        <v/>
      </c>
      <c r="N82" s="72"/>
      <c r="O82" s="70" t="str">
        <f t="shared" si="53"/>
        <v/>
      </c>
      <c r="P82" s="70" t="str">
        <f t="shared" si="54"/>
        <v/>
      </c>
      <c r="Q82" s="70" t="str">
        <f t="shared" si="55"/>
        <v/>
      </c>
      <c r="R82" s="80" t="str">
        <f t="shared" si="56"/>
        <v/>
      </c>
      <c r="S82" s="81" t="str">
        <f t="shared" si="57"/>
        <v/>
      </c>
      <c r="T82" s="82" t="str">
        <f t="shared" si="64"/>
        <v/>
      </c>
      <c r="U82" s="82" t="str">
        <f t="shared" si="65"/>
        <v/>
      </c>
      <c r="V82" s="81" t="str">
        <f t="shared" si="58"/>
        <v/>
      </c>
      <c r="W82" s="81" t="str">
        <f t="shared" si="59"/>
        <v/>
      </c>
      <c r="X82" s="81" t="str">
        <f t="shared" si="60"/>
        <v/>
      </c>
      <c r="Y82" s="90" t="str">
        <f t="shared" si="61"/>
        <v/>
      </c>
      <c r="Z82" s="89" t="str">
        <f t="shared" si="50"/>
        <v/>
      </c>
      <c r="AA82" s="89" t="str">
        <f t="shared" si="51"/>
        <v/>
      </c>
      <c r="AB82" s="89" t="str">
        <f t="shared" si="52"/>
        <v/>
      </c>
      <c r="AC82" s="89" t="str">
        <f t="shared" si="62"/>
        <v/>
      </c>
      <c r="AD82" s="96"/>
      <c r="AE82" s="97" t="str">
        <f t="shared" si="63"/>
        <v/>
      </c>
      <c r="AF82" s="98"/>
      <c r="AG82" s="105"/>
      <c r="AH82" s="105"/>
      <c r="AI82" s="106"/>
      <c r="AJ82" s="108"/>
      <c r="AK82" s="114"/>
      <c r="AL82" s="114"/>
      <c r="AM82" s="114"/>
      <c r="AN82" s="114"/>
      <c r="AO82" s="114"/>
      <c r="AP82" s="114"/>
      <c r="AQ82" s="114"/>
      <c r="AR82" s="114"/>
      <c r="AS82" s="114"/>
      <c r="AT82" s="114"/>
      <c r="AU82" s="114"/>
      <c r="AV82" s="114"/>
      <c r="AW82" s="114"/>
      <c r="AX82" s="114"/>
      <c r="AY82" s="114"/>
      <c r="AZ82" s="114"/>
      <c r="BA82" s="114"/>
      <c r="BB82" s="114"/>
      <c r="BC82" s="114"/>
      <c r="BD82" s="114"/>
      <c r="BE82" s="114"/>
      <c r="BF82" s="114"/>
      <c r="BG82" s="114"/>
      <c r="BH82" s="114"/>
      <c r="BI82" s="114"/>
      <c r="BJ82" s="114"/>
      <c r="BK82" s="114"/>
      <c r="BL82" s="114"/>
      <c r="BM82" s="114"/>
      <c r="BN82" s="114"/>
      <c r="BO82" s="114"/>
      <c r="BP82" s="114"/>
      <c r="BQ82" s="122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</row>
    <row r="83" ht="15" customHeight="1" spans="1:136">
      <c r="A83" s="34">
        <v>41</v>
      </c>
      <c r="B83" s="37"/>
      <c r="C83" s="40"/>
      <c r="D83" s="38"/>
      <c r="E83" s="50"/>
      <c r="F83" s="51"/>
      <c r="G83" s="52"/>
      <c r="H83" s="53"/>
      <c r="I83" s="53"/>
      <c r="J83" s="60"/>
      <c r="K83" s="61"/>
      <c r="L83" s="62" t="str">
        <f t="shared" si="48"/>
        <v/>
      </c>
      <c r="M83" s="71" t="str">
        <f t="shared" si="49"/>
        <v/>
      </c>
      <c r="N83" s="72"/>
      <c r="O83" s="70" t="str">
        <f t="shared" si="53"/>
        <v/>
      </c>
      <c r="P83" s="70" t="str">
        <f t="shared" si="54"/>
        <v/>
      </c>
      <c r="Q83" s="70" t="str">
        <f t="shared" si="55"/>
        <v/>
      </c>
      <c r="R83" s="80" t="str">
        <f t="shared" si="56"/>
        <v/>
      </c>
      <c r="S83" s="81" t="str">
        <f t="shared" si="57"/>
        <v/>
      </c>
      <c r="T83" s="82" t="str">
        <f t="shared" si="64"/>
        <v/>
      </c>
      <c r="U83" s="82" t="str">
        <f t="shared" si="65"/>
        <v/>
      </c>
      <c r="V83" s="81" t="str">
        <f t="shared" si="58"/>
        <v/>
      </c>
      <c r="W83" s="81" t="str">
        <f t="shared" si="59"/>
        <v/>
      </c>
      <c r="X83" s="81" t="str">
        <f t="shared" si="60"/>
        <v/>
      </c>
      <c r="Y83" s="90" t="str">
        <f t="shared" si="61"/>
        <v/>
      </c>
      <c r="Z83" s="89" t="str">
        <f t="shared" si="50"/>
        <v/>
      </c>
      <c r="AA83" s="89" t="str">
        <f t="shared" si="51"/>
        <v/>
      </c>
      <c r="AB83" s="89" t="str">
        <f t="shared" si="52"/>
        <v/>
      </c>
      <c r="AC83" s="89" t="str">
        <f t="shared" si="62"/>
        <v/>
      </c>
      <c r="AD83" s="96"/>
      <c r="AE83" s="97" t="str">
        <f t="shared" si="63"/>
        <v/>
      </c>
      <c r="AF83" s="98"/>
      <c r="AG83" s="105"/>
      <c r="AH83" s="105"/>
      <c r="AI83" s="106"/>
      <c r="AJ83" s="108"/>
      <c r="AK83" s="114"/>
      <c r="AL83" s="114"/>
      <c r="AM83" s="114"/>
      <c r="AN83" s="114"/>
      <c r="AO83" s="114"/>
      <c r="AP83" s="114"/>
      <c r="AQ83" s="114"/>
      <c r="AR83" s="114"/>
      <c r="AS83" s="114"/>
      <c r="AT83" s="114"/>
      <c r="AU83" s="114"/>
      <c r="AV83" s="114"/>
      <c r="AW83" s="114"/>
      <c r="AX83" s="114"/>
      <c r="AY83" s="114"/>
      <c r="AZ83" s="114"/>
      <c r="BA83" s="114"/>
      <c r="BB83" s="114"/>
      <c r="BC83" s="114"/>
      <c r="BD83" s="114"/>
      <c r="BE83" s="114"/>
      <c r="BF83" s="114"/>
      <c r="BG83" s="114"/>
      <c r="BH83" s="114"/>
      <c r="BI83" s="114"/>
      <c r="BJ83" s="114"/>
      <c r="BK83" s="114"/>
      <c r="BL83" s="114"/>
      <c r="BM83" s="114"/>
      <c r="BN83" s="114"/>
      <c r="BO83" s="114"/>
      <c r="BP83" s="114"/>
      <c r="BQ83" s="122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</row>
    <row r="84" ht="15" customHeight="1" spans="1:136">
      <c r="A84" s="34">
        <v>42</v>
      </c>
      <c r="B84" s="37"/>
      <c r="C84" s="40"/>
      <c r="D84" s="38"/>
      <c r="E84" s="50"/>
      <c r="F84" s="51"/>
      <c r="G84" s="52"/>
      <c r="H84" s="53"/>
      <c r="I84" s="53"/>
      <c r="J84" s="60"/>
      <c r="K84" s="61"/>
      <c r="L84" s="62" t="str">
        <f t="shared" si="48"/>
        <v/>
      </c>
      <c r="M84" s="71" t="str">
        <f t="shared" si="49"/>
        <v/>
      </c>
      <c r="N84" s="72"/>
      <c r="O84" s="70" t="str">
        <f t="shared" si="53"/>
        <v/>
      </c>
      <c r="P84" s="70" t="str">
        <f t="shared" si="54"/>
        <v/>
      </c>
      <c r="Q84" s="70" t="str">
        <f t="shared" si="55"/>
        <v/>
      </c>
      <c r="R84" s="80" t="str">
        <f t="shared" si="56"/>
        <v/>
      </c>
      <c r="S84" s="81" t="str">
        <f t="shared" si="57"/>
        <v/>
      </c>
      <c r="T84" s="82" t="str">
        <f t="shared" si="64"/>
        <v/>
      </c>
      <c r="U84" s="82" t="str">
        <f t="shared" si="65"/>
        <v/>
      </c>
      <c r="V84" s="81" t="str">
        <f t="shared" si="58"/>
        <v/>
      </c>
      <c r="W84" s="81" t="str">
        <f t="shared" si="59"/>
        <v/>
      </c>
      <c r="X84" s="81" t="str">
        <f t="shared" si="60"/>
        <v/>
      </c>
      <c r="Y84" s="90" t="str">
        <f t="shared" si="61"/>
        <v/>
      </c>
      <c r="Z84" s="89" t="str">
        <f t="shared" si="50"/>
        <v/>
      </c>
      <c r="AA84" s="89" t="str">
        <f t="shared" si="51"/>
        <v/>
      </c>
      <c r="AB84" s="89" t="str">
        <f t="shared" si="52"/>
        <v/>
      </c>
      <c r="AC84" s="89" t="str">
        <f t="shared" si="62"/>
        <v/>
      </c>
      <c r="AD84" s="96"/>
      <c r="AE84" s="97" t="str">
        <f t="shared" si="63"/>
        <v/>
      </c>
      <c r="AF84" s="98"/>
      <c r="AG84" s="105"/>
      <c r="AH84" s="105"/>
      <c r="AI84" s="106"/>
      <c r="AJ84" s="108"/>
      <c r="AK84" s="114"/>
      <c r="AL84" s="114"/>
      <c r="AM84" s="114"/>
      <c r="AN84" s="114"/>
      <c r="AO84" s="114"/>
      <c r="AP84" s="114"/>
      <c r="AQ84" s="114"/>
      <c r="AR84" s="114"/>
      <c r="AS84" s="114"/>
      <c r="AT84" s="114"/>
      <c r="AU84" s="114"/>
      <c r="AV84" s="114"/>
      <c r="AW84" s="114"/>
      <c r="AX84" s="114"/>
      <c r="AY84" s="114"/>
      <c r="AZ84" s="114"/>
      <c r="BA84" s="114"/>
      <c r="BB84" s="114"/>
      <c r="BC84" s="114"/>
      <c r="BD84" s="114"/>
      <c r="BE84" s="114"/>
      <c r="BF84" s="114"/>
      <c r="BG84" s="114"/>
      <c r="BH84" s="114"/>
      <c r="BI84" s="114"/>
      <c r="BJ84" s="114"/>
      <c r="BK84" s="114"/>
      <c r="BL84" s="114"/>
      <c r="BM84" s="114"/>
      <c r="BN84" s="114"/>
      <c r="BO84" s="114"/>
      <c r="BP84" s="114"/>
      <c r="BQ84" s="122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</row>
    <row r="85" ht="15" customHeight="1" spans="1:136">
      <c r="A85" s="34">
        <v>43</v>
      </c>
      <c r="B85" s="37"/>
      <c r="C85" s="40"/>
      <c r="D85" s="38"/>
      <c r="E85" s="50"/>
      <c r="F85" s="51"/>
      <c r="G85" s="52"/>
      <c r="H85" s="53"/>
      <c r="I85" s="53"/>
      <c r="J85" s="60"/>
      <c r="K85" s="61"/>
      <c r="L85" s="62" t="str">
        <f t="shared" si="48"/>
        <v/>
      </c>
      <c r="M85" s="71" t="str">
        <f t="shared" si="49"/>
        <v/>
      </c>
      <c r="N85" s="72"/>
      <c r="O85" s="70" t="str">
        <f t="shared" si="53"/>
        <v/>
      </c>
      <c r="P85" s="70" t="str">
        <f t="shared" si="54"/>
        <v/>
      </c>
      <c r="Q85" s="70" t="str">
        <f t="shared" si="55"/>
        <v/>
      </c>
      <c r="R85" s="80" t="str">
        <f t="shared" si="56"/>
        <v/>
      </c>
      <c r="S85" s="81" t="str">
        <f t="shared" si="57"/>
        <v/>
      </c>
      <c r="T85" s="82" t="str">
        <f t="shared" si="64"/>
        <v/>
      </c>
      <c r="U85" s="82" t="str">
        <f t="shared" si="65"/>
        <v/>
      </c>
      <c r="V85" s="81" t="str">
        <f t="shared" si="58"/>
        <v/>
      </c>
      <c r="W85" s="81" t="str">
        <f t="shared" si="59"/>
        <v/>
      </c>
      <c r="X85" s="81" t="str">
        <f t="shared" si="60"/>
        <v/>
      </c>
      <c r="Y85" s="90" t="str">
        <f t="shared" si="61"/>
        <v/>
      </c>
      <c r="Z85" s="89" t="str">
        <f t="shared" si="50"/>
        <v/>
      </c>
      <c r="AA85" s="89" t="str">
        <f t="shared" si="51"/>
        <v/>
      </c>
      <c r="AB85" s="89" t="str">
        <f t="shared" si="52"/>
        <v/>
      </c>
      <c r="AC85" s="89" t="str">
        <f t="shared" si="62"/>
        <v/>
      </c>
      <c r="AD85" s="96"/>
      <c r="AE85" s="97" t="str">
        <f t="shared" si="63"/>
        <v/>
      </c>
      <c r="AF85" s="98"/>
      <c r="AG85" s="105"/>
      <c r="AH85" s="105"/>
      <c r="AI85" s="106"/>
      <c r="AJ85" s="108"/>
      <c r="AK85" s="114"/>
      <c r="AL85" s="114"/>
      <c r="AM85" s="114"/>
      <c r="AN85" s="114"/>
      <c r="AO85" s="114"/>
      <c r="AP85" s="114"/>
      <c r="AQ85" s="114"/>
      <c r="AR85" s="114"/>
      <c r="AS85" s="114"/>
      <c r="AT85" s="114"/>
      <c r="AU85" s="114"/>
      <c r="AV85" s="114"/>
      <c r="AW85" s="114"/>
      <c r="AX85" s="114"/>
      <c r="AY85" s="114"/>
      <c r="AZ85" s="114"/>
      <c r="BA85" s="114"/>
      <c r="BB85" s="114"/>
      <c r="BC85" s="114"/>
      <c r="BD85" s="114"/>
      <c r="BE85" s="114"/>
      <c r="BF85" s="114"/>
      <c r="BG85" s="114"/>
      <c r="BH85" s="114"/>
      <c r="BI85" s="114"/>
      <c r="BJ85" s="114"/>
      <c r="BK85" s="114"/>
      <c r="BL85" s="114"/>
      <c r="BM85" s="114"/>
      <c r="BN85" s="114"/>
      <c r="BO85" s="114"/>
      <c r="BP85" s="114"/>
      <c r="BQ85" s="122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</row>
    <row r="86" ht="15" customHeight="1" spans="1:136">
      <c r="A86" s="34">
        <v>44</v>
      </c>
      <c r="B86" s="37"/>
      <c r="C86" s="40"/>
      <c r="D86" s="38"/>
      <c r="E86" s="50"/>
      <c r="F86" s="51"/>
      <c r="G86" s="52"/>
      <c r="H86" s="53"/>
      <c r="I86" s="53"/>
      <c r="J86" s="60"/>
      <c r="K86" s="61"/>
      <c r="L86" s="62" t="str">
        <f t="shared" si="48"/>
        <v/>
      </c>
      <c r="M86" s="71" t="str">
        <f t="shared" si="49"/>
        <v/>
      </c>
      <c r="N86" s="72"/>
      <c r="O86" s="70" t="str">
        <f t="shared" si="53"/>
        <v/>
      </c>
      <c r="P86" s="70" t="str">
        <f t="shared" si="54"/>
        <v/>
      </c>
      <c r="Q86" s="70" t="str">
        <f t="shared" si="55"/>
        <v/>
      </c>
      <c r="R86" s="80" t="str">
        <f t="shared" si="56"/>
        <v/>
      </c>
      <c r="S86" s="81" t="str">
        <f t="shared" si="57"/>
        <v/>
      </c>
      <c r="T86" s="82" t="str">
        <f t="shared" si="64"/>
        <v/>
      </c>
      <c r="U86" s="82" t="str">
        <f t="shared" si="65"/>
        <v/>
      </c>
      <c r="V86" s="81" t="str">
        <f t="shared" si="58"/>
        <v/>
      </c>
      <c r="W86" s="81" t="str">
        <f t="shared" si="59"/>
        <v/>
      </c>
      <c r="X86" s="81" t="str">
        <f t="shared" si="60"/>
        <v/>
      </c>
      <c r="Y86" s="90" t="str">
        <f t="shared" si="61"/>
        <v/>
      </c>
      <c r="Z86" s="89" t="str">
        <f t="shared" si="50"/>
        <v/>
      </c>
      <c r="AA86" s="89" t="str">
        <f t="shared" si="51"/>
        <v/>
      </c>
      <c r="AB86" s="89" t="str">
        <f t="shared" si="52"/>
        <v/>
      </c>
      <c r="AC86" s="89" t="str">
        <f t="shared" si="62"/>
        <v/>
      </c>
      <c r="AD86" s="96"/>
      <c r="AE86" s="97" t="str">
        <f t="shared" si="63"/>
        <v/>
      </c>
      <c r="AF86" s="98"/>
      <c r="AG86" s="105"/>
      <c r="AH86" s="105"/>
      <c r="AI86" s="106"/>
      <c r="AJ86" s="108"/>
      <c r="AK86" s="114"/>
      <c r="AL86" s="114"/>
      <c r="AM86" s="114"/>
      <c r="AN86" s="114"/>
      <c r="AO86" s="114"/>
      <c r="AP86" s="114"/>
      <c r="AQ86" s="114"/>
      <c r="AR86" s="114"/>
      <c r="AS86" s="114"/>
      <c r="AT86" s="114"/>
      <c r="AU86" s="114"/>
      <c r="AV86" s="114"/>
      <c r="AW86" s="114"/>
      <c r="AX86" s="114"/>
      <c r="AY86" s="114"/>
      <c r="AZ86" s="114"/>
      <c r="BA86" s="114"/>
      <c r="BB86" s="114"/>
      <c r="BC86" s="114"/>
      <c r="BD86" s="114"/>
      <c r="BE86" s="114"/>
      <c r="BF86" s="114"/>
      <c r="BG86" s="114"/>
      <c r="BH86" s="114"/>
      <c r="BI86" s="114"/>
      <c r="BJ86" s="114"/>
      <c r="BK86" s="114"/>
      <c r="BL86" s="114"/>
      <c r="BM86" s="114"/>
      <c r="BN86" s="114"/>
      <c r="BO86" s="114"/>
      <c r="BP86" s="114"/>
      <c r="BQ86" s="122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</row>
    <row r="87" ht="15" customHeight="1" spans="1:136">
      <c r="A87" s="34">
        <v>45</v>
      </c>
      <c r="B87" s="37"/>
      <c r="C87" s="40"/>
      <c r="D87" s="38"/>
      <c r="E87" s="50"/>
      <c r="F87" s="51"/>
      <c r="G87" s="52"/>
      <c r="H87" s="53"/>
      <c r="I87" s="53"/>
      <c r="J87" s="60"/>
      <c r="K87" s="61"/>
      <c r="L87" s="62" t="str">
        <f t="shared" si="48"/>
        <v/>
      </c>
      <c r="M87" s="71" t="str">
        <f t="shared" si="49"/>
        <v/>
      </c>
      <c r="N87" s="72"/>
      <c r="O87" s="70" t="str">
        <f t="shared" si="53"/>
        <v/>
      </c>
      <c r="P87" s="70" t="str">
        <f t="shared" si="54"/>
        <v/>
      </c>
      <c r="Q87" s="70" t="str">
        <f t="shared" si="55"/>
        <v/>
      </c>
      <c r="R87" s="80" t="str">
        <f t="shared" si="56"/>
        <v/>
      </c>
      <c r="S87" s="81" t="str">
        <f t="shared" si="57"/>
        <v/>
      </c>
      <c r="T87" s="82" t="str">
        <f t="shared" si="64"/>
        <v/>
      </c>
      <c r="U87" s="82" t="str">
        <f t="shared" si="65"/>
        <v/>
      </c>
      <c r="V87" s="81" t="str">
        <f t="shared" si="58"/>
        <v/>
      </c>
      <c r="W87" s="81" t="str">
        <f t="shared" si="59"/>
        <v/>
      </c>
      <c r="X87" s="81" t="str">
        <f t="shared" si="60"/>
        <v/>
      </c>
      <c r="Y87" s="90" t="str">
        <f t="shared" si="61"/>
        <v/>
      </c>
      <c r="Z87" s="89" t="str">
        <f t="shared" si="50"/>
        <v/>
      </c>
      <c r="AA87" s="89" t="str">
        <f t="shared" si="51"/>
        <v/>
      </c>
      <c r="AB87" s="89" t="str">
        <f t="shared" si="52"/>
        <v/>
      </c>
      <c r="AC87" s="89" t="str">
        <f t="shared" si="62"/>
        <v/>
      </c>
      <c r="AD87" s="96"/>
      <c r="AE87" s="97" t="str">
        <f t="shared" si="63"/>
        <v/>
      </c>
      <c r="AF87" s="98"/>
      <c r="AG87" s="105"/>
      <c r="AH87" s="105"/>
      <c r="AI87" s="106"/>
      <c r="AJ87" s="108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14"/>
      <c r="AZ87" s="114"/>
      <c r="BA87" s="114"/>
      <c r="BB87" s="114"/>
      <c r="BC87" s="114"/>
      <c r="BD87" s="114"/>
      <c r="BE87" s="114"/>
      <c r="BF87" s="114"/>
      <c r="BG87" s="114"/>
      <c r="BH87" s="114"/>
      <c r="BI87" s="114"/>
      <c r="BJ87" s="114"/>
      <c r="BK87" s="114"/>
      <c r="BL87" s="114"/>
      <c r="BM87" s="114"/>
      <c r="BN87" s="114"/>
      <c r="BO87" s="114"/>
      <c r="BP87" s="114"/>
      <c r="BQ87" s="122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</row>
    <row r="88" ht="15" customHeight="1" spans="1:136">
      <c r="A88" s="34">
        <v>46</v>
      </c>
      <c r="B88" s="37"/>
      <c r="C88" s="40"/>
      <c r="D88" s="38"/>
      <c r="E88" s="50"/>
      <c r="F88" s="51"/>
      <c r="G88" s="52"/>
      <c r="H88" s="53"/>
      <c r="I88" s="53"/>
      <c r="J88" s="60"/>
      <c r="K88" s="61"/>
      <c r="L88" s="62" t="str">
        <f t="shared" si="48"/>
        <v/>
      </c>
      <c r="M88" s="71" t="str">
        <f t="shared" si="49"/>
        <v/>
      </c>
      <c r="N88" s="72"/>
      <c r="O88" s="70" t="str">
        <f t="shared" si="53"/>
        <v/>
      </c>
      <c r="P88" s="70" t="str">
        <f t="shared" si="54"/>
        <v/>
      </c>
      <c r="Q88" s="70" t="str">
        <f t="shared" si="55"/>
        <v/>
      </c>
      <c r="R88" s="80" t="str">
        <f t="shared" si="56"/>
        <v/>
      </c>
      <c r="S88" s="81" t="str">
        <f t="shared" si="57"/>
        <v/>
      </c>
      <c r="T88" s="82" t="str">
        <f t="shared" si="64"/>
        <v/>
      </c>
      <c r="U88" s="82" t="str">
        <f t="shared" si="65"/>
        <v/>
      </c>
      <c r="V88" s="81" t="str">
        <f t="shared" si="58"/>
        <v/>
      </c>
      <c r="W88" s="81" t="str">
        <f t="shared" si="59"/>
        <v/>
      </c>
      <c r="X88" s="81" t="str">
        <f t="shared" si="60"/>
        <v/>
      </c>
      <c r="Y88" s="90" t="str">
        <f t="shared" si="61"/>
        <v/>
      </c>
      <c r="Z88" s="89" t="str">
        <f t="shared" si="50"/>
        <v/>
      </c>
      <c r="AA88" s="89" t="str">
        <f t="shared" si="51"/>
        <v/>
      </c>
      <c r="AB88" s="89" t="str">
        <f t="shared" si="52"/>
        <v/>
      </c>
      <c r="AC88" s="89" t="str">
        <f t="shared" si="62"/>
        <v/>
      </c>
      <c r="AD88" s="96"/>
      <c r="AE88" s="97" t="str">
        <f t="shared" si="63"/>
        <v/>
      </c>
      <c r="AF88" s="98"/>
      <c r="AG88" s="105"/>
      <c r="AH88" s="105"/>
      <c r="AI88" s="106"/>
      <c r="AJ88" s="108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14"/>
      <c r="AZ88" s="114"/>
      <c r="BA88" s="114"/>
      <c r="BB88" s="114"/>
      <c r="BC88" s="114"/>
      <c r="BD88" s="114"/>
      <c r="BE88" s="114"/>
      <c r="BF88" s="114"/>
      <c r="BG88" s="114"/>
      <c r="BH88" s="114"/>
      <c r="BI88" s="114"/>
      <c r="BJ88" s="114"/>
      <c r="BK88" s="114"/>
      <c r="BL88" s="114"/>
      <c r="BM88" s="114"/>
      <c r="BN88" s="114"/>
      <c r="BO88" s="114"/>
      <c r="BP88" s="114"/>
      <c r="BQ88" s="122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</row>
    <row r="89" ht="15" customHeight="1" spans="1:136">
      <c r="A89" s="34">
        <v>47</v>
      </c>
      <c r="B89" s="37"/>
      <c r="C89" s="40"/>
      <c r="D89" s="38"/>
      <c r="E89" s="50"/>
      <c r="F89" s="51"/>
      <c r="G89" s="52"/>
      <c r="H89" s="53"/>
      <c r="I89" s="53"/>
      <c r="J89" s="60"/>
      <c r="K89" s="61"/>
      <c r="L89" s="62" t="str">
        <f t="shared" si="48"/>
        <v/>
      </c>
      <c r="M89" s="71" t="str">
        <f t="shared" si="49"/>
        <v/>
      </c>
      <c r="N89" s="72"/>
      <c r="O89" s="70" t="str">
        <f t="shared" si="53"/>
        <v/>
      </c>
      <c r="P89" s="70" t="str">
        <f t="shared" si="54"/>
        <v/>
      </c>
      <c r="Q89" s="70" t="str">
        <f t="shared" si="55"/>
        <v/>
      </c>
      <c r="R89" s="80" t="str">
        <f t="shared" si="56"/>
        <v/>
      </c>
      <c r="S89" s="81" t="str">
        <f t="shared" si="57"/>
        <v/>
      </c>
      <c r="T89" s="82" t="str">
        <f t="shared" si="64"/>
        <v/>
      </c>
      <c r="U89" s="82" t="str">
        <f t="shared" si="65"/>
        <v/>
      </c>
      <c r="V89" s="81" t="str">
        <f t="shared" si="58"/>
        <v/>
      </c>
      <c r="W89" s="81" t="str">
        <f t="shared" si="59"/>
        <v/>
      </c>
      <c r="X89" s="81" t="str">
        <f t="shared" si="60"/>
        <v/>
      </c>
      <c r="Y89" s="90" t="str">
        <f t="shared" si="61"/>
        <v/>
      </c>
      <c r="Z89" s="89" t="str">
        <f t="shared" si="50"/>
        <v/>
      </c>
      <c r="AA89" s="89" t="str">
        <f t="shared" si="51"/>
        <v/>
      </c>
      <c r="AB89" s="89" t="str">
        <f t="shared" si="52"/>
        <v/>
      </c>
      <c r="AC89" s="89" t="str">
        <f t="shared" si="62"/>
        <v/>
      </c>
      <c r="AD89" s="96"/>
      <c r="AE89" s="97" t="str">
        <f t="shared" si="63"/>
        <v/>
      </c>
      <c r="AF89" s="98"/>
      <c r="AG89" s="105"/>
      <c r="AH89" s="105"/>
      <c r="AI89" s="106"/>
      <c r="AJ89" s="108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14"/>
      <c r="AZ89" s="114"/>
      <c r="BA89" s="114"/>
      <c r="BB89" s="114"/>
      <c r="BC89" s="114"/>
      <c r="BD89" s="114"/>
      <c r="BE89" s="114"/>
      <c r="BF89" s="114"/>
      <c r="BG89" s="114"/>
      <c r="BH89" s="114"/>
      <c r="BI89" s="114"/>
      <c r="BJ89" s="114"/>
      <c r="BK89" s="114"/>
      <c r="BL89" s="114"/>
      <c r="BM89" s="114"/>
      <c r="BN89" s="114"/>
      <c r="BO89" s="114"/>
      <c r="BP89" s="114"/>
      <c r="BQ89" s="122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</row>
    <row r="90" ht="15" customHeight="1" spans="1:136">
      <c r="A90" s="34">
        <v>48</v>
      </c>
      <c r="B90" s="37"/>
      <c r="C90" s="40"/>
      <c r="D90" s="38"/>
      <c r="E90" s="50"/>
      <c r="F90" s="51"/>
      <c r="G90" s="52"/>
      <c r="H90" s="53"/>
      <c r="I90" s="53"/>
      <c r="J90" s="60"/>
      <c r="K90" s="61"/>
      <c r="L90" s="62" t="str">
        <f t="shared" si="48"/>
        <v/>
      </c>
      <c r="M90" s="71" t="str">
        <f t="shared" si="49"/>
        <v/>
      </c>
      <c r="N90" s="72"/>
      <c r="O90" s="70" t="str">
        <f t="shared" si="53"/>
        <v/>
      </c>
      <c r="P90" s="70" t="str">
        <f t="shared" si="54"/>
        <v/>
      </c>
      <c r="Q90" s="70" t="str">
        <f t="shared" si="55"/>
        <v/>
      </c>
      <c r="R90" s="80" t="str">
        <f t="shared" si="56"/>
        <v/>
      </c>
      <c r="S90" s="81" t="str">
        <f t="shared" si="57"/>
        <v/>
      </c>
      <c r="T90" s="82" t="str">
        <f t="shared" si="64"/>
        <v/>
      </c>
      <c r="U90" s="82" t="str">
        <f t="shared" si="65"/>
        <v/>
      </c>
      <c r="V90" s="81" t="str">
        <f t="shared" si="58"/>
        <v/>
      </c>
      <c r="W90" s="81" t="str">
        <f t="shared" si="59"/>
        <v/>
      </c>
      <c r="X90" s="81" t="str">
        <f t="shared" si="60"/>
        <v/>
      </c>
      <c r="Y90" s="90" t="str">
        <f t="shared" si="61"/>
        <v/>
      </c>
      <c r="Z90" s="89" t="str">
        <f t="shared" si="50"/>
        <v/>
      </c>
      <c r="AA90" s="89" t="str">
        <f t="shared" si="51"/>
        <v/>
      </c>
      <c r="AB90" s="89" t="str">
        <f t="shared" si="52"/>
        <v/>
      </c>
      <c r="AC90" s="89" t="str">
        <f t="shared" si="62"/>
        <v/>
      </c>
      <c r="AD90" s="96"/>
      <c r="AE90" s="97" t="str">
        <f t="shared" si="63"/>
        <v/>
      </c>
      <c r="AF90" s="98"/>
      <c r="AG90" s="105"/>
      <c r="AH90" s="105"/>
      <c r="AI90" s="106"/>
      <c r="AJ90" s="108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  <c r="AU90" s="114"/>
      <c r="AV90" s="114"/>
      <c r="AW90" s="114"/>
      <c r="AX90" s="114"/>
      <c r="AY90" s="114"/>
      <c r="AZ90" s="114"/>
      <c r="BA90" s="114"/>
      <c r="BB90" s="114"/>
      <c r="BC90" s="114"/>
      <c r="BD90" s="114"/>
      <c r="BE90" s="114"/>
      <c r="BF90" s="114"/>
      <c r="BG90" s="114"/>
      <c r="BH90" s="114"/>
      <c r="BI90" s="114"/>
      <c r="BJ90" s="114"/>
      <c r="BK90" s="114"/>
      <c r="BL90" s="114"/>
      <c r="BM90" s="114"/>
      <c r="BN90" s="114"/>
      <c r="BO90" s="114"/>
      <c r="BP90" s="114"/>
      <c r="BQ90" s="122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</row>
    <row r="91" ht="15" customHeight="1" spans="1:136">
      <c r="A91" s="34">
        <v>2</v>
      </c>
      <c r="B91" s="37"/>
      <c r="C91" s="40"/>
      <c r="D91" s="39"/>
      <c r="E91" s="50"/>
      <c r="F91" s="51"/>
      <c r="G91" s="52"/>
      <c r="H91" s="53"/>
      <c r="I91" s="53"/>
      <c r="J91" s="60"/>
      <c r="K91" s="61"/>
      <c r="L91" s="62" t="str">
        <f t="shared" ref="L91:L129" si="66">IF(AND(G91="",H91=""),"",IF(G91="",H91,G91+H91))</f>
        <v/>
      </c>
      <c r="M91" s="71" t="str">
        <f t="shared" ref="M91:M129" si="67">IF(AND(G91="",I91=""),"",IF(G91="",I91,G91+I91))</f>
        <v/>
      </c>
      <c r="N91" s="69"/>
      <c r="O91" s="70" t="str">
        <f t="shared" si="53"/>
        <v/>
      </c>
      <c r="P91" s="70" t="str">
        <f t="shared" si="54"/>
        <v/>
      </c>
      <c r="Q91" s="70" t="str">
        <f t="shared" si="55"/>
        <v/>
      </c>
      <c r="R91" s="80" t="str">
        <f t="shared" si="56"/>
        <v/>
      </c>
      <c r="S91" s="81" t="str">
        <f t="shared" si="57"/>
        <v/>
      </c>
      <c r="T91" s="82" t="str">
        <f t="shared" si="64"/>
        <v/>
      </c>
      <c r="U91" s="82" t="str">
        <f t="shared" si="65"/>
        <v/>
      </c>
      <c r="V91" s="81" t="str">
        <f t="shared" si="58"/>
        <v/>
      </c>
      <c r="W91" s="81" t="str">
        <f t="shared" si="59"/>
        <v/>
      </c>
      <c r="X91" s="81" t="str">
        <f t="shared" si="60"/>
        <v/>
      </c>
      <c r="Y91" s="88" t="str">
        <f t="shared" si="61"/>
        <v/>
      </c>
      <c r="Z91" s="89" t="str">
        <f t="shared" ref="Z91:Z129" si="68">IF($Q91="","",IF(F91="Tolerance",IF(($E91*3*R91+Q91)-G91&lt;H91,"",($E91*3*R91+Q91)-G91),IF(OR(F91="GD&amp;T",F91="MAX"),IF(($E91*3*R91+Q91)&lt;H91,"",($E91*3*R91+Q91)),"")))</f>
        <v/>
      </c>
      <c r="AA91" s="89" t="str">
        <f t="shared" ref="AA91:AA129" si="69">IF(Q91="","",IF(F91="Tolerance",IF(-(($E91*3*R91)-Q91)-G91&gt;I91,"",-(($E91*3*R91)-Q91)-G91),IF(F91="MIN",IF(-(($E91*3*R91)-Q91)&gt;I91,"",-(($E91*3*R91)-Q91)),"")))</f>
        <v/>
      </c>
      <c r="AB91" s="89" t="str">
        <f t="shared" ref="AB91:AB129" si="70">IF(OR(G91="",Q91=""),"",(L91+M91)/2-Q91)</f>
        <v/>
      </c>
      <c r="AC91" s="89" t="str">
        <f t="shared" si="62"/>
        <v/>
      </c>
      <c r="AD91" s="96"/>
      <c r="AE91" s="97" t="str">
        <f t="shared" si="63"/>
        <v/>
      </c>
      <c r="AF91" s="98"/>
      <c r="AG91" s="105"/>
      <c r="AH91" s="105"/>
      <c r="AI91" s="106"/>
      <c r="AJ91" s="107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  <c r="AU91" s="114"/>
      <c r="AV91" s="114"/>
      <c r="AW91" s="114"/>
      <c r="AX91" s="114"/>
      <c r="AY91" s="114"/>
      <c r="AZ91" s="114"/>
      <c r="BA91" s="114"/>
      <c r="BB91" s="114"/>
      <c r="BC91" s="114"/>
      <c r="BD91" s="114"/>
      <c r="BE91" s="114"/>
      <c r="BF91" s="114"/>
      <c r="BG91" s="114"/>
      <c r="BH91" s="114"/>
      <c r="BI91" s="114"/>
      <c r="BJ91" s="114"/>
      <c r="BK91" s="114"/>
      <c r="BL91" s="114"/>
      <c r="BM91" s="114"/>
      <c r="BN91" s="114"/>
      <c r="BO91" s="114"/>
      <c r="BP91" s="114"/>
      <c r="BQ91" s="122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</row>
    <row r="92" ht="15" customHeight="1" spans="1:136">
      <c r="A92" s="34">
        <v>2</v>
      </c>
      <c r="B92" s="37"/>
      <c r="C92" s="40"/>
      <c r="D92" s="39"/>
      <c r="E92" s="50"/>
      <c r="F92" s="51"/>
      <c r="G92" s="52"/>
      <c r="H92" s="53"/>
      <c r="I92" s="53"/>
      <c r="J92" s="60"/>
      <c r="K92" s="61"/>
      <c r="L92" s="62" t="str">
        <f t="shared" si="66"/>
        <v/>
      </c>
      <c r="M92" s="71" t="str">
        <f t="shared" si="67"/>
        <v/>
      </c>
      <c r="N92" s="69"/>
      <c r="O92" s="70" t="str">
        <f t="shared" si="53"/>
        <v/>
      </c>
      <c r="P92" s="70" t="str">
        <f t="shared" si="54"/>
        <v/>
      </c>
      <c r="Q92" s="70" t="str">
        <f t="shared" si="55"/>
        <v/>
      </c>
      <c r="R92" s="80" t="str">
        <f t="shared" si="56"/>
        <v/>
      </c>
      <c r="S92" s="81" t="str">
        <f t="shared" si="57"/>
        <v/>
      </c>
      <c r="T92" s="82" t="str">
        <f t="shared" si="64"/>
        <v/>
      </c>
      <c r="U92" s="82" t="str">
        <f t="shared" si="65"/>
        <v/>
      </c>
      <c r="V92" s="81" t="str">
        <f t="shared" si="58"/>
        <v/>
      </c>
      <c r="W92" s="81" t="str">
        <f t="shared" si="59"/>
        <v/>
      </c>
      <c r="X92" s="81" t="str">
        <f t="shared" si="60"/>
        <v/>
      </c>
      <c r="Y92" s="88" t="str">
        <f t="shared" si="61"/>
        <v/>
      </c>
      <c r="Z92" s="89" t="str">
        <f t="shared" si="68"/>
        <v/>
      </c>
      <c r="AA92" s="89" t="str">
        <f t="shared" si="69"/>
        <v/>
      </c>
      <c r="AB92" s="89" t="str">
        <f t="shared" si="70"/>
        <v/>
      </c>
      <c r="AC92" s="89" t="str">
        <f t="shared" si="62"/>
        <v/>
      </c>
      <c r="AD92" s="96"/>
      <c r="AE92" s="97" t="str">
        <f t="shared" si="63"/>
        <v/>
      </c>
      <c r="AF92" s="98"/>
      <c r="AG92" s="105"/>
      <c r="AH92" s="105"/>
      <c r="AI92" s="106"/>
      <c r="AJ92" s="107"/>
      <c r="AK92" s="114"/>
      <c r="AL92" s="114"/>
      <c r="AM92" s="114"/>
      <c r="AN92" s="114"/>
      <c r="AO92" s="114"/>
      <c r="AP92" s="114"/>
      <c r="AQ92" s="114"/>
      <c r="AR92" s="114"/>
      <c r="AS92" s="114"/>
      <c r="AT92" s="114"/>
      <c r="AU92" s="114"/>
      <c r="AV92" s="114"/>
      <c r="AW92" s="114"/>
      <c r="AX92" s="114"/>
      <c r="AY92" s="114"/>
      <c r="AZ92" s="114"/>
      <c r="BA92" s="114"/>
      <c r="BB92" s="114"/>
      <c r="BC92" s="114"/>
      <c r="BD92" s="114"/>
      <c r="BE92" s="114"/>
      <c r="BF92" s="114"/>
      <c r="BG92" s="114"/>
      <c r="BH92" s="114"/>
      <c r="BI92" s="114"/>
      <c r="BJ92" s="114"/>
      <c r="BK92" s="114"/>
      <c r="BL92" s="114"/>
      <c r="BM92" s="114"/>
      <c r="BN92" s="114"/>
      <c r="BO92" s="114"/>
      <c r="BP92" s="114"/>
      <c r="BQ92" s="122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</row>
    <row r="93" ht="15" customHeight="1" spans="1:136">
      <c r="A93" s="34">
        <v>12</v>
      </c>
      <c r="B93" s="37"/>
      <c r="C93" s="40"/>
      <c r="D93" s="38"/>
      <c r="E93" s="50"/>
      <c r="F93" s="51"/>
      <c r="G93" s="52"/>
      <c r="H93" s="53"/>
      <c r="I93" s="53"/>
      <c r="J93" s="60"/>
      <c r="K93" s="61"/>
      <c r="L93" s="62" t="str">
        <f t="shared" si="66"/>
        <v/>
      </c>
      <c r="M93" s="71" t="str">
        <f t="shared" si="67"/>
        <v/>
      </c>
      <c r="N93" s="72"/>
      <c r="O93" s="70" t="str">
        <f t="shared" ref="O93:O131" si="71">IF(OR($AK93="",ISNUMBER($AK93)=FALSE),"",MAX(AK93:EF93))</f>
        <v/>
      </c>
      <c r="P93" s="70" t="str">
        <f t="shared" ref="P93:P131" si="72">IF(OR($AK93="",ISNUMBER($AK93)=FALSE),"",MIN(AK93:EF93))</f>
        <v/>
      </c>
      <c r="Q93" s="70" t="str">
        <f t="shared" ref="Q93:Q131" si="73">IF(OR($AK93="",ISNUMBER($AK93)=FALSE),"",AVERAGE(AK93:EF93))</f>
        <v/>
      </c>
      <c r="R93" s="80" t="str">
        <f t="shared" ref="R93:R131" si="74">IF(OR($AK93="",ISNUMBER($AK93)=FALSE),"",STDEV(AK93:EF93))</f>
        <v/>
      </c>
      <c r="S93" s="81" t="str">
        <f t="shared" si="57"/>
        <v/>
      </c>
      <c r="T93" s="82" t="str">
        <f t="shared" si="64"/>
        <v/>
      </c>
      <c r="U93" s="82" t="str">
        <f t="shared" si="65"/>
        <v/>
      </c>
      <c r="V93" s="81" t="str">
        <f t="shared" si="58"/>
        <v/>
      </c>
      <c r="W93" s="81" t="str">
        <f t="shared" si="59"/>
        <v/>
      </c>
      <c r="X93" s="81" t="str">
        <f t="shared" si="60"/>
        <v/>
      </c>
      <c r="Y93" s="88" t="str">
        <f t="shared" si="61"/>
        <v/>
      </c>
      <c r="Z93" s="89" t="str">
        <f t="shared" si="68"/>
        <v/>
      </c>
      <c r="AA93" s="89" t="str">
        <f t="shared" si="69"/>
        <v/>
      </c>
      <c r="AB93" s="89" t="str">
        <f t="shared" si="70"/>
        <v/>
      </c>
      <c r="AC93" s="89" t="str">
        <f t="shared" si="62"/>
        <v/>
      </c>
      <c r="AD93" s="96"/>
      <c r="AE93" s="97" t="str">
        <f t="shared" si="63"/>
        <v/>
      </c>
      <c r="AF93" s="98"/>
      <c r="AG93" s="105"/>
      <c r="AH93" s="105"/>
      <c r="AI93" s="106"/>
      <c r="AJ93" s="108"/>
      <c r="AK93" s="114"/>
      <c r="AL93" s="114"/>
      <c r="AM93" s="114"/>
      <c r="AN93" s="114"/>
      <c r="AO93" s="114"/>
      <c r="AP93" s="114"/>
      <c r="AQ93" s="114"/>
      <c r="AR93" s="114"/>
      <c r="AS93" s="114"/>
      <c r="AT93" s="114"/>
      <c r="AU93" s="114"/>
      <c r="AV93" s="114"/>
      <c r="AW93" s="114"/>
      <c r="AX93" s="114"/>
      <c r="AY93" s="114"/>
      <c r="AZ93" s="114"/>
      <c r="BA93" s="114"/>
      <c r="BB93" s="114"/>
      <c r="BC93" s="114"/>
      <c r="BD93" s="114"/>
      <c r="BE93" s="114"/>
      <c r="BF93" s="114"/>
      <c r="BG93" s="114"/>
      <c r="BH93" s="114"/>
      <c r="BI93" s="114"/>
      <c r="BJ93" s="114"/>
      <c r="BK93" s="114"/>
      <c r="BL93" s="114"/>
      <c r="BM93" s="114"/>
      <c r="BN93" s="114"/>
      <c r="BO93" s="114"/>
      <c r="BP93" s="114"/>
      <c r="BQ93" s="122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5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</row>
    <row r="94" ht="15" customHeight="1" spans="1:136">
      <c r="A94" s="34">
        <v>13</v>
      </c>
      <c r="B94" s="37"/>
      <c r="C94" s="40"/>
      <c r="D94" s="38"/>
      <c r="E94" s="50"/>
      <c r="F94" s="51"/>
      <c r="G94" s="52"/>
      <c r="H94" s="53"/>
      <c r="I94" s="53"/>
      <c r="J94" s="60"/>
      <c r="K94" s="61"/>
      <c r="L94" s="62" t="str">
        <f t="shared" si="66"/>
        <v/>
      </c>
      <c r="M94" s="71" t="str">
        <f t="shared" si="67"/>
        <v/>
      </c>
      <c r="N94" s="72"/>
      <c r="O94" s="70" t="str">
        <f t="shared" si="71"/>
        <v/>
      </c>
      <c r="P94" s="70" t="str">
        <f t="shared" si="72"/>
        <v/>
      </c>
      <c r="Q94" s="70" t="str">
        <f t="shared" si="73"/>
        <v/>
      </c>
      <c r="R94" s="80" t="str">
        <f t="shared" si="74"/>
        <v/>
      </c>
      <c r="S94" s="81" t="str">
        <f t="shared" si="57"/>
        <v/>
      </c>
      <c r="T94" s="82" t="str">
        <f t="shared" si="64"/>
        <v/>
      </c>
      <c r="U94" s="82" t="str">
        <f t="shared" si="65"/>
        <v/>
      </c>
      <c r="V94" s="81" t="str">
        <f t="shared" si="58"/>
        <v/>
      </c>
      <c r="W94" s="81" t="str">
        <f t="shared" si="59"/>
        <v/>
      </c>
      <c r="X94" s="81" t="str">
        <f t="shared" si="60"/>
        <v/>
      </c>
      <c r="Y94" s="88" t="str">
        <f t="shared" si="61"/>
        <v/>
      </c>
      <c r="Z94" s="89" t="str">
        <f t="shared" si="68"/>
        <v/>
      </c>
      <c r="AA94" s="89" t="str">
        <f t="shared" si="69"/>
        <v/>
      </c>
      <c r="AB94" s="89" t="str">
        <f t="shared" si="70"/>
        <v/>
      </c>
      <c r="AC94" s="89" t="str">
        <f t="shared" si="62"/>
        <v/>
      </c>
      <c r="AD94" s="96"/>
      <c r="AE94" s="97" t="str">
        <f t="shared" si="63"/>
        <v/>
      </c>
      <c r="AF94" s="98"/>
      <c r="AG94" s="105"/>
      <c r="AH94" s="105"/>
      <c r="AI94" s="106"/>
      <c r="AJ94" s="108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  <c r="AZ94" s="114"/>
      <c r="BA94" s="114"/>
      <c r="BB94" s="114"/>
      <c r="BC94" s="114"/>
      <c r="BD94" s="114"/>
      <c r="BE94" s="114"/>
      <c r="BF94" s="114"/>
      <c r="BG94" s="114"/>
      <c r="BH94" s="114"/>
      <c r="BI94" s="114"/>
      <c r="BJ94" s="114"/>
      <c r="BK94" s="114"/>
      <c r="BL94" s="114"/>
      <c r="BM94" s="114"/>
      <c r="BN94" s="114"/>
      <c r="BO94" s="114"/>
      <c r="BP94" s="114"/>
      <c r="BQ94" s="122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</row>
    <row r="95" ht="15" customHeight="1" spans="1:136">
      <c r="A95" s="34">
        <v>14</v>
      </c>
      <c r="B95" s="37"/>
      <c r="C95" s="40"/>
      <c r="D95" s="38"/>
      <c r="E95" s="50"/>
      <c r="F95" s="51"/>
      <c r="G95" s="52"/>
      <c r="H95" s="53"/>
      <c r="I95" s="53"/>
      <c r="J95" s="60"/>
      <c r="K95" s="61"/>
      <c r="L95" s="62" t="str">
        <f t="shared" si="66"/>
        <v/>
      </c>
      <c r="M95" s="71" t="str">
        <f t="shared" si="67"/>
        <v/>
      </c>
      <c r="N95" s="69"/>
      <c r="O95" s="70" t="str">
        <f t="shared" si="71"/>
        <v/>
      </c>
      <c r="P95" s="70" t="str">
        <f t="shared" si="72"/>
        <v/>
      </c>
      <c r="Q95" s="70" t="str">
        <f t="shared" si="73"/>
        <v/>
      </c>
      <c r="R95" s="80" t="str">
        <f t="shared" si="74"/>
        <v/>
      </c>
      <c r="S95" s="81" t="str">
        <f t="shared" si="57"/>
        <v/>
      </c>
      <c r="T95" s="82" t="str">
        <f t="shared" si="64"/>
        <v/>
      </c>
      <c r="U95" s="82" t="str">
        <f t="shared" si="65"/>
        <v/>
      </c>
      <c r="V95" s="81" t="str">
        <f t="shared" si="58"/>
        <v/>
      </c>
      <c r="W95" s="81" t="str">
        <f t="shared" si="59"/>
        <v/>
      </c>
      <c r="X95" s="81" t="str">
        <f t="shared" si="60"/>
        <v/>
      </c>
      <c r="Y95" s="88" t="str">
        <f t="shared" si="61"/>
        <v/>
      </c>
      <c r="Z95" s="89" t="str">
        <f t="shared" si="68"/>
        <v/>
      </c>
      <c r="AA95" s="89" t="str">
        <f t="shared" si="69"/>
        <v/>
      </c>
      <c r="AB95" s="89" t="str">
        <f t="shared" si="70"/>
        <v/>
      </c>
      <c r="AC95" s="89" t="str">
        <f t="shared" si="62"/>
        <v/>
      </c>
      <c r="AD95" s="96"/>
      <c r="AE95" s="97" t="str">
        <f t="shared" si="63"/>
        <v/>
      </c>
      <c r="AF95" s="98"/>
      <c r="AG95" s="105"/>
      <c r="AH95" s="105"/>
      <c r="AI95" s="106"/>
      <c r="AJ95" s="107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22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</row>
    <row r="96" ht="15" customHeight="1" spans="1:136">
      <c r="A96" s="34">
        <v>15</v>
      </c>
      <c r="B96" s="37"/>
      <c r="C96" s="40"/>
      <c r="D96" s="39"/>
      <c r="E96" s="50"/>
      <c r="F96" s="51"/>
      <c r="G96" s="52"/>
      <c r="H96" s="53"/>
      <c r="I96" s="53"/>
      <c r="J96" s="60"/>
      <c r="K96" s="61"/>
      <c r="L96" s="62" t="str">
        <f t="shared" si="66"/>
        <v/>
      </c>
      <c r="M96" s="71" t="str">
        <f t="shared" si="67"/>
        <v/>
      </c>
      <c r="N96" s="69"/>
      <c r="O96" s="70" t="str">
        <f t="shared" si="71"/>
        <v/>
      </c>
      <c r="P96" s="70" t="str">
        <f t="shared" si="72"/>
        <v/>
      </c>
      <c r="Q96" s="70" t="str">
        <f t="shared" si="73"/>
        <v/>
      </c>
      <c r="R96" s="80" t="str">
        <f t="shared" si="74"/>
        <v/>
      </c>
      <c r="S96" s="81" t="str">
        <f t="shared" si="57"/>
        <v/>
      </c>
      <c r="T96" s="82" t="str">
        <f t="shared" si="64"/>
        <v/>
      </c>
      <c r="U96" s="82" t="str">
        <f t="shared" si="65"/>
        <v/>
      </c>
      <c r="V96" s="81" t="str">
        <f t="shared" si="58"/>
        <v/>
      </c>
      <c r="W96" s="81" t="str">
        <f t="shared" si="59"/>
        <v/>
      </c>
      <c r="X96" s="81" t="str">
        <f t="shared" si="60"/>
        <v/>
      </c>
      <c r="Y96" s="88" t="str">
        <f t="shared" si="61"/>
        <v/>
      </c>
      <c r="Z96" s="89" t="str">
        <f t="shared" si="68"/>
        <v/>
      </c>
      <c r="AA96" s="89" t="str">
        <f t="shared" si="69"/>
        <v/>
      </c>
      <c r="AB96" s="89" t="str">
        <f t="shared" si="70"/>
        <v/>
      </c>
      <c r="AC96" s="89" t="str">
        <f t="shared" si="62"/>
        <v/>
      </c>
      <c r="AD96" s="96"/>
      <c r="AE96" s="97" t="str">
        <f t="shared" si="63"/>
        <v/>
      </c>
      <c r="AF96" s="98"/>
      <c r="AG96" s="105"/>
      <c r="AH96" s="105"/>
      <c r="AI96" s="106"/>
      <c r="AJ96" s="107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22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</row>
    <row r="97" ht="15" customHeight="1" spans="1:136">
      <c r="A97" s="34">
        <v>15</v>
      </c>
      <c r="B97" s="37"/>
      <c r="C97" s="40"/>
      <c r="D97" s="38"/>
      <c r="E97" s="50"/>
      <c r="F97" s="51"/>
      <c r="G97" s="52"/>
      <c r="H97" s="53"/>
      <c r="I97" s="53"/>
      <c r="J97" s="60"/>
      <c r="K97" s="61"/>
      <c r="L97" s="62" t="str">
        <f t="shared" si="66"/>
        <v/>
      </c>
      <c r="M97" s="71" t="str">
        <f t="shared" si="67"/>
        <v/>
      </c>
      <c r="N97" s="69"/>
      <c r="O97" s="70" t="str">
        <f t="shared" si="71"/>
        <v/>
      </c>
      <c r="P97" s="70" t="str">
        <f t="shared" si="72"/>
        <v/>
      </c>
      <c r="Q97" s="70" t="str">
        <f t="shared" si="73"/>
        <v/>
      </c>
      <c r="R97" s="80" t="str">
        <f t="shared" si="74"/>
        <v/>
      </c>
      <c r="S97" s="81" t="str">
        <f t="shared" si="57"/>
        <v/>
      </c>
      <c r="T97" s="82" t="str">
        <f t="shared" si="64"/>
        <v/>
      </c>
      <c r="U97" s="82" t="str">
        <f t="shared" si="65"/>
        <v/>
      </c>
      <c r="V97" s="81" t="str">
        <f t="shared" si="58"/>
        <v/>
      </c>
      <c r="W97" s="81" t="str">
        <f t="shared" si="59"/>
        <v/>
      </c>
      <c r="X97" s="81" t="str">
        <f t="shared" si="60"/>
        <v/>
      </c>
      <c r="Y97" s="88" t="str">
        <f t="shared" si="61"/>
        <v/>
      </c>
      <c r="Z97" s="89" t="str">
        <f t="shared" si="68"/>
        <v/>
      </c>
      <c r="AA97" s="89" t="str">
        <f t="shared" si="69"/>
        <v/>
      </c>
      <c r="AB97" s="89" t="str">
        <f t="shared" si="70"/>
        <v/>
      </c>
      <c r="AC97" s="89" t="str">
        <f t="shared" si="62"/>
        <v/>
      </c>
      <c r="AD97" s="96"/>
      <c r="AE97" s="97" t="str">
        <f t="shared" si="63"/>
        <v/>
      </c>
      <c r="AF97" s="98"/>
      <c r="AG97" s="105"/>
      <c r="AH97" s="105"/>
      <c r="AI97" s="106"/>
      <c r="AJ97" s="107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22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</row>
    <row r="98" ht="15" customHeight="1" spans="1:136">
      <c r="A98" s="34">
        <v>17</v>
      </c>
      <c r="B98" s="37"/>
      <c r="C98" s="40"/>
      <c r="D98" s="38"/>
      <c r="E98" s="50"/>
      <c r="F98" s="51"/>
      <c r="G98" s="52"/>
      <c r="H98" s="53"/>
      <c r="I98" s="53"/>
      <c r="J98" s="60"/>
      <c r="K98" s="61"/>
      <c r="L98" s="62" t="str">
        <f t="shared" si="66"/>
        <v/>
      </c>
      <c r="M98" s="71" t="str">
        <f t="shared" si="67"/>
        <v/>
      </c>
      <c r="N98" s="72"/>
      <c r="O98" s="70" t="str">
        <f t="shared" si="71"/>
        <v/>
      </c>
      <c r="P98" s="70" t="str">
        <f t="shared" si="72"/>
        <v/>
      </c>
      <c r="Q98" s="70" t="str">
        <f t="shared" si="73"/>
        <v/>
      </c>
      <c r="R98" s="80" t="str">
        <f t="shared" si="74"/>
        <v/>
      </c>
      <c r="S98" s="81" t="str">
        <f t="shared" si="57"/>
        <v/>
      </c>
      <c r="T98" s="82" t="str">
        <f t="shared" si="64"/>
        <v/>
      </c>
      <c r="U98" s="82" t="str">
        <f t="shared" si="65"/>
        <v/>
      </c>
      <c r="V98" s="81" t="str">
        <f t="shared" si="58"/>
        <v/>
      </c>
      <c r="W98" s="81" t="str">
        <f t="shared" si="59"/>
        <v/>
      </c>
      <c r="X98" s="81" t="str">
        <f t="shared" si="60"/>
        <v/>
      </c>
      <c r="Y98" s="88" t="str">
        <f t="shared" si="61"/>
        <v/>
      </c>
      <c r="Z98" s="89" t="str">
        <f t="shared" si="68"/>
        <v/>
      </c>
      <c r="AA98" s="89" t="str">
        <f t="shared" si="69"/>
        <v/>
      </c>
      <c r="AB98" s="89" t="str">
        <f t="shared" si="70"/>
        <v/>
      </c>
      <c r="AC98" s="89" t="str">
        <f t="shared" si="62"/>
        <v/>
      </c>
      <c r="AD98" s="96"/>
      <c r="AE98" s="97" t="str">
        <f t="shared" si="63"/>
        <v/>
      </c>
      <c r="AF98" s="98"/>
      <c r="AG98" s="105"/>
      <c r="AH98" s="105"/>
      <c r="AI98" s="106"/>
      <c r="AJ98" s="108"/>
      <c r="AK98" s="114"/>
      <c r="AL98" s="114"/>
      <c r="AM98" s="114"/>
      <c r="AN98" s="114"/>
      <c r="AO98" s="114"/>
      <c r="AP98" s="114"/>
      <c r="AQ98" s="114"/>
      <c r="AR98" s="114"/>
      <c r="AS98" s="114"/>
      <c r="AT98" s="114"/>
      <c r="AU98" s="114"/>
      <c r="AV98" s="114"/>
      <c r="AW98" s="114"/>
      <c r="AX98" s="114"/>
      <c r="AY98" s="114"/>
      <c r="AZ98" s="114"/>
      <c r="BA98" s="114"/>
      <c r="BB98" s="114"/>
      <c r="BC98" s="114"/>
      <c r="BD98" s="114"/>
      <c r="BE98" s="114"/>
      <c r="BF98" s="114"/>
      <c r="BG98" s="114"/>
      <c r="BH98" s="114"/>
      <c r="BI98" s="114"/>
      <c r="BJ98" s="114"/>
      <c r="BK98" s="114"/>
      <c r="BL98" s="114"/>
      <c r="BM98" s="114"/>
      <c r="BN98" s="114"/>
      <c r="BO98" s="114"/>
      <c r="BP98" s="114"/>
      <c r="BQ98" s="122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</row>
    <row r="99" ht="15" customHeight="1" spans="1:136">
      <c r="A99" s="34">
        <v>18</v>
      </c>
      <c r="B99" s="37"/>
      <c r="C99" s="40"/>
      <c r="D99" s="39"/>
      <c r="E99" s="50"/>
      <c r="F99" s="51"/>
      <c r="G99" s="52"/>
      <c r="H99" s="53"/>
      <c r="I99" s="53"/>
      <c r="J99" s="60"/>
      <c r="K99" s="61"/>
      <c r="L99" s="62" t="str">
        <f t="shared" si="66"/>
        <v/>
      </c>
      <c r="M99" s="71" t="str">
        <f t="shared" si="67"/>
        <v/>
      </c>
      <c r="N99" s="72"/>
      <c r="O99" s="70" t="str">
        <f t="shared" si="71"/>
        <v/>
      </c>
      <c r="P99" s="70" t="str">
        <f t="shared" si="72"/>
        <v/>
      </c>
      <c r="Q99" s="70" t="str">
        <f t="shared" si="73"/>
        <v/>
      </c>
      <c r="R99" s="80" t="str">
        <f t="shared" si="74"/>
        <v/>
      </c>
      <c r="S99" s="81" t="str">
        <f t="shared" si="57"/>
        <v/>
      </c>
      <c r="T99" s="82" t="str">
        <f t="shared" si="64"/>
        <v/>
      </c>
      <c r="U99" s="82" t="str">
        <f t="shared" si="65"/>
        <v/>
      </c>
      <c r="V99" s="81" t="str">
        <f t="shared" si="58"/>
        <v/>
      </c>
      <c r="W99" s="81" t="str">
        <f t="shared" si="59"/>
        <v/>
      </c>
      <c r="X99" s="81" t="str">
        <f t="shared" si="60"/>
        <v/>
      </c>
      <c r="Y99" s="88" t="str">
        <f t="shared" si="61"/>
        <v/>
      </c>
      <c r="Z99" s="89" t="str">
        <f t="shared" si="68"/>
        <v/>
      </c>
      <c r="AA99" s="89" t="str">
        <f t="shared" si="69"/>
        <v/>
      </c>
      <c r="AB99" s="89" t="str">
        <f t="shared" si="70"/>
        <v/>
      </c>
      <c r="AC99" s="89" t="str">
        <f t="shared" si="62"/>
        <v/>
      </c>
      <c r="AD99" s="96"/>
      <c r="AE99" s="97" t="str">
        <f t="shared" si="63"/>
        <v/>
      </c>
      <c r="AF99" s="98"/>
      <c r="AG99" s="105"/>
      <c r="AH99" s="105"/>
      <c r="AI99" s="106"/>
      <c r="AJ99" s="108"/>
      <c r="AK99" s="114"/>
      <c r="AL99" s="114"/>
      <c r="AM99" s="114"/>
      <c r="AN99" s="114"/>
      <c r="AO99" s="114"/>
      <c r="AP99" s="114"/>
      <c r="AQ99" s="114"/>
      <c r="AR99" s="114"/>
      <c r="AS99" s="114"/>
      <c r="AT99" s="114"/>
      <c r="AU99" s="114"/>
      <c r="AV99" s="114"/>
      <c r="AW99" s="114"/>
      <c r="AX99" s="114"/>
      <c r="AY99" s="114"/>
      <c r="AZ99" s="114"/>
      <c r="BA99" s="114"/>
      <c r="BB99" s="114"/>
      <c r="BC99" s="114"/>
      <c r="BD99" s="114"/>
      <c r="BE99" s="114"/>
      <c r="BF99" s="114"/>
      <c r="BG99" s="114"/>
      <c r="BH99" s="114"/>
      <c r="BI99" s="114"/>
      <c r="BJ99" s="114"/>
      <c r="BK99" s="114"/>
      <c r="BL99" s="114"/>
      <c r="BM99" s="114"/>
      <c r="BN99" s="114"/>
      <c r="BO99" s="114"/>
      <c r="BP99" s="114"/>
      <c r="BQ99" s="122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</row>
    <row r="100" ht="15" customHeight="1" spans="1:136">
      <c r="A100" s="34">
        <v>19</v>
      </c>
      <c r="B100" s="37"/>
      <c r="C100" s="40"/>
      <c r="D100" s="39"/>
      <c r="E100" s="50"/>
      <c r="F100" s="51"/>
      <c r="G100" s="52"/>
      <c r="H100" s="53"/>
      <c r="I100" s="53"/>
      <c r="J100" s="60"/>
      <c r="K100" s="61"/>
      <c r="L100" s="62" t="str">
        <f t="shared" si="66"/>
        <v/>
      </c>
      <c r="M100" s="71" t="str">
        <f t="shared" si="67"/>
        <v/>
      </c>
      <c r="N100" s="72"/>
      <c r="O100" s="70" t="str">
        <f t="shared" si="71"/>
        <v/>
      </c>
      <c r="P100" s="70" t="str">
        <f t="shared" si="72"/>
        <v/>
      </c>
      <c r="Q100" s="70" t="str">
        <f t="shared" si="73"/>
        <v/>
      </c>
      <c r="R100" s="80" t="str">
        <f t="shared" si="74"/>
        <v/>
      </c>
      <c r="S100" s="81" t="str">
        <f t="shared" si="57"/>
        <v/>
      </c>
      <c r="T100" s="82" t="str">
        <f t="shared" si="64"/>
        <v/>
      </c>
      <c r="U100" s="82" t="str">
        <f t="shared" si="65"/>
        <v/>
      </c>
      <c r="V100" s="81" t="str">
        <f t="shared" si="58"/>
        <v/>
      </c>
      <c r="W100" s="81" t="str">
        <f t="shared" si="59"/>
        <v/>
      </c>
      <c r="X100" s="81" t="str">
        <f t="shared" si="60"/>
        <v/>
      </c>
      <c r="Y100" s="88" t="str">
        <f t="shared" si="61"/>
        <v/>
      </c>
      <c r="Z100" s="89" t="str">
        <f t="shared" si="68"/>
        <v/>
      </c>
      <c r="AA100" s="89" t="str">
        <f t="shared" si="69"/>
        <v/>
      </c>
      <c r="AB100" s="89" t="str">
        <f t="shared" si="70"/>
        <v/>
      </c>
      <c r="AC100" s="89" t="str">
        <f t="shared" si="62"/>
        <v/>
      </c>
      <c r="AD100" s="96"/>
      <c r="AE100" s="97" t="str">
        <f t="shared" ref="AE100:AE131" si="75">IF(AD100="","",IF(AD100&gt;=0.966,"Normal","Not Normal"))</f>
        <v/>
      </c>
      <c r="AF100" s="98"/>
      <c r="AG100" s="105"/>
      <c r="AH100" s="105"/>
      <c r="AI100" s="106"/>
      <c r="AJ100" s="108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22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</row>
    <row r="101" ht="15" customHeight="1" spans="1:136">
      <c r="A101" s="34">
        <v>20</v>
      </c>
      <c r="B101" s="37"/>
      <c r="C101" s="40"/>
      <c r="D101" s="39"/>
      <c r="E101" s="50"/>
      <c r="F101" s="51"/>
      <c r="G101" s="52"/>
      <c r="H101" s="53"/>
      <c r="I101" s="53"/>
      <c r="J101" s="60"/>
      <c r="K101" s="61"/>
      <c r="L101" s="62" t="str">
        <f t="shared" si="66"/>
        <v/>
      </c>
      <c r="M101" s="71" t="str">
        <f t="shared" si="67"/>
        <v/>
      </c>
      <c r="N101" s="72"/>
      <c r="O101" s="70" t="str">
        <f t="shared" si="71"/>
        <v/>
      </c>
      <c r="P101" s="70" t="str">
        <f t="shared" si="72"/>
        <v/>
      </c>
      <c r="Q101" s="70" t="str">
        <f t="shared" si="73"/>
        <v/>
      </c>
      <c r="R101" s="80" t="str">
        <f t="shared" si="74"/>
        <v/>
      </c>
      <c r="S101" s="81" t="str">
        <f t="shared" si="57"/>
        <v/>
      </c>
      <c r="T101" s="82" t="str">
        <f t="shared" si="64"/>
        <v/>
      </c>
      <c r="U101" s="82" t="str">
        <f t="shared" si="65"/>
        <v/>
      </c>
      <c r="V101" s="81" t="str">
        <f t="shared" si="58"/>
        <v/>
      </c>
      <c r="W101" s="81" t="str">
        <f t="shared" si="59"/>
        <v/>
      </c>
      <c r="X101" s="81" t="str">
        <f t="shared" si="60"/>
        <v/>
      </c>
      <c r="Y101" s="88" t="str">
        <f t="shared" si="61"/>
        <v/>
      </c>
      <c r="Z101" s="89" t="str">
        <f t="shared" si="68"/>
        <v/>
      </c>
      <c r="AA101" s="89" t="str">
        <f t="shared" si="69"/>
        <v/>
      </c>
      <c r="AB101" s="89" t="str">
        <f t="shared" si="70"/>
        <v/>
      </c>
      <c r="AC101" s="89" t="str">
        <f t="shared" si="62"/>
        <v/>
      </c>
      <c r="AD101" s="96"/>
      <c r="AE101" s="97" t="str">
        <f t="shared" si="75"/>
        <v/>
      </c>
      <c r="AF101" s="98"/>
      <c r="AG101" s="105"/>
      <c r="AH101" s="105"/>
      <c r="AI101" s="106"/>
      <c r="AJ101" s="108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22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</row>
    <row r="102" ht="15" customHeight="1" spans="1:136">
      <c r="A102" s="34">
        <v>21</v>
      </c>
      <c r="B102" s="37"/>
      <c r="C102" s="40"/>
      <c r="D102" s="39"/>
      <c r="E102" s="50"/>
      <c r="F102" s="51"/>
      <c r="G102" s="52"/>
      <c r="H102" s="53"/>
      <c r="I102" s="53"/>
      <c r="J102" s="60"/>
      <c r="K102" s="61"/>
      <c r="L102" s="62" t="str">
        <f t="shared" si="66"/>
        <v/>
      </c>
      <c r="M102" s="71" t="str">
        <f t="shared" si="67"/>
        <v/>
      </c>
      <c r="N102" s="72"/>
      <c r="O102" s="70" t="str">
        <f t="shared" si="71"/>
        <v/>
      </c>
      <c r="P102" s="70" t="str">
        <f t="shared" si="72"/>
        <v/>
      </c>
      <c r="Q102" s="70" t="str">
        <f t="shared" si="73"/>
        <v/>
      </c>
      <c r="R102" s="80" t="str">
        <f t="shared" si="74"/>
        <v/>
      </c>
      <c r="S102" s="81" t="str">
        <f t="shared" ref="S102:S131" si="76">IF(OR($AK102="",ISNUMBER($AK102)=FALSE),"",IF(AND(G102=0,I102=0),V102,IF(AND(G102="",H102=""),W102,(H102+ABS(I102))/(6*R102))))</f>
        <v/>
      </c>
      <c r="T102" s="82" t="str">
        <f t="shared" si="64"/>
        <v/>
      </c>
      <c r="U102" s="82" t="str">
        <f t="shared" si="65"/>
        <v/>
      </c>
      <c r="V102" s="81" t="str">
        <f t="shared" ref="V102:V131" si="77">IF(OR($AK102="",ISNUMBER($AK102)=FALSE),"",IF(H102="","",(L102-Q102)/(3*R102)))</f>
        <v/>
      </c>
      <c r="W102" s="81" t="str">
        <f t="shared" ref="W102:W131" si="78">IF(OR($AK102="",ISNUMBER($AK102)=FALSE),"",IF(I102="","",(Q102-M102)/(3*R102)))</f>
        <v/>
      </c>
      <c r="X102" s="81" t="str">
        <f t="shared" si="60"/>
        <v/>
      </c>
      <c r="Y102" s="88" t="str">
        <f t="shared" si="61"/>
        <v/>
      </c>
      <c r="Z102" s="89" t="str">
        <f t="shared" si="68"/>
        <v/>
      </c>
      <c r="AA102" s="89" t="str">
        <f t="shared" si="69"/>
        <v/>
      </c>
      <c r="AB102" s="89" t="str">
        <f t="shared" si="70"/>
        <v/>
      </c>
      <c r="AC102" s="89" t="str">
        <f t="shared" si="62"/>
        <v/>
      </c>
      <c r="AD102" s="96"/>
      <c r="AE102" s="97" t="str">
        <f t="shared" si="75"/>
        <v/>
      </c>
      <c r="AF102" s="98"/>
      <c r="AG102" s="105"/>
      <c r="AH102" s="105"/>
      <c r="AI102" s="106"/>
      <c r="AJ102" s="108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22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</row>
    <row r="103" ht="15" customHeight="1" spans="1:136">
      <c r="A103" s="34">
        <v>22</v>
      </c>
      <c r="B103" s="37"/>
      <c r="C103" s="40"/>
      <c r="D103" s="39"/>
      <c r="E103" s="50"/>
      <c r="F103" s="51"/>
      <c r="G103" s="52"/>
      <c r="H103" s="53"/>
      <c r="I103" s="53"/>
      <c r="J103" s="60"/>
      <c r="K103" s="61"/>
      <c r="L103" s="62" t="str">
        <f t="shared" si="66"/>
        <v/>
      </c>
      <c r="M103" s="71" t="str">
        <f t="shared" si="67"/>
        <v/>
      </c>
      <c r="N103" s="72"/>
      <c r="O103" s="70" t="str">
        <f t="shared" si="71"/>
        <v/>
      </c>
      <c r="P103" s="70" t="str">
        <f t="shared" si="72"/>
        <v/>
      </c>
      <c r="Q103" s="70" t="str">
        <f t="shared" si="73"/>
        <v/>
      </c>
      <c r="R103" s="80" t="str">
        <f t="shared" si="74"/>
        <v/>
      </c>
      <c r="S103" s="81" t="str">
        <f t="shared" si="76"/>
        <v/>
      </c>
      <c r="T103" s="82" t="str">
        <f t="shared" si="64"/>
        <v/>
      </c>
      <c r="U103" s="82" t="str">
        <f t="shared" si="65"/>
        <v/>
      </c>
      <c r="V103" s="81" t="str">
        <f t="shared" si="77"/>
        <v/>
      </c>
      <c r="W103" s="81" t="str">
        <f t="shared" si="78"/>
        <v/>
      </c>
      <c r="X103" s="81" t="str">
        <f t="shared" si="60"/>
        <v/>
      </c>
      <c r="Y103" s="88" t="str">
        <f t="shared" si="61"/>
        <v/>
      </c>
      <c r="Z103" s="89" t="str">
        <f t="shared" si="68"/>
        <v/>
      </c>
      <c r="AA103" s="89" t="str">
        <f t="shared" si="69"/>
        <v/>
      </c>
      <c r="AB103" s="89" t="str">
        <f t="shared" si="70"/>
        <v/>
      </c>
      <c r="AC103" s="89" t="str">
        <f t="shared" si="62"/>
        <v/>
      </c>
      <c r="AD103" s="96"/>
      <c r="AE103" s="97" t="str">
        <f t="shared" si="75"/>
        <v/>
      </c>
      <c r="AF103" s="98"/>
      <c r="AG103" s="105"/>
      <c r="AH103" s="105"/>
      <c r="AI103" s="106"/>
      <c r="AJ103" s="108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22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</row>
    <row r="104" ht="15" customHeight="1" spans="1:136">
      <c r="A104" s="34">
        <v>23</v>
      </c>
      <c r="B104" s="37"/>
      <c r="C104" s="40"/>
      <c r="D104" s="39"/>
      <c r="E104" s="50"/>
      <c r="F104" s="51"/>
      <c r="G104" s="52"/>
      <c r="H104" s="53"/>
      <c r="I104" s="53"/>
      <c r="J104" s="60"/>
      <c r="K104" s="61"/>
      <c r="L104" s="62" t="str">
        <f t="shared" si="66"/>
        <v/>
      </c>
      <c r="M104" s="71" t="str">
        <f t="shared" si="67"/>
        <v/>
      </c>
      <c r="N104" s="72"/>
      <c r="O104" s="70" t="str">
        <f t="shared" si="71"/>
        <v/>
      </c>
      <c r="P104" s="70" t="str">
        <f t="shared" si="72"/>
        <v/>
      </c>
      <c r="Q104" s="70" t="str">
        <f t="shared" si="73"/>
        <v/>
      </c>
      <c r="R104" s="80" t="str">
        <f t="shared" si="74"/>
        <v/>
      </c>
      <c r="S104" s="81" t="str">
        <f t="shared" si="76"/>
        <v/>
      </c>
      <c r="T104" s="82" t="str">
        <f t="shared" si="64"/>
        <v/>
      </c>
      <c r="U104" s="82" t="str">
        <f t="shared" si="65"/>
        <v/>
      </c>
      <c r="V104" s="81" t="str">
        <f t="shared" si="77"/>
        <v/>
      </c>
      <c r="W104" s="81" t="str">
        <f t="shared" si="78"/>
        <v/>
      </c>
      <c r="X104" s="81" t="str">
        <f t="shared" si="60"/>
        <v/>
      </c>
      <c r="Y104" s="88" t="str">
        <f t="shared" si="61"/>
        <v/>
      </c>
      <c r="Z104" s="89" t="str">
        <f t="shared" si="68"/>
        <v/>
      </c>
      <c r="AA104" s="89" t="str">
        <f t="shared" si="69"/>
        <v/>
      </c>
      <c r="AB104" s="89" t="str">
        <f t="shared" si="70"/>
        <v/>
      </c>
      <c r="AC104" s="89" t="str">
        <f t="shared" si="62"/>
        <v/>
      </c>
      <c r="AD104" s="96"/>
      <c r="AE104" s="97" t="str">
        <f t="shared" si="75"/>
        <v/>
      </c>
      <c r="AF104" s="98"/>
      <c r="AG104" s="105"/>
      <c r="AH104" s="105"/>
      <c r="AI104" s="106"/>
      <c r="AJ104" s="108"/>
      <c r="AK104" s="114"/>
      <c r="AL104" s="114"/>
      <c r="AM104" s="114"/>
      <c r="AN104" s="114"/>
      <c r="AO104" s="114"/>
      <c r="AP104" s="114"/>
      <c r="AQ104" s="114"/>
      <c r="AR104" s="114"/>
      <c r="AS104" s="114"/>
      <c r="AT104" s="114"/>
      <c r="AU104" s="114"/>
      <c r="AV104" s="114"/>
      <c r="AW104" s="114"/>
      <c r="AX104" s="114"/>
      <c r="AY104" s="114"/>
      <c r="AZ104" s="114"/>
      <c r="BA104" s="114"/>
      <c r="BB104" s="114"/>
      <c r="BC104" s="114"/>
      <c r="BD104" s="114"/>
      <c r="BE104" s="114"/>
      <c r="BF104" s="114"/>
      <c r="BG104" s="114"/>
      <c r="BH104" s="114"/>
      <c r="BI104" s="114"/>
      <c r="BJ104" s="114"/>
      <c r="BK104" s="114"/>
      <c r="BL104" s="114"/>
      <c r="BM104" s="114"/>
      <c r="BN104" s="114"/>
      <c r="BO104" s="114"/>
      <c r="BP104" s="114"/>
      <c r="BQ104" s="122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</row>
    <row r="105" ht="15" customHeight="1" spans="1:136">
      <c r="A105" s="34">
        <v>24</v>
      </c>
      <c r="B105" s="37"/>
      <c r="C105" s="40"/>
      <c r="D105" s="39"/>
      <c r="E105" s="50"/>
      <c r="F105" s="51"/>
      <c r="G105" s="52"/>
      <c r="H105" s="53"/>
      <c r="I105" s="53"/>
      <c r="J105" s="60"/>
      <c r="K105" s="61"/>
      <c r="L105" s="62" t="str">
        <f t="shared" si="66"/>
        <v/>
      </c>
      <c r="M105" s="71" t="str">
        <f t="shared" si="67"/>
        <v/>
      </c>
      <c r="N105" s="72"/>
      <c r="O105" s="70" t="str">
        <f t="shared" si="71"/>
        <v/>
      </c>
      <c r="P105" s="70" t="str">
        <f t="shared" si="72"/>
        <v/>
      </c>
      <c r="Q105" s="70" t="str">
        <f t="shared" si="73"/>
        <v/>
      </c>
      <c r="R105" s="80" t="str">
        <f t="shared" si="74"/>
        <v/>
      </c>
      <c r="S105" s="81" t="str">
        <f t="shared" si="76"/>
        <v/>
      </c>
      <c r="T105" s="82" t="str">
        <f t="shared" si="64"/>
        <v/>
      </c>
      <c r="U105" s="82" t="str">
        <f t="shared" si="65"/>
        <v/>
      </c>
      <c r="V105" s="81" t="str">
        <f t="shared" si="77"/>
        <v/>
      </c>
      <c r="W105" s="81" t="str">
        <f t="shared" si="78"/>
        <v/>
      </c>
      <c r="X105" s="81" t="str">
        <f t="shared" si="60"/>
        <v/>
      </c>
      <c r="Y105" s="88" t="str">
        <f t="shared" si="61"/>
        <v/>
      </c>
      <c r="Z105" s="89" t="str">
        <f t="shared" si="68"/>
        <v/>
      </c>
      <c r="AA105" s="89" t="str">
        <f t="shared" si="69"/>
        <v/>
      </c>
      <c r="AB105" s="89" t="str">
        <f t="shared" si="70"/>
        <v/>
      </c>
      <c r="AC105" s="89" t="str">
        <f t="shared" si="62"/>
        <v/>
      </c>
      <c r="AD105" s="96"/>
      <c r="AE105" s="97" t="str">
        <f t="shared" si="75"/>
        <v/>
      </c>
      <c r="AF105" s="98"/>
      <c r="AG105" s="105"/>
      <c r="AH105" s="105"/>
      <c r="AI105" s="106"/>
      <c r="AJ105" s="108"/>
      <c r="AK105" s="114"/>
      <c r="AL105" s="114"/>
      <c r="AM105" s="114"/>
      <c r="AN105" s="114"/>
      <c r="AO105" s="114"/>
      <c r="AP105" s="114"/>
      <c r="AQ105" s="114"/>
      <c r="AR105" s="114"/>
      <c r="AS105" s="114"/>
      <c r="AT105" s="114"/>
      <c r="AU105" s="114"/>
      <c r="AV105" s="114"/>
      <c r="AW105" s="114"/>
      <c r="AX105" s="114"/>
      <c r="AY105" s="114"/>
      <c r="AZ105" s="114"/>
      <c r="BA105" s="114"/>
      <c r="BB105" s="114"/>
      <c r="BC105" s="114"/>
      <c r="BD105" s="114"/>
      <c r="BE105" s="114"/>
      <c r="BF105" s="114"/>
      <c r="BG105" s="114"/>
      <c r="BH105" s="114"/>
      <c r="BI105" s="114"/>
      <c r="BJ105" s="114"/>
      <c r="BK105" s="114"/>
      <c r="BL105" s="114"/>
      <c r="BM105" s="114"/>
      <c r="BN105" s="114"/>
      <c r="BO105" s="114"/>
      <c r="BP105" s="114"/>
      <c r="BQ105" s="122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</row>
    <row r="106" ht="15" customHeight="1" spans="1:136">
      <c r="A106" s="34">
        <v>25</v>
      </c>
      <c r="B106" s="37"/>
      <c r="C106" s="40"/>
      <c r="D106" s="39"/>
      <c r="E106" s="50"/>
      <c r="F106" s="51"/>
      <c r="G106" s="52"/>
      <c r="H106" s="53"/>
      <c r="I106" s="53"/>
      <c r="J106" s="60"/>
      <c r="K106" s="61"/>
      <c r="L106" s="62" t="str">
        <f t="shared" si="66"/>
        <v/>
      </c>
      <c r="M106" s="71" t="str">
        <f t="shared" si="67"/>
        <v/>
      </c>
      <c r="N106" s="72"/>
      <c r="O106" s="70" t="str">
        <f t="shared" si="71"/>
        <v/>
      </c>
      <c r="P106" s="70" t="str">
        <f t="shared" si="72"/>
        <v/>
      </c>
      <c r="Q106" s="70" t="str">
        <f t="shared" si="73"/>
        <v/>
      </c>
      <c r="R106" s="80" t="str">
        <f t="shared" si="74"/>
        <v/>
      </c>
      <c r="S106" s="81" t="str">
        <f t="shared" si="76"/>
        <v/>
      </c>
      <c r="T106" s="82" t="str">
        <f t="shared" si="64"/>
        <v/>
      </c>
      <c r="U106" s="82" t="str">
        <f t="shared" si="65"/>
        <v/>
      </c>
      <c r="V106" s="81" t="str">
        <f t="shared" si="77"/>
        <v/>
      </c>
      <c r="W106" s="81" t="str">
        <f t="shared" si="78"/>
        <v/>
      </c>
      <c r="X106" s="81" t="str">
        <f t="shared" si="60"/>
        <v/>
      </c>
      <c r="Y106" s="88" t="str">
        <f t="shared" si="61"/>
        <v/>
      </c>
      <c r="Z106" s="89" t="str">
        <f t="shared" si="68"/>
        <v/>
      </c>
      <c r="AA106" s="89" t="str">
        <f t="shared" si="69"/>
        <v/>
      </c>
      <c r="AB106" s="89" t="str">
        <f t="shared" si="70"/>
        <v/>
      </c>
      <c r="AC106" s="89" t="str">
        <f t="shared" si="62"/>
        <v/>
      </c>
      <c r="AD106" s="96"/>
      <c r="AE106" s="97" t="str">
        <f t="shared" si="75"/>
        <v/>
      </c>
      <c r="AF106" s="98"/>
      <c r="AG106" s="105"/>
      <c r="AH106" s="105"/>
      <c r="AI106" s="106"/>
      <c r="AJ106" s="108"/>
      <c r="AK106" s="114"/>
      <c r="AL106" s="114"/>
      <c r="AM106" s="114"/>
      <c r="AN106" s="114"/>
      <c r="AO106" s="114"/>
      <c r="AP106" s="114"/>
      <c r="AQ106" s="114"/>
      <c r="AR106" s="114"/>
      <c r="AS106" s="114"/>
      <c r="AT106" s="114"/>
      <c r="AU106" s="114"/>
      <c r="AV106" s="114"/>
      <c r="AW106" s="114"/>
      <c r="AX106" s="114"/>
      <c r="AY106" s="114"/>
      <c r="AZ106" s="114"/>
      <c r="BA106" s="114"/>
      <c r="BB106" s="114"/>
      <c r="BC106" s="114"/>
      <c r="BD106" s="114"/>
      <c r="BE106" s="114"/>
      <c r="BF106" s="114"/>
      <c r="BG106" s="114"/>
      <c r="BH106" s="114"/>
      <c r="BI106" s="114"/>
      <c r="BJ106" s="114"/>
      <c r="BK106" s="114"/>
      <c r="BL106" s="114"/>
      <c r="BM106" s="114"/>
      <c r="BN106" s="114"/>
      <c r="BO106" s="114"/>
      <c r="BP106" s="114"/>
      <c r="BQ106" s="122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</row>
    <row r="107" ht="15" customHeight="1" spans="1:136">
      <c r="A107" s="34">
        <v>26</v>
      </c>
      <c r="B107" s="37"/>
      <c r="C107" s="40"/>
      <c r="D107" s="38"/>
      <c r="E107" s="50"/>
      <c r="F107" s="51"/>
      <c r="G107" s="52"/>
      <c r="H107" s="53"/>
      <c r="I107" s="53"/>
      <c r="J107" s="60"/>
      <c r="K107" s="61"/>
      <c r="L107" s="62" t="str">
        <f t="shared" si="66"/>
        <v/>
      </c>
      <c r="M107" s="71" t="str">
        <f t="shared" si="67"/>
        <v/>
      </c>
      <c r="N107" s="72"/>
      <c r="O107" s="70" t="str">
        <f t="shared" si="71"/>
        <v/>
      </c>
      <c r="P107" s="70" t="str">
        <f t="shared" si="72"/>
        <v/>
      </c>
      <c r="Q107" s="70" t="str">
        <f t="shared" si="73"/>
        <v/>
      </c>
      <c r="R107" s="80" t="str">
        <f t="shared" si="74"/>
        <v/>
      </c>
      <c r="S107" s="81" t="str">
        <f t="shared" si="76"/>
        <v/>
      </c>
      <c r="T107" s="82" t="str">
        <f t="shared" si="64"/>
        <v/>
      </c>
      <c r="U107" s="82" t="str">
        <f t="shared" si="65"/>
        <v/>
      </c>
      <c r="V107" s="81" t="str">
        <f t="shared" si="77"/>
        <v/>
      </c>
      <c r="W107" s="81" t="str">
        <f t="shared" si="78"/>
        <v/>
      </c>
      <c r="X107" s="81" t="str">
        <f t="shared" ref="X107:X131" si="79">IF(OR($AK107="",ISNUMBER($AK107)=FALSE),"",IF(AND(G107=0,I107=0),((H107)-(Q107))/(3*R107),MIN(V107:W107)))</f>
        <v/>
      </c>
      <c r="Y107" s="90" t="str">
        <f t="shared" ref="Y107:Y131" si="80">IF(OR($AK107="",ISNUMBER($AK107)=FALSE),"",IF(AND(G107=0,I107=0),NORMSDIST(3*X107),NORMSDIST(3*X107)+NORMSDIST(6*S107-3*X107)-1))</f>
        <v/>
      </c>
      <c r="Z107" s="89" t="str">
        <f t="shared" si="68"/>
        <v/>
      </c>
      <c r="AA107" s="89" t="str">
        <f t="shared" si="69"/>
        <v/>
      </c>
      <c r="AB107" s="89" t="str">
        <f t="shared" si="70"/>
        <v/>
      </c>
      <c r="AC107" s="89" t="str">
        <f t="shared" si="62"/>
        <v/>
      </c>
      <c r="AD107" s="96"/>
      <c r="AE107" s="97" t="str">
        <f t="shared" si="75"/>
        <v/>
      </c>
      <c r="AF107" s="98"/>
      <c r="AG107" s="105"/>
      <c r="AH107" s="105"/>
      <c r="AI107" s="106"/>
      <c r="AJ107" s="108"/>
      <c r="AK107" s="114"/>
      <c r="AL107" s="114"/>
      <c r="AM107" s="114"/>
      <c r="AN107" s="114"/>
      <c r="AO107" s="114"/>
      <c r="AP107" s="114"/>
      <c r="AQ107" s="114"/>
      <c r="AR107" s="114"/>
      <c r="AS107" s="114"/>
      <c r="AT107" s="114"/>
      <c r="AU107" s="114"/>
      <c r="AV107" s="114"/>
      <c r="AW107" s="114"/>
      <c r="AX107" s="114"/>
      <c r="AY107" s="114"/>
      <c r="AZ107" s="114"/>
      <c r="BA107" s="114"/>
      <c r="BB107" s="114"/>
      <c r="BC107" s="114"/>
      <c r="BD107" s="114"/>
      <c r="BE107" s="114"/>
      <c r="BF107" s="114"/>
      <c r="BG107" s="114"/>
      <c r="BH107" s="114"/>
      <c r="BI107" s="114"/>
      <c r="BJ107" s="114"/>
      <c r="BK107" s="114"/>
      <c r="BL107" s="114"/>
      <c r="BM107" s="114"/>
      <c r="BN107" s="114"/>
      <c r="BO107" s="114"/>
      <c r="BP107" s="114"/>
      <c r="BQ107" s="122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5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</row>
    <row r="108" ht="15" customHeight="1" spans="1:136">
      <c r="A108" s="34">
        <v>27</v>
      </c>
      <c r="B108" s="37"/>
      <c r="C108" s="40"/>
      <c r="D108" s="38"/>
      <c r="E108" s="50"/>
      <c r="F108" s="51"/>
      <c r="G108" s="52"/>
      <c r="H108" s="53"/>
      <c r="I108" s="53"/>
      <c r="J108" s="60"/>
      <c r="K108" s="61"/>
      <c r="L108" s="62" t="str">
        <f t="shared" si="66"/>
        <v/>
      </c>
      <c r="M108" s="71" t="str">
        <f t="shared" si="67"/>
        <v/>
      </c>
      <c r="N108" s="72"/>
      <c r="O108" s="70" t="str">
        <f t="shared" si="71"/>
        <v/>
      </c>
      <c r="P108" s="70" t="str">
        <f t="shared" si="72"/>
        <v/>
      </c>
      <c r="Q108" s="70" t="str">
        <f t="shared" si="73"/>
        <v/>
      </c>
      <c r="R108" s="80" t="str">
        <f t="shared" si="74"/>
        <v/>
      </c>
      <c r="S108" s="81" t="str">
        <f t="shared" si="76"/>
        <v/>
      </c>
      <c r="T108" s="82" t="str">
        <f t="shared" si="64"/>
        <v/>
      </c>
      <c r="U108" s="82" t="str">
        <f t="shared" si="65"/>
        <v/>
      </c>
      <c r="V108" s="81" t="str">
        <f t="shared" si="77"/>
        <v/>
      </c>
      <c r="W108" s="81" t="str">
        <f t="shared" si="78"/>
        <v/>
      </c>
      <c r="X108" s="81" t="str">
        <f t="shared" si="79"/>
        <v/>
      </c>
      <c r="Y108" s="90" t="str">
        <f t="shared" si="80"/>
        <v/>
      </c>
      <c r="Z108" s="89" t="str">
        <f t="shared" si="68"/>
        <v/>
      </c>
      <c r="AA108" s="89" t="str">
        <f t="shared" si="69"/>
        <v/>
      </c>
      <c r="AB108" s="89" t="str">
        <f t="shared" si="70"/>
        <v/>
      </c>
      <c r="AC108" s="89" t="str">
        <f t="shared" si="62"/>
        <v/>
      </c>
      <c r="AD108" s="96"/>
      <c r="AE108" s="97" t="str">
        <f t="shared" si="75"/>
        <v/>
      </c>
      <c r="AF108" s="98"/>
      <c r="AG108" s="105"/>
      <c r="AH108" s="105"/>
      <c r="AI108" s="106"/>
      <c r="AJ108" s="108"/>
      <c r="AK108" s="114"/>
      <c r="AL108" s="114"/>
      <c r="AM108" s="114"/>
      <c r="AN108" s="114"/>
      <c r="AO108" s="114"/>
      <c r="AP108" s="114"/>
      <c r="AQ108" s="114"/>
      <c r="AR108" s="114"/>
      <c r="AS108" s="114"/>
      <c r="AT108" s="114"/>
      <c r="AU108" s="114"/>
      <c r="AV108" s="114"/>
      <c r="AW108" s="114"/>
      <c r="AX108" s="114"/>
      <c r="AY108" s="114"/>
      <c r="AZ108" s="114"/>
      <c r="BA108" s="114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22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</row>
    <row r="109" ht="15" customHeight="1" spans="1:136">
      <c r="A109" s="34">
        <v>28</v>
      </c>
      <c r="B109" s="37"/>
      <c r="C109" s="40"/>
      <c r="D109" s="38"/>
      <c r="E109" s="50"/>
      <c r="F109" s="51"/>
      <c r="G109" s="52"/>
      <c r="H109" s="53"/>
      <c r="I109" s="53"/>
      <c r="J109" s="60"/>
      <c r="K109" s="61"/>
      <c r="L109" s="62" t="str">
        <f t="shared" si="66"/>
        <v/>
      </c>
      <c r="M109" s="71" t="str">
        <f t="shared" si="67"/>
        <v/>
      </c>
      <c r="N109" s="72"/>
      <c r="O109" s="70" t="str">
        <f t="shared" si="71"/>
        <v/>
      </c>
      <c r="P109" s="70" t="str">
        <f t="shared" si="72"/>
        <v/>
      </c>
      <c r="Q109" s="70" t="str">
        <f t="shared" si="73"/>
        <v/>
      </c>
      <c r="R109" s="80" t="str">
        <f t="shared" si="74"/>
        <v/>
      </c>
      <c r="S109" s="81" t="str">
        <f t="shared" si="76"/>
        <v/>
      </c>
      <c r="T109" s="82" t="str">
        <f t="shared" si="64"/>
        <v/>
      </c>
      <c r="U109" s="82" t="str">
        <f t="shared" si="65"/>
        <v/>
      </c>
      <c r="V109" s="81" t="str">
        <f t="shared" si="77"/>
        <v/>
      </c>
      <c r="W109" s="81" t="str">
        <f t="shared" si="78"/>
        <v/>
      </c>
      <c r="X109" s="81" t="str">
        <f t="shared" si="79"/>
        <v/>
      </c>
      <c r="Y109" s="90" t="str">
        <f t="shared" si="80"/>
        <v/>
      </c>
      <c r="Z109" s="89" t="str">
        <f t="shared" si="68"/>
        <v/>
      </c>
      <c r="AA109" s="89" t="str">
        <f t="shared" si="69"/>
        <v/>
      </c>
      <c r="AB109" s="89" t="str">
        <f t="shared" si="70"/>
        <v/>
      </c>
      <c r="AC109" s="89" t="str">
        <f t="shared" si="62"/>
        <v/>
      </c>
      <c r="AD109" s="96"/>
      <c r="AE109" s="97" t="str">
        <f t="shared" si="75"/>
        <v/>
      </c>
      <c r="AF109" s="98"/>
      <c r="AG109" s="105"/>
      <c r="AH109" s="105"/>
      <c r="AI109" s="106"/>
      <c r="AJ109" s="108"/>
      <c r="AK109" s="114"/>
      <c r="AL109" s="114"/>
      <c r="AM109" s="114"/>
      <c r="AN109" s="114"/>
      <c r="AO109" s="114"/>
      <c r="AP109" s="114"/>
      <c r="AQ109" s="114"/>
      <c r="AR109" s="114"/>
      <c r="AS109" s="114"/>
      <c r="AT109" s="114"/>
      <c r="AU109" s="114"/>
      <c r="AV109" s="114"/>
      <c r="AW109" s="114"/>
      <c r="AX109" s="114"/>
      <c r="AY109" s="114"/>
      <c r="AZ109" s="114"/>
      <c r="BA109" s="114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22"/>
      <c r="BR109" s="123"/>
      <c r="BS109" s="123"/>
      <c r="BT109" s="123"/>
      <c r="BU109" s="123"/>
      <c r="BV109" s="123"/>
      <c r="BW109" s="125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</row>
    <row r="110" ht="15" customHeight="1" spans="1:136">
      <c r="A110" s="34">
        <v>29</v>
      </c>
      <c r="B110" s="37"/>
      <c r="C110" s="40"/>
      <c r="D110" s="38"/>
      <c r="E110" s="50"/>
      <c r="F110" s="51"/>
      <c r="G110" s="52"/>
      <c r="H110" s="53"/>
      <c r="I110" s="53"/>
      <c r="J110" s="60"/>
      <c r="K110" s="61"/>
      <c r="L110" s="62" t="str">
        <f t="shared" si="66"/>
        <v/>
      </c>
      <c r="M110" s="71" t="str">
        <f t="shared" si="67"/>
        <v/>
      </c>
      <c r="N110" s="72"/>
      <c r="O110" s="70" t="str">
        <f t="shared" si="71"/>
        <v/>
      </c>
      <c r="P110" s="70" t="str">
        <f t="shared" si="72"/>
        <v/>
      </c>
      <c r="Q110" s="70" t="str">
        <f t="shared" si="73"/>
        <v/>
      </c>
      <c r="R110" s="80" t="str">
        <f t="shared" si="74"/>
        <v/>
      </c>
      <c r="S110" s="81" t="str">
        <f t="shared" si="76"/>
        <v/>
      </c>
      <c r="T110" s="82" t="str">
        <f t="shared" si="64"/>
        <v/>
      </c>
      <c r="U110" s="82" t="str">
        <f t="shared" si="65"/>
        <v/>
      </c>
      <c r="V110" s="81" t="str">
        <f t="shared" si="77"/>
        <v/>
      </c>
      <c r="W110" s="81" t="str">
        <f t="shared" si="78"/>
        <v/>
      </c>
      <c r="X110" s="81" t="str">
        <f t="shared" si="79"/>
        <v/>
      </c>
      <c r="Y110" s="90" t="str">
        <f t="shared" si="80"/>
        <v/>
      </c>
      <c r="Z110" s="89" t="str">
        <f t="shared" si="68"/>
        <v/>
      </c>
      <c r="AA110" s="89" t="str">
        <f t="shared" si="69"/>
        <v/>
      </c>
      <c r="AB110" s="89" t="str">
        <f t="shared" si="70"/>
        <v/>
      </c>
      <c r="AC110" s="89" t="str">
        <f t="shared" si="62"/>
        <v/>
      </c>
      <c r="AD110" s="96"/>
      <c r="AE110" s="97" t="str">
        <f t="shared" si="75"/>
        <v/>
      </c>
      <c r="AF110" s="98"/>
      <c r="AG110" s="105"/>
      <c r="AH110" s="105"/>
      <c r="AI110" s="106"/>
      <c r="AJ110" s="108"/>
      <c r="AK110" s="114"/>
      <c r="AL110" s="114"/>
      <c r="AM110" s="114"/>
      <c r="AN110" s="114"/>
      <c r="AO110" s="114"/>
      <c r="AP110" s="114"/>
      <c r="AQ110" s="114"/>
      <c r="AR110" s="114"/>
      <c r="AS110" s="114"/>
      <c r="AT110" s="114"/>
      <c r="AU110" s="114"/>
      <c r="AV110" s="114"/>
      <c r="AW110" s="114"/>
      <c r="AX110" s="114"/>
      <c r="AY110" s="114"/>
      <c r="AZ110" s="114"/>
      <c r="BA110" s="114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22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</row>
    <row r="111" ht="15" customHeight="1" spans="1:136">
      <c r="A111" s="34">
        <v>30</v>
      </c>
      <c r="B111" s="37"/>
      <c r="C111" s="40"/>
      <c r="D111" s="38"/>
      <c r="E111" s="50"/>
      <c r="F111" s="51"/>
      <c r="G111" s="52"/>
      <c r="H111" s="53"/>
      <c r="I111" s="53"/>
      <c r="J111" s="60"/>
      <c r="K111" s="61"/>
      <c r="L111" s="62" t="str">
        <f t="shared" si="66"/>
        <v/>
      </c>
      <c r="M111" s="71" t="str">
        <f t="shared" si="67"/>
        <v/>
      </c>
      <c r="N111" s="72"/>
      <c r="O111" s="70" t="str">
        <f t="shared" si="71"/>
        <v/>
      </c>
      <c r="P111" s="70" t="str">
        <f t="shared" si="72"/>
        <v/>
      </c>
      <c r="Q111" s="70" t="str">
        <f t="shared" si="73"/>
        <v/>
      </c>
      <c r="R111" s="80" t="str">
        <f t="shared" si="74"/>
        <v/>
      </c>
      <c r="S111" s="81" t="str">
        <f t="shared" si="76"/>
        <v/>
      </c>
      <c r="T111" s="82" t="str">
        <f t="shared" si="64"/>
        <v/>
      </c>
      <c r="U111" s="82" t="str">
        <f t="shared" si="65"/>
        <v/>
      </c>
      <c r="V111" s="81" t="str">
        <f t="shared" si="77"/>
        <v/>
      </c>
      <c r="W111" s="81" t="str">
        <f t="shared" si="78"/>
        <v/>
      </c>
      <c r="X111" s="81" t="str">
        <f t="shared" si="79"/>
        <v/>
      </c>
      <c r="Y111" s="90" t="str">
        <f t="shared" si="80"/>
        <v/>
      </c>
      <c r="Z111" s="89" t="str">
        <f t="shared" si="68"/>
        <v/>
      </c>
      <c r="AA111" s="89" t="str">
        <f t="shared" si="69"/>
        <v/>
      </c>
      <c r="AB111" s="89" t="str">
        <f t="shared" si="70"/>
        <v/>
      </c>
      <c r="AC111" s="89" t="str">
        <f t="shared" si="62"/>
        <v/>
      </c>
      <c r="AD111" s="96"/>
      <c r="AE111" s="97" t="str">
        <f t="shared" si="75"/>
        <v/>
      </c>
      <c r="AF111" s="98"/>
      <c r="AG111" s="105"/>
      <c r="AH111" s="105"/>
      <c r="AI111" s="106"/>
      <c r="AJ111" s="108"/>
      <c r="AK111" s="114"/>
      <c r="AL111" s="114"/>
      <c r="AM111" s="114"/>
      <c r="AN111" s="114"/>
      <c r="AO111" s="114"/>
      <c r="AP111" s="114"/>
      <c r="AQ111" s="114"/>
      <c r="AR111" s="114"/>
      <c r="AS111" s="114"/>
      <c r="AT111" s="114"/>
      <c r="AU111" s="114"/>
      <c r="AV111" s="114"/>
      <c r="AW111" s="114"/>
      <c r="AX111" s="114"/>
      <c r="AY111" s="114"/>
      <c r="AZ111" s="114"/>
      <c r="BA111" s="114"/>
      <c r="BB111" s="114"/>
      <c r="BC111" s="114"/>
      <c r="BD111" s="114"/>
      <c r="BE111" s="114"/>
      <c r="BF111" s="114"/>
      <c r="BG111" s="114"/>
      <c r="BH111" s="114"/>
      <c r="BI111" s="114"/>
      <c r="BJ111" s="114"/>
      <c r="BK111" s="114"/>
      <c r="BL111" s="114"/>
      <c r="BM111" s="114"/>
      <c r="BN111" s="114"/>
      <c r="BO111" s="114"/>
      <c r="BP111" s="114"/>
      <c r="BQ111" s="122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</row>
    <row r="112" ht="15" customHeight="1" spans="1:136">
      <c r="A112" s="34">
        <v>31</v>
      </c>
      <c r="B112" s="37"/>
      <c r="C112" s="40"/>
      <c r="D112" s="39"/>
      <c r="E112" s="50"/>
      <c r="F112" s="51"/>
      <c r="G112" s="52"/>
      <c r="H112" s="53"/>
      <c r="I112" s="53"/>
      <c r="J112" s="60"/>
      <c r="K112" s="61"/>
      <c r="L112" s="62" t="str">
        <f t="shared" si="66"/>
        <v/>
      </c>
      <c r="M112" s="71" t="str">
        <f t="shared" si="67"/>
        <v/>
      </c>
      <c r="N112" s="72"/>
      <c r="O112" s="70" t="str">
        <f t="shared" si="71"/>
        <v/>
      </c>
      <c r="P112" s="70" t="str">
        <f t="shared" si="72"/>
        <v/>
      </c>
      <c r="Q112" s="70" t="str">
        <f t="shared" si="73"/>
        <v/>
      </c>
      <c r="R112" s="80" t="str">
        <f t="shared" si="74"/>
        <v/>
      </c>
      <c r="S112" s="81" t="str">
        <f t="shared" si="76"/>
        <v/>
      </c>
      <c r="T112" s="82" t="str">
        <f t="shared" si="64"/>
        <v/>
      </c>
      <c r="U112" s="82" t="str">
        <f t="shared" si="65"/>
        <v/>
      </c>
      <c r="V112" s="81" t="str">
        <f t="shared" si="77"/>
        <v/>
      </c>
      <c r="W112" s="81" t="str">
        <f t="shared" si="78"/>
        <v/>
      </c>
      <c r="X112" s="81" t="str">
        <f t="shared" si="79"/>
        <v/>
      </c>
      <c r="Y112" s="90" t="str">
        <f t="shared" si="80"/>
        <v/>
      </c>
      <c r="Z112" s="89" t="str">
        <f t="shared" si="68"/>
        <v/>
      </c>
      <c r="AA112" s="89" t="str">
        <f t="shared" si="69"/>
        <v/>
      </c>
      <c r="AB112" s="89" t="str">
        <f t="shared" si="70"/>
        <v/>
      </c>
      <c r="AC112" s="89" t="str">
        <f t="shared" si="62"/>
        <v/>
      </c>
      <c r="AD112" s="96"/>
      <c r="AE112" s="97" t="str">
        <f t="shared" si="75"/>
        <v/>
      </c>
      <c r="AF112" s="98"/>
      <c r="AG112" s="105"/>
      <c r="AH112" s="105"/>
      <c r="AI112" s="106"/>
      <c r="AJ112" s="108"/>
      <c r="AK112" s="114"/>
      <c r="AL112" s="114"/>
      <c r="AM112" s="114"/>
      <c r="AN112" s="114"/>
      <c r="AO112" s="114"/>
      <c r="AP112" s="114"/>
      <c r="AQ112" s="114"/>
      <c r="AR112" s="114"/>
      <c r="AS112" s="114"/>
      <c r="AT112" s="114"/>
      <c r="AU112" s="114"/>
      <c r="AV112" s="114"/>
      <c r="AW112" s="114"/>
      <c r="AX112" s="114"/>
      <c r="AY112" s="114"/>
      <c r="AZ112" s="114"/>
      <c r="BA112" s="114"/>
      <c r="BB112" s="114"/>
      <c r="BC112" s="114"/>
      <c r="BD112" s="114"/>
      <c r="BE112" s="114"/>
      <c r="BF112" s="114"/>
      <c r="BG112" s="114"/>
      <c r="BH112" s="114"/>
      <c r="BI112" s="114"/>
      <c r="BJ112" s="114"/>
      <c r="BK112" s="114"/>
      <c r="BL112" s="114"/>
      <c r="BM112" s="114"/>
      <c r="BN112" s="114"/>
      <c r="BO112" s="114"/>
      <c r="BP112" s="114"/>
      <c r="BQ112" s="122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</row>
    <row r="113" ht="15" customHeight="1" spans="1:136">
      <c r="A113" s="34">
        <v>32</v>
      </c>
      <c r="B113" s="37"/>
      <c r="C113" s="40"/>
      <c r="D113" s="38"/>
      <c r="E113" s="50"/>
      <c r="F113" s="51"/>
      <c r="G113" s="52"/>
      <c r="H113" s="53"/>
      <c r="I113" s="53"/>
      <c r="J113" s="60"/>
      <c r="K113" s="61"/>
      <c r="L113" s="62" t="str">
        <f t="shared" si="66"/>
        <v/>
      </c>
      <c r="M113" s="71" t="str">
        <f t="shared" si="67"/>
        <v/>
      </c>
      <c r="N113" s="72"/>
      <c r="O113" s="70" t="str">
        <f t="shared" si="71"/>
        <v/>
      </c>
      <c r="P113" s="70" t="str">
        <f t="shared" si="72"/>
        <v/>
      </c>
      <c r="Q113" s="70" t="str">
        <f t="shared" si="73"/>
        <v/>
      </c>
      <c r="R113" s="80" t="str">
        <f t="shared" si="74"/>
        <v/>
      </c>
      <c r="S113" s="81" t="str">
        <f t="shared" si="76"/>
        <v/>
      </c>
      <c r="T113" s="82" t="str">
        <f t="shared" si="64"/>
        <v/>
      </c>
      <c r="U113" s="82" t="str">
        <f t="shared" si="65"/>
        <v/>
      </c>
      <c r="V113" s="81" t="str">
        <f t="shared" si="77"/>
        <v/>
      </c>
      <c r="W113" s="81" t="str">
        <f t="shared" si="78"/>
        <v/>
      </c>
      <c r="X113" s="81" t="str">
        <f t="shared" si="79"/>
        <v/>
      </c>
      <c r="Y113" s="90" t="str">
        <f t="shared" si="80"/>
        <v/>
      </c>
      <c r="Z113" s="89" t="str">
        <f t="shared" si="68"/>
        <v/>
      </c>
      <c r="AA113" s="89" t="str">
        <f t="shared" si="69"/>
        <v/>
      </c>
      <c r="AB113" s="89" t="str">
        <f t="shared" si="70"/>
        <v/>
      </c>
      <c r="AC113" s="89" t="str">
        <f t="shared" si="62"/>
        <v/>
      </c>
      <c r="AD113" s="96"/>
      <c r="AE113" s="97" t="str">
        <f t="shared" si="75"/>
        <v/>
      </c>
      <c r="AF113" s="98"/>
      <c r="AG113" s="105"/>
      <c r="AH113" s="105"/>
      <c r="AI113" s="106"/>
      <c r="AJ113" s="108"/>
      <c r="AK113" s="114"/>
      <c r="AL113" s="114"/>
      <c r="AM113" s="114"/>
      <c r="AN113" s="114"/>
      <c r="AO113" s="114"/>
      <c r="AP113" s="114"/>
      <c r="AQ113" s="114"/>
      <c r="AR113" s="114"/>
      <c r="AS113" s="114"/>
      <c r="AT113" s="114"/>
      <c r="AU113" s="114"/>
      <c r="AV113" s="114"/>
      <c r="AW113" s="114"/>
      <c r="AX113" s="114"/>
      <c r="AY113" s="114"/>
      <c r="AZ113" s="114"/>
      <c r="BA113" s="114"/>
      <c r="BB113" s="114"/>
      <c r="BC113" s="114"/>
      <c r="BD113" s="114"/>
      <c r="BE113" s="114"/>
      <c r="BF113" s="114"/>
      <c r="BG113" s="114"/>
      <c r="BH113" s="114"/>
      <c r="BI113" s="114"/>
      <c r="BJ113" s="114"/>
      <c r="BK113" s="114"/>
      <c r="BL113" s="114"/>
      <c r="BM113" s="114"/>
      <c r="BN113" s="114"/>
      <c r="BO113" s="114"/>
      <c r="BP113" s="114"/>
      <c r="BQ113" s="122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</row>
    <row r="114" ht="15" customHeight="1" spans="1:136">
      <c r="A114" s="34">
        <v>33</v>
      </c>
      <c r="B114" s="37"/>
      <c r="C114" s="40"/>
      <c r="D114" s="38"/>
      <c r="E114" s="50"/>
      <c r="F114" s="51"/>
      <c r="G114" s="52"/>
      <c r="H114" s="53"/>
      <c r="I114" s="53"/>
      <c r="J114" s="60"/>
      <c r="K114" s="61"/>
      <c r="L114" s="62" t="str">
        <f t="shared" si="66"/>
        <v/>
      </c>
      <c r="M114" s="71" t="str">
        <f t="shared" si="67"/>
        <v/>
      </c>
      <c r="N114" s="72"/>
      <c r="O114" s="70" t="str">
        <f t="shared" si="71"/>
        <v/>
      </c>
      <c r="P114" s="70" t="str">
        <f t="shared" si="72"/>
        <v/>
      </c>
      <c r="Q114" s="70" t="str">
        <f t="shared" si="73"/>
        <v/>
      </c>
      <c r="R114" s="80" t="str">
        <f t="shared" si="74"/>
        <v/>
      </c>
      <c r="S114" s="81" t="str">
        <f t="shared" si="76"/>
        <v/>
      </c>
      <c r="T114" s="82" t="str">
        <f t="shared" si="64"/>
        <v/>
      </c>
      <c r="U114" s="82" t="str">
        <f t="shared" si="65"/>
        <v/>
      </c>
      <c r="V114" s="81" t="str">
        <f t="shared" si="77"/>
        <v/>
      </c>
      <c r="W114" s="81" t="str">
        <f t="shared" si="78"/>
        <v/>
      </c>
      <c r="X114" s="81" t="str">
        <f t="shared" si="79"/>
        <v/>
      </c>
      <c r="Y114" s="90" t="str">
        <f t="shared" si="80"/>
        <v/>
      </c>
      <c r="Z114" s="89" t="str">
        <f t="shared" si="68"/>
        <v/>
      </c>
      <c r="AA114" s="89" t="str">
        <f t="shared" si="69"/>
        <v/>
      </c>
      <c r="AB114" s="89" t="str">
        <f t="shared" si="70"/>
        <v/>
      </c>
      <c r="AC114" s="89" t="str">
        <f t="shared" si="62"/>
        <v/>
      </c>
      <c r="AD114" s="96"/>
      <c r="AE114" s="97" t="str">
        <f t="shared" si="75"/>
        <v/>
      </c>
      <c r="AF114" s="98"/>
      <c r="AG114" s="105"/>
      <c r="AH114" s="105"/>
      <c r="AI114" s="106"/>
      <c r="AJ114" s="108"/>
      <c r="AK114" s="114"/>
      <c r="AL114" s="114"/>
      <c r="AM114" s="114"/>
      <c r="AN114" s="114"/>
      <c r="AO114" s="114"/>
      <c r="AP114" s="114"/>
      <c r="AQ114" s="114"/>
      <c r="AR114" s="114"/>
      <c r="AS114" s="114"/>
      <c r="AT114" s="114"/>
      <c r="AU114" s="114"/>
      <c r="AV114" s="114"/>
      <c r="AW114" s="114"/>
      <c r="AX114" s="114"/>
      <c r="AY114" s="114"/>
      <c r="AZ114" s="114"/>
      <c r="BA114" s="114"/>
      <c r="BB114" s="114"/>
      <c r="BC114" s="114"/>
      <c r="BD114" s="114"/>
      <c r="BE114" s="114"/>
      <c r="BF114" s="114"/>
      <c r="BG114" s="114"/>
      <c r="BH114" s="114"/>
      <c r="BI114" s="114"/>
      <c r="BJ114" s="114"/>
      <c r="BK114" s="114"/>
      <c r="BL114" s="114"/>
      <c r="BM114" s="114"/>
      <c r="BN114" s="114"/>
      <c r="BO114" s="114"/>
      <c r="BP114" s="114"/>
      <c r="BQ114" s="122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5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</row>
    <row r="115" ht="15" customHeight="1" spans="1:136">
      <c r="A115" s="34">
        <v>34</v>
      </c>
      <c r="B115" s="37"/>
      <c r="C115" s="40"/>
      <c r="D115" s="38"/>
      <c r="E115" s="50"/>
      <c r="F115" s="51"/>
      <c r="G115" s="52"/>
      <c r="H115" s="53"/>
      <c r="I115" s="53"/>
      <c r="J115" s="60"/>
      <c r="K115" s="61"/>
      <c r="L115" s="62" t="str">
        <f t="shared" si="66"/>
        <v/>
      </c>
      <c r="M115" s="71" t="str">
        <f t="shared" si="67"/>
        <v/>
      </c>
      <c r="N115" s="72"/>
      <c r="O115" s="70" t="str">
        <f t="shared" si="71"/>
        <v/>
      </c>
      <c r="P115" s="70" t="str">
        <f t="shared" si="72"/>
        <v/>
      </c>
      <c r="Q115" s="70" t="str">
        <f t="shared" si="73"/>
        <v/>
      </c>
      <c r="R115" s="80" t="str">
        <f t="shared" si="74"/>
        <v/>
      </c>
      <c r="S115" s="81" t="str">
        <f t="shared" si="76"/>
        <v/>
      </c>
      <c r="T115" s="82" t="str">
        <f t="shared" si="64"/>
        <v/>
      </c>
      <c r="U115" s="82" t="str">
        <f t="shared" si="65"/>
        <v/>
      </c>
      <c r="V115" s="81" t="str">
        <f t="shared" si="77"/>
        <v/>
      </c>
      <c r="W115" s="81" t="str">
        <f t="shared" si="78"/>
        <v/>
      </c>
      <c r="X115" s="81" t="str">
        <f t="shared" si="79"/>
        <v/>
      </c>
      <c r="Y115" s="90" t="str">
        <f t="shared" si="80"/>
        <v/>
      </c>
      <c r="Z115" s="89" t="str">
        <f t="shared" si="68"/>
        <v/>
      </c>
      <c r="AA115" s="89" t="str">
        <f t="shared" si="69"/>
        <v/>
      </c>
      <c r="AB115" s="89" t="str">
        <f t="shared" si="70"/>
        <v/>
      </c>
      <c r="AC115" s="89" t="str">
        <f t="shared" si="62"/>
        <v/>
      </c>
      <c r="AD115" s="96"/>
      <c r="AE115" s="97" t="str">
        <f t="shared" si="75"/>
        <v/>
      </c>
      <c r="AF115" s="98"/>
      <c r="AG115" s="105"/>
      <c r="AH115" s="105"/>
      <c r="AI115" s="106"/>
      <c r="AJ115" s="108"/>
      <c r="AK115" s="114"/>
      <c r="AL115" s="114"/>
      <c r="AM115" s="114"/>
      <c r="AN115" s="114"/>
      <c r="AO115" s="114"/>
      <c r="AP115" s="114"/>
      <c r="AQ115" s="114"/>
      <c r="AR115" s="114"/>
      <c r="AS115" s="114"/>
      <c r="AT115" s="114"/>
      <c r="AU115" s="114"/>
      <c r="AV115" s="114"/>
      <c r="AW115" s="114"/>
      <c r="AX115" s="114"/>
      <c r="AY115" s="114"/>
      <c r="AZ115" s="114"/>
      <c r="BA115" s="114"/>
      <c r="BB115" s="114"/>
      <c r="BC115" s="114"/>
      <c r="BD115" s="114"/>
      <c r="BE115" s="114"/>
      <c r="BF115" s="114"/>
      <c r="BG115" s="114"/>
      <c r="BH115" s="114"/>
      <c r="BI115" s="114"/>
      <c r="BJ115" s="114"/>
      <c r="BK115" s="114"/>
      <c r="BL115" s="114"/>
      <c r="BM115" s="114"/>
      <c r="BN115" s="114"/>
      <c r="BO115" s="114"/>
      <c r="BP115" s="114"/>
      <c r="BQ115" s="122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</row>
    <row r="116" ht="15" customHeight="1" spans="1:136">
      <c r="A116" s="34">
        <v>35</v>
      </c>
      <c r="B116" s="37"/>
      <c r="C116" s="40"/>
      <c r="D116" s="38"/>
      <c r="E116" s="50"/>
      <c r="F116" s="51"/>
      <c r="G116" s="52"/>
      <c r="H116" s="53"/>
      <c r="I116" s="53"/>
      <c r="J116" s="60"/>
      <c r="K116" s="61"/>
      <c r="L116" s="62" t="str">
        <f t="shared" si="66"/>
        <v/>
      </c>
      <c r="M116" s="71" t="str">
        <f t="shared" si="67"/>
        <v/>
      </c>
      <c r="N116" s="72"/>
      <c r="O116" s="70" t="str">
        <f t="shared" si="71"/>
        <v/>
      </c>
      <c r="P116" s="70" t="str">
        <f t="shared" si="72"/>
        <v/>
      </c>
      <c r="Q116" s="70" t="str">
        <f t="shared" si="73"/>
        <v/>
      </c>
      <c r="R116" s="80" t="str">
        <f t="shared" si="74"/>
        <v/>
      </c>
      <c r="S116" s="81" t="str">
        <f t="shared" si="76"/>
        <v/>
      </c>
      <c r="T116" s="82" t="str">
        <f t="shared" si="64"/>
        <v/>
      </c>
      <c r="U116" s="82" t="str">
        <f t="shared" si="65"/>
        <v/>
      </c>
      <c r="V116" s="81" t="str">
        <f t="shared" si="77"/>
        <v/>
      </c>
      <c r="W116" s="81" t="str">
        <f t="shared" si="78"/>
        <v/>
      </c>
      <c r="X116" s="81" t="str">
        <f t="shared" si="79"/>
        <v/>
      </c>
      <c r="Y116" s="90" t="str">
        <f t="shared" si="80"/>
        <v/>
      </c>
      <c r="Z116" s="89" t="str">
        <f t="shared" si="68"/>
        <v/>
      </c>
      <c r="AA116" s="89" t="str">
        <f t="shared" si="69"/>
        <v/>
      </c>
      <c r="AB116" s="89" t="str">
        <f t="shared" si="70"/>
        <v/>
      </c>
      <c r="AC116" s="89" t="str">
        <f t="shared" si="62"/>
        <v/>
      </c>
      <c r="AD116" s="96"/>
      <c r="AE116" s="97" t="str">
        <f t="shared" si="75"/>
        <v/>
      </c>
      <c r="AF116" s="98"/>
      <c r="AG116" s="105"/>
      <c r="AH116" s="105"/>
      <c r="AI116" s="106"/>
      <c r="AJ116" s="108"/>
      <c r="AK116" s="114"/>
      <c r="AL116" s="114"/>
      <c r="AM116" s="114"/>
      <c r="AN116" s="114"/>
      <c r="AO116" s="114"/>
      <c r="AP116" s="114"/>
      <c r="AQ116" s="114"/>
      <c r="AR116" s="114"/>
      <c r="AS116" s="114"/>
      <c r="AT116" s="114"/>
      <c r="AU116" s="114"/>
      <c r="AV116" s="114"/>
      <c r="AW116" s="114"/>
      <c r="AX116" s="114"/>
      <c r="AY116" s="114"/>
      <c r="AZ116" s="114"/>
      <c r="BA116" s="114"/>
      <c r="BB116" s="114"/>
      <c r="BC116" s="114"/>
      <c r="BD116" s="114"/>
      <c r="BE116" s="114"/>
      <c r="BF116" s="114"/>
      <c r="BG116" s="114"/>
      <c r="BH116" s="114"/>
      <c r="BI116" s="114"/>
      <c r="BJ116" s="114"/>
      <c r="BK116" s="114"/>
      <c r="BL116" s="114"/>
      <c r="BM116" s="114"/>
      <c r="BN116" s="114"/>
      <c r="BO116" s="114"/>
      <c r="BP116" s="114"/>
      <c r="BQ116" s="122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</row>
    <row r="117" ht="15" customHeight="1" spans="1:136">
      <c r="A117" s="41">
        <v>36</v>
      </c>
      <c r="B117" s="37"/>
      <c r="C117" s="40"/>
      <c r="D117" s="38"/>
      <c r="E117" s="50"/>
      <c r="F117" s="51"/>
      <c r="G117" s="52"/>
      <c r="H117" s="53"/>
      <c r="I117" s="53"/>
      <c r="J117" s="60"/>
      <c r="K117" s="61"/>
      <c r="L117" s="62" t="str">
        <f t="shared" si="66"/>
        <v/>
      </c>
      <c r="M117" s="71" t="str">
        <f t="shared" si="67"/>
        <v/>
      </c>
      <c r="N117" s="73"/>
      <c r="O117" s="70" t="str">
        <f t="shared" si="71"/>
        <v/>
      </c>
      <c r="P117" s="70" t="str">
        <f t="shared" si="72"/>
        <v/>
      </c>
      <c r="Q117" s="70" t="str">
        <f t="shared" si="73"/>
        <v/>
      </c>
      <c r="R117" s="80" t="str">
        <f t="shared" si="74"/>
        <v/>
      </c>
      <c r="S117" s="81" t="str">
        <f t="shared" si="76"/>
        <v/>
      </c>
      <c r="T117" s="82" t="str">
        <f t="shared" si="64"/>
        <v/>
      </c>
      <c r="U117" s="82" t="str">
        <f t="shared" si="65"/>
        <v/>
      </c>
      <c r="V117" s="81" t="str">
        <f t="shared" si="77"/>
        <v/>
      </c>
      <c r="W117" s="81" t="str">
        <f t="shared" si="78"/>
        <v/>
      </c>
      <c r="X117" s="81" t="str">
        <f t="shared" si="79"/>
        <v/>
      </c>
      <c r="Y117" s="90" t="str">
        <f t="shared" si="80"/>
        <v/>
      </c>
      <c r="Z117" s="89" t="str">
        <f t="shared" si="68"/>
        <v/>
      </c>
      <c r="AA117" s="89" t="str">
        <f t="shared" si="69"/>
        <v/>
      </c>
      <c r="AB117" s="89" t="str">
        <f t="shared" si="70"/>
        <v/>
      </c>
      <c r="AC117" s="89" t="str">
        <f t="shared" si="62"/>
        <v/>
      </c>
      <c r="AD117" s="96"/>
      <c r="AE117" s="97" t="str">
        <f t="shared" si="75"/>
        <v/>
      </c>
      <c r="AF117" s="98"/>
      <c r="AG117" s="105"/>
      <c r="AH117" s="105"/>
      <c r="AI117" s="106"/>
      <c r="AJ117" s="108"/>
      <c r="AK117" s="114"/>
      <c r="AL117" s="114"/>
      <c r="AM117" s="114"/>
      <c r="AN117" s="114"/>
      <c r="AO117" s="114"/>
      <c r="AP117" s="114"/>
      <c r="AQ117" s="114"/>
      <c r="AR117" s="114"/>
      <c r="AS117" s="114"/>
      <c r="AT117" s="114"/>
      <c r="AU117" s="114"/>
      <c r="AV117" s="114"/>
      <c r="AW117" s="114"/>
      <c r="AX117" s="114"/>
      <c r="AY117" s="114"/>
      <c r="AZ117" s="114"/>
      <c r="BA117" s="114"/>
      <c r="BB117" s="114"/>
      <c r="BC117" s="114"/>
      <c r="BD117" s="114"/>
      <c r="BE117" s="114"/>
      <c r="BF117" s="114"/>
      <c r="BG117" s="114"/>
      <c r="BH117" s="114"/>
      <c r="BI117" s="114"/>
      <c r="BJ117" s="114"/>
      <c r="BK117" s="114"/>
      <c r="BL117" s="114"/>
      <c r="BM117" s="114"/>
      <c r="BN117" s="114"/>
      <c r="BO117" s="114"/>
      <c r="BP117" s="114"/>
      <c r="BQ117" s="122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</row>
    <row r="118" ht="15" customHeight="1" spans="1:136">
      <c r="A118" s="34">
        <v>37</v>
      </c>
      <c r="B118" s="37"/>
      <c r="C118" s="40"/>
      <c r="D118" s="38"/>
      <c r="E118" s="50"/>
      <c r="F118" s="51"/>
      <c r="G118" s="52"/>
      <c r="H118" s="53"/>
      <c r="I118" s="53"/>
      <c r="J118" s="60"/>
      <c r="K118" s="61"/>
      <c r="L118" s="62" t="str">
        <f t="shared" si="66"/>
        <v/>
      </c>
      <c r="M118" s="71" t="str">
        <f t="shared" si="67"/>
        <v/>
      </c>
      <c r="N118" s="72"/>
      <c r="O118" s="70" t="str">
        <f t="shared" si="71"/>
        <v/>
      </c>
      <c r="P118" s="70" t="str">
        <f t="shared" si="72"/>
        <v/>
      </c>
      <c r="Q118" s="70" t="str">
        <f t="shared" si="73"/>
        <v/>
      </c>
      <c r="R118" s="80" t="str">
        <f t="shared" si="74"/>
        <v/>
      </c>
      <c r="S118" s="81" t="str">
        <f t="shared" si="76"/>
        <v/>
      </c>
      <c r="T118" s="82" t="str">
        <f t="shared" si="64"/>
        <v/>
      </c>
      <c r="U118" s="82" t="str">
        <f t="shared" si="65"/>
        <v/>
      </c>
      <c r="V118" s="81" t="str">
        <f t="shared" si="77"/>
        <v/>
      </c>
      <c r="W118" s="81" t="str">
        <f t="shared" si="78"/>
        <v/>
      </c>
      <c r="X118" s="81" t="str">
        <f t="shared" si="79"/>
        <v/>
      </c>
      <c r="Y118" s="90" t="str">
        <f t="shared" si="80"/>
        <v/>
      </c>
      <c r="Z118" s="89" t="str">
        <f t="shared" si="68"/>
        <v/>
      </c>
      <c r="AA118" s="89" t="str">
        <f t="shared" si="69"/>
        <v/>
      </c>
      <c r="AB118" s="89" t="str">
        <f t="shared" si="70"/>
        <v/>
      </c>
      <c r="AC118" s="89" t="str">
        <f t="shared" si="62"/>
        <v/>
      </c>
      <c r="AD118" s="96"/>
      <c r="AE118" s="97" t="str">
        <f t="shared" si="75"/>
        <v/>
      </c>
      <c r="AF118" s="98"/>
      <c r="AG118" s="105"/>
      <c r="AH118" s="105"/>
      <c r="AI118" s="106"/>
      <c r="AJ118" s="108"/>
      <c r="AK118" s="114"/>
      <c r="AL118" s="114"/>
      <c r="AM118" s="114"/>
      <c r="AN118" s="114"/>
      <c r="AO118" s="114"/>
      <c r="AP118" s="114"/>
      <c r="AQ118" s="114"/>
      <c r="AR118" s="114"/>
      <c r="AS118" s="114"/>
      <c r="AT118" s="114"/>
      <c r="AU118" s="114"/>
      <c r="AV118" s="114"/>
      <c r="AW118" s="114"/>
      <c r="AX118" s="114"/>
      <c r="AY118" s="114"/>
      <c r="AZ118" s="114"/>
      <c r="BA118" s="114"/>
      <c r="BB118" s="114"/>
      <c r="BC118" s="114"/>
      <c r="BD118" s="114"/>
      <c r="BE118" s="114"/>
      <c r="BF118" s="114"/>
      <c r="BG118" s="114"/>
      <c r="BH118" s="114"/>
      <c r="BI118" s="114"/>
      <c r="BJ118" s="114"/>
      <c r="BK118" s="114"/>
      <c r="BL118" s="114"/>
      <c r="BM118" s="114"/>
      <c r="BN118" s="114"/>
      <c r="BO118" s="114"/>
      <c r="BP118" s="114"/>
      <c r="BQ118" s="122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</row>
    <row r="119" ht="15" customHeight="1" spans="1:136">
      <c r="A119" s="34">
        <v>38</v>
      </c>
      <c r="B119" s="37"/>
      <c r="C119" s="40"/>
      <c r="D119" s="38"/>
      <c r="E119" s="50"/>
      <c r="F119" s="51"/>
      <c r="G119" s="52"/>
      <c r="H119" s="53"/>
      <c r="I119" s="53"/>
      <c r="J119" s="60"/>
      <c r="K119" s="61"/>
      <c r="L119" s="62" t="str">
        <f t="shared" si="66"/>
        <v/>
      </c>
      <c r="M119" s="71" t="str">
        <f t="shared" si="67"/>
        <v/>
      </c>
      <c r="N119" s="72"/>
      <c r="O119" s="70" t="str">
        <f t="shared" si="71"/>
        <v/>
      </c>
      <c r="P119" s="70" t="str">
        <f t="shared" si="72"/>
        <v/>
      </c>
      <c r="Q119" s="70" t="str">
        <f t="shared" si="73"/>
        <v/>
      </c>
      <c r="R119" s="80" t="str">
        <f t="shared" si="74"/>
        <v/>
      </c>
      <c r="S119" s="81" t="str">
        <f t="shared" si="76"/>
        <v/>
      </c>
      <c r="T119" s="82" t="str">
        <f t="shared" si="64"/>
        <v/>
      </c>
      <c r="U119" s="82" t="str">
        <f t="shared" si="65"/>
        <v/>
      </c>
      <c r="V119" s="81" t="str">
        <f t="shared" si="77"/>
        <v/>
      </c>
      <c r="W119" s="81" t="str">
        <f t="shared" si="78"/>
        <v/>
      </c>
      <c r="X119" s="81" t="str">
        <f t="shared" si="79"/>
        <v/>
      </c>
      <c r="Y119" s="90" t="str">
        <f t="shared" si="80"/>
        <v/>
      </c>
      <c r="Z119" s="89" t="str">
        <f t="shared" si="68"/>
        <v/>
      </c>
      <c r="AA119" s="89" t="str">
        <f t="shared" si="69"/>
        <v/>
      </c>
      <c r="AB119" s="89" t="str">
        <f t="shared" si="70"/>
        <v/>
      </c>
      <c r="AC119" s="89" t="str">
        <f t="shared" si="62"/>
        <v/>
      </c>
      <c r="AD119" s="96"/>
      <c r="AE119" s="97" t="str">
        <f t="shared" si="75"/>
        <v/>
      </c>
      <c r="AF119" s="98"/>
      <c r="AG119" s="105"/>
      <c r="AH119" s="105"/>
      <c r="AI119" s="106"/>
      <c r="AJ119" s="108"/>
      <c r="AK119" s="114"/>
      <c r="AL119" s="114"/>
      <c r="AM119" s="114"/>
      <c r="AN119" s="114"/>
      <c r="AO119" s="114"/>
      <c r="AP119" s="114"/>
      <c r="AQ119" s="114"/>
      <c r="AR119" s="114"/>
      <c r="AS119" s="114"/>
      <c r="AT119" s="114"/>
      <c r="AU119" s="114"/>
      <c r="AV119" s="114"/>
      <c r="AW119" s="114"/>
      <c r="AX119" s="114"/>
      <c r="AY119" s="114"/>
      <c r="AZ119" s="114"/>
      <c r="BA119" s="114"/>
      <c r="BB119" s="114"/>
      <c r="BC119" s="114"/>
      <c r="BD119" s="114"/>
      <c r="BE119" s="114"/>
      <c r="BF119" s="114"/>
      <c r="BG119" s="114"/>
      <c r="BH119" s="114"/>
      <c r="BI119" s="114"/>
      <c r="BJ119" s="114"/>
      <c r="BK119" s="114"/>
      <c r="BL119" s="114"/>
      <c r="BM119" s="114"/>
      <c r="BN119" s="114"/>
      <c r="BO119" s="114"/>
      <c r="BP119" s="114"/>
      <c r="BQ119" s="122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5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</row>
    <row r="120" ht="15" customHeight="1" spans="1:136">
      <c r="A120" s="34">
        <v>39</v>
      </c>
      <c r="B120" s="37"/>
      <c r="C120" s="40"/>
      <c r="D120" s="38"/>
      <c r="E120" s="50"/>
      <c r="F120" s="51"/>
      <c r="G120" s="52"/>
      <c r="H120" s="53"/>
      <c r="I120" s="53"/>
      <c r="J120" s="60"/>
      <c r="K120" s="61"/>
      <c r="L120" s="62" t="str">
        <f t="shared" si="66"/>
        <v/>
      </c>
      <c r="M120" s="71" t="str">
        <f t="shared" si="67"/>
        <v/>
      </c>
      <c r="N120" s="72"/>
      <c r="O120" s="70" t="str">
        <f t="shared" si="71"/>
        <v/>
      </c>
      <c r="P120" s="70" t="str">
        <f t="shared" si="72"/>
        <v/>
      </c>
      <c r="Q120" s="70" t="str">
        <f t="shared" si="73"/>
        <v/>
      </c>
      <c r="R120" s="80" t="str">
        <f t="shared" si="74"/>
        <v/>
      </c>
      <c r="S120" s="81" t="str">
        <f t="shared" si="76"/>
        <v/>
      </c>
      <c r="T120" s="82" t="str">
        <f t="shared" si="64"/>
        <v/>
      </c>
      <c r="U120" s="82" t="str">
        <f t="shared" si="65"/>
        <v/>
      </c>
      <c r="V120" s="81" t="str">
        <f t="shared" si="77"/>
        <v/>
      </c>
      <c r="W120" s="81" t="str">
        <f t="shared" si="78"/>
        <v/>
      </c>
      <c r="X120" s="81" t="str">
        <f t="shared" si="79"/>
        <v/>
      </c>
      <c r="Y120" s="90" t="str">
        <f t="shared" si="80"/>
        <v/>
      </c>
      <c r="Z120" s="89" t="str">
        <f t="shared" si="68"/>
        <v/>
      </c>
      <c r="AA120" s="89" t="str">
        <f t="shared" si="69"/>
        <v/>
      </c>
      <c r="AB120" s="89" t="str">
        <f t="shared" si="70"/>
        <v/>
      </c>
      <c r="AC120" s="89" t="str">
        <f t="shared" si="62"/>
        <v/>
      </c>
      <c r="AD120" s="96"/>
      <c r="AE120" s="97" t="str">
        <f t="shared" si="75"/>
        <v/>
      </c>
      <c r="AF120" s="98"/>
      <c r="AG120" s="105"/>
      <c r="AH120" s="105"/>
      <c r="AI120" s="106"/>
      <c r="AJ120" s="108"/>
      <c r="AK120" s="114"/>
      <c r="AL120" s="114"/>
      <c r="AM120" s="114"/>
      <c r="AN120" s="114"/>
      <c r="AO120" s="114"/>
      <c r="AP120" s="114"/>
      <c r="AQ120" s="114"/>
      <c r="AR120" s="114"/>
      <c r="AS120" s="114"/>
      <c r="AT120" s="114"/>
      <c r="AU120" s="114"/>
      <c r="AV120" s="114"/>
      <c r="AW120" s="114"/>
      <c r="AX120" s="114"/>
      <c r="AY120" s="114"/>
      <c r="AZ120" s="114"/>
      <c r="BA120" s="114"/>
      <c r="BB120" s="114"/>
      <c r="BC120" s="114"/>
      <c r="BD120" s="114"/>
      <c r="BE120" s="114"/>
      <c r="BF120" s="114"/>
      <c r="BG120" s="114"/>
      <c r="BH120" s="114"/>
      <c r="BI120" s="114"/>
      <c r="BJ120" s="114"/>
      <c r="BK120" s="114"/>
      <c r="BL120" s="114"/>
      <c r="BM120" s="114"/>
      <c r="BN120" s="114"/>
      <c r="BO120" s="114"/>
      <c r="BP120" s="114"/>
      <c r="BQ120" s="122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</row>
    <row r="121" ht="15" customHeight="1" spans="1:136">
      <c r="A121" s="34">
        <v>40</v>
      </c>
      <c r="B121" s="37"/>
      <c r="C121" s="40"/>
      <c r="D121" s="38"/>
      <c r="E121" s="50"/>
      <c r="F121" s="51"/>
      <c r="G121" s="52"/>
      <c r="H121" s="53"/>
      <c r="I121" s="53"/>
      <c r="J121" s="60"/>
      <c r="K121" s="61"/>
      <c r="L121" s="62" t="str">
        <f t="shared" si="66"/>
        <v/>
      </c>
      <c r="M121" s="71" t="str">
        <f t="shared" si="67"/>
        <v/>
      </c>
      <c r="N121" s="72"/>
      <c r="O121" s="70" t="str">
        <f t="shared" si="71"/>
        <v/>
      </c>
      <c r="P121" s="70" t="str">
        <f t="shared" si="72"/>
        <v/>
      </c>
      <c r="Q121" s="70" t="str">
        <f t="shared" si="73"/>
        <v/>
      </c>
      <c r="R121" s="80" t="str">
        <f t="shared" si="74"/>
        <v/>
      </c>
      <c r="S121" s="81" t="str">
        <f t="shared" si="76"/>
        <v/>
      </c>
      <c r="T121" s="82" t="str">
        <f t="shared" si="64"/>
        <v/>
      </c>
      <c r="U121" s="82" t="str">
        <f t="shared" si="65"/>
        <v/>
      </c>
      <c r="V121" s="81" t="str">
        <f t="shared" si="77"/>
        <v/>
      </c>
      <c r="W121" s="81" t="str">
        <f t="shared" si="78"/>
        <v/>
      </c>
      <c r="X121" s="81" t="str">
        <f t="shared" si="79"/>
        <v/>
      </c>
      <c r="Y121" s="90" t="str">
        <f t="shared" si="80"/>
        <v/>
      </c>
      <c r="Z121" s="89" t="str">
        <f t="shared" si="68"/>
        <v/>
      </c>
      <c r="AA121" s="89" t="str">
        <f t="shared" si="69"/>
        <v/>
      </c>
      <c r="AB121" s="89" t="str">
        <f t="shared" si="70"/>
        <v/>
      </c>
      <c r="AC121" s="89" t="str">
        <f t="shared" si="62"/>
        <v/>
      </c>
      <c r="AD121" s="96"/>
      <c r="AE121" s="97" t="str">
        <f t="shared" si="75"/>
        <v/>
      </c>
      <c r="AF121" s="98"/>
      <c r="AG121" s="105"/>
      <c r="AH121" s="105"/>
      <c r="AI121" s="106"/>
      <c r="AJ121" s="108"/>
      <c r="AK121" s="114"/>
      <c r="AL121" s="114"/>
      <c r="AM121" s="114"/>
      <c r="AN121" s="114"/>
      <c r="AO121" s="114"/>
      <c r="AP121" s="114"/>
      <c r="AQ121" s="114"/>
      <c r="AR121" s="114"/>
      <c r="AS121" s="114"/>
      <c r="AT121" s="114"/>
      <c r="AU121" s="114"/>
      <c r="AV121" s="114"/>
      <c r="AW121" s="114"/>
      <c r="AX121" s="114"/>
      <c r="AY121" s="114"/>
      <c r="AZ121" s="114"/>
      <c r="BA121" s="114"/>
      <c r="BB121" s="114"/>
      <c r="BC121" s="114"/>
      <c r="BD121" s="114"/>
      <c r="BE121" s="114"/>
      <c r="BF121" s="114"/>
      <c r="BG121" s="114"/>
      <c r="BH121" s="114"/>
      <c r="BI121" s="114"/>
      <c r="BJ121" s="114"/>
      <c r="BK121" s="114"/>
      <c r="BL121" s="114"/>
      <c r="BM121" s="114"/>
      <c r="BN121" s="114"/>
      <c r="BO121" s="114"/>
      <c r="BP121" s="114"/>
      <c r="BQ121" s="122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</row>
    <row r="122" ht="15" customHeight="1" spans="1:136">
      <c r="A122" s="34">
        <v>41</v>
      </c>
      <c r="B122" s="37"/>
      <c r="C122" s="40"/>
      <c r="D122" s="38"/>
      <c r="E122" s="50"/>
      <c r="F122" s="51"/>
      <c r="G122" s="52"/>
      <c r="H122" s="53"/>
      <c r="I122" s="53"/>
      <c r="J122" s="60"/>
      <c r="K122" s="61"/>
      <c r="L122" s="62" t="str">
        <f t="shared" si="66"/>
        <v/>
      </c>
      <c r="M122" s="71" t="str">
        <f t="shared" si="67"/>
        <v/>
      </c>
      <c r="N122" s="72"/>
      <c r="O122" s="70" t="str">
        <f t="shared" si="71"/>
        <v/>
      </c>
      <c r="P122" s="70" t="str">
        <f t="shared" si="72"/>
        <v/>
      </c>
      <c r="Q122" s="70" t="str">
        <f t="shared" si="73"/>
        <v/>
      </c>
      <c r="R122" s="80" t="str">
        <f t="shared" si="74"/>
        <v/>
      </c>
      <c r="S122" s="81" t="str">
        <f t="shared" si="76"/>
        <v/>
      </c>
      <c r="T122" s="82" t="str">
        <f t="shared" si="64"/>
        <v/>
      </c>
      <c r="U122" s="82" t="str">
        <f t="shared" si="65"/>
        <v/>
      </c>
      <c r="V122" s="81" t="str">
        <f t="shared" si="77"/>
        <v/>
      </c>
      <c r="W122" s="81" t="str">
        <f t="shared" si="78"/>
        <v/>
      </c>
      <c r="X122" s="81" t="str">
        <f t="shared" si="79"/>
        <v/>
      </c>
      <c r="Y122" s="90" t="str">
        <f t="shared" si="80"/>
        <v/>
      </c>
      <c r="Z122" s="89" t="str">
        <f t="shared" si="68"/>
        <v/>
      </c>
      <c r="AA122" s="89" t="str">
        <f t="shared" si="69"/>
        <v/>
      </c>
      <c r="AB122" s="89" t="str">
        <f t="shared" si="70"/>
        <v/>
      </c>
      <c r="AC122" s="89" t="str">
        <f t="shared" si="62"/>
        <v/>
      </c>
      <c r="AD122" s="96"/>
      <c r="AE122" s="97" t="str">
        <f t="shared" si="75"/>
        <v/>
      </c>
      <c r="AF122" s="98"/>
      <c r="AG122" s="105"/>
      <c r="AH122" s="105"/>
      <c r="AI122" s="106"/>
      <c r="AJ122" s="108"/>
      <c r="AK122" s="114"/>
      <c r="AL122" s="114"/>
      <c r="AM122" s="114"/>
      <c r="AN122" s="114"/>
      <c r="AO122" s="114"/>
      <c r="AP122" s="114"/>
      <c r="AQ122" s="114"/>
      <c r="AR122" s="114"/>
      <c r="AS122" s="114"/>
      <c r="AT122" s="114"/>
      <c r="AU122" s="114"/>
      <c r="AV122" s="114"/>
      <c r="AW122" s="114"/>
      <c r="AX122" s="114"/>
      <c r="AY122" s="114"/>
      <c r="AZ122" s="114"/>
      <c r="BA122" s="114"/>
      <c r="BB122" s="114"/>
      <c r="BC122" s="114"/>
      <c r="BD122" s="114"/>
      <c r="BE122" s="114"/>
      <c r="BF122" s="114"/>
      <c r="BG122" s="114"/>
      <c r="BH122" s="114"/>
      <c r="BI122" s="114"/>
      <c r="BJ122" s="114"/>
      <c r="BK122" s="114"/>
      <c r="BL122" s="114"/>
      <c r="BM122" s="114"/>
      <c r="BN122" s="114"/>
      <c r="BO122" s="114"/>
      <c r="BP122" s="114"/>
      <c r="BQ122" s="122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</row>
    <row r="123" ht="15" customHeight="1" spans="1:136">
      <c r="A123" s="34">
        <v>42</v>
      </c>
      <c r="B123" s="37"/>
      <c r="C123" s="40"/>
      <c r="D123" s="38"/>
      <c r="E123" s="50"/>
      <c r="F123" s="51"/>
      <c r="G123" s="52"/>
      <c r="H123" s="53"/>
      <c r="I123" s="53"/>
      <c r="J123" s="60"/>
      <c r="K123" s="61"/>
      <c r="L123" s="62" t="str">
        <f t="shared" si="66"/>
        <v/>
      </c>
      <c r="M123" s="71" t="str">
        <f t="shared" si="67"/>
        <v/>
      </c>
      <c r="N123" s="72"/>
      <c r="O123" s="70" t="str">
        <f t="shared" si="71"/>
        <v/>
      </c>
      <c r="P123" s="70" t="str">
        <f t="shared" si="72"/>
        <v/>
      </c>
      <c r="Q123" s="70" t="str">
        <f t="shared" si="73"/>
        <v/>
      </c>
      <c r="R123" s="80" t="str">
        <f t="shared" si="74"/>
        <v/>
      </c>
      <c r="S123" s="81" t="str">
        <f t="shared" si="76"/>
        <v/>
      </c>
      <c r="T123" s="82" t="str">
        <f t="shared" si="64"/>
        <v/>
      </c>
      <c r="U123" s="82" t="str">
        <f t="shared" si="65"/>
        <v/>
      </c>
      <c r="V123" s="81" t="str">
        <f t="shared" si="77"/>
        <v/>
      </c>
      <c r="W123" s="81" t="str">
        <f t="shared" si="78"/>
        <v/>
      </c>
      <c r="X123" s="81" t="str">
        <f t="shared" si="79"/>
        <v/>
      </c>
      <c r="Y123" s="90" t="str">
        <f t="shared" si="80"/>
        <v/>
      </c>
      <c r="Z123" s="89" t="str">
        <f t="shared" si="68"/>
        <v/>
      </c>
      <c r="AA123" s="89" t="str">
        <f t="shared" si="69"/>
        <v/>
      </c>
      <c r="AB123" s="89" t="str">
        <f t="shared" si="70"/>
        <v/>
      </c>
      <c r="AC123" s="89" t="str">
        <f t="shared" si="62"/>
        <v/>
      </c>
      <c r="AD123" s="96"/>
      <c r="AE123" s="97" t="str">
        <f t="shared" si="75"/>
        <v/>
      </c>
      <c r="AF123" s="98"/>
      <c r="AG123" s="105"/>
      <c r="AH123" s="105"/>
      <c r="AI123" s="106"/>
      <c r="AJ123" s="108"/>
      <c r="AK123" s="114"/>
      <c r="AL123" s="114"/>
      <c r="AM123" s="114"/>
      <c r="AN123" s="114"/>
      <c r="AO123" s="114"/>
      <c r="AP123" s="114"/>
      <c r="AQ123" s="114"/>
      <c r="AR123" s="114"/>
      <c r="AS123" s="114"/>
      <c r="AT123" s="114"/>
      <c r="AU123" s="114"/>
      <c r="AV123" s="114"/>
      <c r="AW123" s="114"/>
      <c r="AX123" s="114"/>
      <c r="AY123" s="114"/>
      <c r="AZ123" s="114"/>
      <c r="BA123" s="114"/>
      <c r="BB123" s="114"/>
      <c r="BC123" s="114"/>
      <c r="BD123" s="114"/>
      <c r="BE123" s="114"/>
      <c r="BF123" s="114"/>
      <c r="BG123" s="114"/>
      <c r="BH123" s="114"/>
      <c r="BI123" s="114"/>
      <c r="BJ123" s="114"/>
      <c r="BK123" s="114"/>
      <c r="BL123" s="114"/>
      <c r="BM123" s="114"/>
      <c r="BN123" s="114"/>
      <c r="BO123" s="114"/>
      <c r="BP123" s="114"/>
      <c r="BQ123" s="122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</row>
    <row r="124" ht="15" customHeight="1" spans="1:136">
      <c r="A124" s="34">
        <v>43</v>
      </c>
      <c r="B124" s="37"/>
      <c r="C124" s="40"/>
      <c r="D124" s="38"/>
      <c r="E124" s="50"/>
      <c r="F124" s="51"/>
      <c r="G124" s="52"/>
      <c r="H124" s="53"/>
      <c r="I124" s="53"/>
      <c r="J124" s="60"/>
      <c r="K124" s="61"/>
      <c r="L124" s="62" t="str">
        <f t="shared" si="66"/>
        <v/>
      </c>
      <c r="M124" s="71" t="str">
        <f t="shared" si="67"/>
        <v/>
      </c>
      <c r="N124" s="72"/>
      <c r="O124" s="70" t="str">
        <f t="shared" si="71"/>
        <v/>
      </c>
      <c r="P124" s="70" t="str">
        <f t="shared" si="72"/>
        <v/>
      </c>
      <c r="Q124" s="70" t="str">
        <f t="shared" si="73"/>
        <v/>
      </c>
      <c r="R124" s="80" t="str">
        <f t="shared" si="74"/>
        <v/>
      </c>
      <c r="S124" s="81" t="str">
        <f t="shared" si="76"/>
        <v/>
      </c>
      <c r="T124" s="82" t="str">
        <f t="shared" si="64"/>
        <v/>
      </c>
      <c r="U124" s="82" t="str">
        <f t="shared" si="65"/>
        <v/>
      </c>
      <c r="V124" s="81" t="str">
        <f t="shared" si="77"/>
        <v/>
      </c>
      <c r="W124" s="81" t="str">
        <f t="shared" si="78"/>
        <v/>
      </c>
      <c r="X124" s="81" t="str">
        <f t="shared" si="79"/>
        <v/>
      </c>
      <c r="Y124" s="90" t="str">
        <f t="shared" si="80"/>
        <v/>
      </c>
      <c r="Z124" s="89" t="str">
        <f t="shared" si="68"/>
        <v/>
      </c>
      <c r="AA124" s="89" t="str">
        <f t="shared" si="69"/>
        <v/>
      </c>
      <c r="AB124" s="89" t="str">
        <f t="shared" si="70"/>
        <v/>
      </c>
      <c r="AC124" s="89" t="str">
        <f t="shared" si="62"/>
        <v/>
      </c>
      <c r="AD124" s="96"/>
      <c r="AE124" s="97" t="str">
        <f t="shared" si="75"/>
        <v/>
      </c>
      <c r="AF124" s="98"/>
      <c r="AG124" s="105"/>
      <c r="AH124" s="105"/>
      <c r="AI124" s="106"/>
      <c r="AJ124" s="108"/>
      <c r="AK124" s="114"/>
      <c r="AL124" s="114"/>
      <c r="AM124" s="114"/>
      <c r="AN124" s="114"/>
      <c r="AO124" s="114"/>
      <c r="AP124" s="114"/>
      <c r="AQ124" s="114"/>
      <c r="AR124" s="114"/>
      <c r="AS124" s="114"/>
      <c r="AT124" s="114"/>
      <c r="AU124" s="114"/>
      <c r="AV124" s="114"/>
      <c r="AW124" s="114"/>
      <c r="AX124" s="114"/>
      <c r="AY124" s="114"/>
      <c r="AZ124" s="114"/>
      <c r="BA124" s="114"/>
      <c r="BB124" s="114"/>
      <c r="BC124" s="114"/>
      <c r="BD124" s="114"/>
      <c r="BE124" s="114"/>
      <c r="BF124" s="114"/>
      <c r="BG124" s="114"/>
      <c r="BH124" s="114"/>
      <c r="BI124" s="114"/>
      <c r="BJ124" s="114"/>
      <c r="BK124" s="114"/>
      <c r="BL124" s="114"/>
      <c r="BM124" s="114"/>
      <c r="BN124" s="114"/>
      <c r="BO124" s="114"/>
      <c r="BP124" s="114"/>
      <c r="BQ124" s="122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</row>
    <row r="125" ht="15" customHeight="1" spans="1:136">
      <c r="A125" s="34">
        <v>44</v>
      </c>
      <c r="B125" s="37"/>
      <c r="C125" s="40"/>
      <c r="D125" s="38"/>
      <c r="E125" s="50"/>
      <c r="F125" s="51"/>
      <c r="G125" s="52"/>
      <c r="H125" s="53"/>
      <c r="I125" s="53"/>
      <c r="J125" s="60"/>
      <c r="K125" s="61"/>
      <c r="L125" s="62" t="str">
        <f t="shared" si="66"/>
        <v/>
      </c>
      <c r="M125" s="71" t="str">
        <f t="shared" si="67"/>
        <v/>
      </c>
      <c r="N125" s="72"/>
      <c r="O125" s="70" t="str">
        <f t="shared" si="71"/>
        <v/>
      </c>
      <c r="P125" s="70" t="str">
        <f t="shared" si="72"/>
        <v/>
      </c>
      <c r="Q125" s="70" t="str">
        <f t="shared" si="73"/>
        <v/>
      </c>
      <c r="R125" s="80" t="str">
        <f t="shared" si="74"/>
        <v/>
      </c>
      <c r="S125" s="81" t="str">
        <f t="shared" si="76"/>
        <v/>
      </c>
      <c r="T125" s="82" t="str">
        <f t="shared" si="64"/>
        <v/>
      </c>
      <c r="U125" s="82" t="str">
        <f t="shared" si="65"/>
        <v/>
      </c>
      <c r="V125" s="81" t="str">
        <f t="shared" si="77"/>
        <v/>
      </c>
      <c r="W125" s="81" t="str">
        <f t="shared" si="78"/>
        <v/>
      </c>
      <c r="X125" s="81" t="str">
        <f t="shared" si="79"/>
        <v/>
      </c>
      <c r="Y125" s="90" t="str">
        <f t="shared" si="80"/>
        <v/>
      </c>
      <c r="Z125" s="89" t="str">
        <f t="shared" si="68"/>
        <v/>
      </c>
      <c r="AA125" s="89" t="str">
        <f t="shared" si="69"/>
        <v/>
      </c>
      <c r="AB125" s="89" t="str">
        <f t="shared" si="70"/>
        <v/>
      </c>
      <c r="AC125" s="89" t="str">
        <f t="shared" si="62"/>
        <v/>
      </c>
      <c r="AD125" s="96"/>
      <c r="AE125" s="97" t="str">
        <f t="shared" si="75"/>
        <v/>
      </c>
      <c r="AF125" s="98"/>
      <c r="AG125" s="105"/>
      <c r="AH125" s="105"/>
      <c r="AI125" s="106"/>
      <c r="AJ125" s="108"/>
      <c r="AK125" s="114"/>
      <c r="AL125" s="114"/>
      <c r="AM125" s="114"/>
      <c r="AN125" s="114"/>
      <c r="AO125" s="114"/>
      <c r="AP125" s="114"/>
      <c r="AQ125" s="114"/>
      <c r="AR125" s="114"/>
      <c r="AS125" s="114"/>
      <c r="AT125" s="114"/>
      <c r="AU125" s="114"/>
      <c r="AV125" s="114"/>
      <c r="AW125" s="114"/>
      <c r="AX125" s="114"/>
      <c r="AY125" s="114"/>
      <c r="AZ125" s="114"/>
      <c r="BA125" s="114"/>
      <c r="BB125" s="114"/>
      <c r="BC125" s="114"/>
      <c r="BD125" s="114"/>
      <c r="BE125" s="114"/>
      <c r="BF125" s="114"/>
      <c r="BG125" s="114"/>
      <c r="BH125" s="114"/>
      <c r="BI125" s="114"/>
      <c r="BJ125" s="114"/>
      <c r="BK125" s="114"/>
      <c r="BL125" s="114"/>
      <c r="BM125" s="114"/>
      <c r="BN125" s="114"/>
      <c r="BO125" s="114"/>
      <c r="BP125" s="114"/>
      <c r="BQ125" s="122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</row>
    <row r="126" ht="15" customHeight="1" spans="1:136">
      <c r="A126" s="34">
        <v>45</v>
      </c>
      <c r="B126" s="37"/>
      <c r="C126" s="40"/>
      <c r="D126" s="38"/>
      <c r="E126" s="50"/>
      <c r="F126" s="51"/>
      <c r="G126" s="52"/>
      <c r="H126" s="53"/>
      <c r="I126" s="53"/>
      <c r="J126" s="60"/>
      <c r="K126" s="61"/>
      <c r="L126" s="62" t="str">
        <f t="shared" si="66"/>
        <v/>
      </c>
      <c r="M126" s="71" t="str">
        <f t="shared" si="67"/>
        <v/>
      </c>
      <c r="N126" s="72"/>
      <c r="O126" s="70" t="str">
        <f t="shared" si="71"/>
        <v/>
      </c>
      <c r="P126" s="70" t="str">
        <f t="shared" si="72"/>
        <v/>
      </c>
      <c r="Q126" s="70" t="str">
        <f t="shared" si="73"/>
        <v/>
      </c>
      <c r="R126" s="80" t="str">
        <f t="shared" si="74"/>
        <v/>
      </c>
      <c r="S126" s="81" t="str">
        <f t="shared" si="76"/>
        <v/>
      </c>
      <c r="T126" s="82" t="str">
        <f t="shared" si="64"/>
        <v/>
      </c>
      <c r="U126" s="82" t="str">
        <f t="shared" si="65"/>
        <v/>
      </c>
      <c r="V126" s="81" t="str">
        <f t="shared" si="77"/>
        <v/>
      </c>
      <c r="W126" s="81" t="str">
        <f t="shared" si="78"/>
        <v/>
      </c>
      <c r="X126" s="81" t="str">
        <f t="shared" si="79"/>
        <v/>
      </c>
      <c r="Y126" s="90" t="str">
        <f t="shared" si="80"/>
        <v/>
      </c>
      <c r="Z126" s="89" t="str">
        <f t="shared" si="68"/>
        <v/>
      </c>
      <c r="AA126" s="89" t="str">
        <f t="shared" si="69"/>
        <v/>
      </c>
      <c r="AB126" s="89" t="str">
        <f t="shared" si="70"/>
        <v/>
      </c>
      <c r="AC126" s="89" t="str">
        <f t="shared" si="62"/>
        <v/>
      </c>
      <c r="AD126" s="96"/>
      <c r="AE126" s="97" t="str">
        <f t="shared" si="75"/>
        <v/>
      </c>
      <c r="AF126" s="98"/>
      <c r="AG126" s="105"/>
      <c r="AH126" s="105"/>
      <c r="AI126" s="106"/>
      <c r="AJ126" s="108"/>
      <c r="AK126" s="114"/>
      <c r="AL126" s="114"/>
      <c r="AM126" s="114"/>
      <c r="AN126" s="114"/>
      <c r="AO126" s="114"/>
      <c r="AP126" s="114"/>
      <c r="AQ126" s="114"/>
      <c r="AR126" s="114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  <c r="BD126" s="114"/>
      <c r="BE126" s="114"/>
      <c r="BF126" s="114"/>
      <c r="BG126" s="114"/>
      <c r="BH126" s="114"/>
      <c r="BI126" s="114"/>
      <c r="BJ126" s="114"/>
      <c r="BK126" s="114"/>
      <c r="BL126" s="114"/>
      <c r="BM126" s="114"/>
      <c r="BN126" s="114"/>
      <c r="BO126" s="114"/>
      <c r="BP126" s="114"/>
      <c r="BQ126" s="122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</row>
    <row r="127" ht="15" customHeight="1" spans="1:136">
      <c r="A127" s="34">
        <v>46</v>
      </c>
      <c r="B127" s="37"/>
      <c r="C127" s="40"/>
      <c r="D127" s="38"/>
      <c r="E127" s="50"/>
      <c r="F127" s="51"/>
      <c r="G127" s="52"/>
      <c r="H127" s="53"/>
      <c r="I127" s="53"/>
      <c r="J127" s="60"/>
      <c r="K127" s="61"/>
      <c r="L127" s="62" t="str">
        <f t="shared" si="66"/>
        <v/>
      </c>
      <c r="M127" s="71" t="str">
        <f t="shared" si="67"/>
        <v/>
      </c>
      <c r="N127" s="72"/>
      <c r="O127" s="70" t="str">
        <f t="shared" si="71"/>
        <v/>
      </c>
      <c r="P127" s="70" t="str">
        <f t="shared" si="72"/>
        <v/>
      </c>
      <c r="Q127" s="70" t="str">
        <f t="shared" si="73"/>
        <v/>
      </c>
      <c r="R127" s="80" t="str">
        <f t="shared" si="74"/>
        <v/>
      </c>
      <c r="S127" s="81" t="str">
        <f t="shared" si="76"/>
        <v/>
      </c>
      <c r="T127" s="82" t="str">
        <f t="shared" si="64"/>
        <v/>
      </c>
      <c r="U127" s="82" t="str">
        <f t="shared" si="65"/>
        <v/>
      </c>
      <c r="V127" s="81" t="str">
        <f t="shared" si="77"/>
        <v/>
      </c>
      <c r="W127" s="81" t="str">
        <f t="shared" si="78"/>
        <v/>
      </c>
      <c r="X127" s="81" t="str">
        <f t="shared" si="79"/>
        <v/>
      </c>
      <c r="Y127" s="90" t="str">
        <f t="shared" si="80"/>
        <v/>
      </c>
      <c r="Z127" s="89" t="str">
        <f t="shared" si="68"/>
        <v/>
      </c>
      <c r="AA127" s="89" t="str">
        <f t="shared" si="69"/>
        <v/>
      </c>
      <c r="AB127" s="89" t="str">
        <f t="shared" si="70"/>
        <v/>
      </c>
      <c r="AC127" s="89" t="str">
        <f t="shared" si="62"/>
        <v/>
      </c>
      <c r="AD127" s="96"/>
      <c r="AE127" s="97" t="str">
        <f t="shared" si="75"/>
        <v/>
      </c>
      <c r="AF127" s="98"/>
      <c r="AG127" s="105"/>
      <c r="AH127" s="105"/>
      <c r="AI127" s="106"/>
      <c r="AJ127" s="108"/>
      <c r="AK127" s="114"/>
      <c r="AL127" s="114"/>
      <c r="AM127" s="114"/>
      <c r="AN127" s="114"/>
      <c r="AO127" s="114"/>
      <c r="AP127" s="114"/>
      <c r="AQ127" s="114"/>
      <c r="AR127" s="114"/>
      <c r="AS127" s="114"/>
      <c r="AT127" s="114"/>
      <c r="AU127" s="114"/>
      <c r="AV127" s="114"/>
      <c r="AW127" s="114"/>
      <c r="AX127" s="114"/>
      <c r="AY127" s="114"/>
      <c r="AZ127" s="114"/>
      <c r="BA127" s="114"/>
      <c r="BB127" s="114"/>
      <c r="BC127" s="114"/>
      <c r="BD127" s="114"/>
      <c r="BE127" s="114"/>
      <c r="BF127" s="114"/>
      <c r="BG127" s="114"/>
      <c r="BH127" s="114"/>
      <c r="BI127" s="114"/>
      <c r="BJ127" s="114"/>
      <c r="BK127" s="114"/>
      <c r="BL127" s="114"/>
      <c r="BM127" s="114"/>
      <c r="BN127" s="114"/>
      <c r="BO127" s="114"/>
      <c r="BP127" s="114"/>
      <c r="BQ127" s="122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</row>
    <row r="128" ht="15" customHeight="1" spans="1:136">
      <c r="A128" s="34">
        <v>47</v>
      </c>
      <c r="B128" s="37"/>
      <c r="C128" s="40"/>
      <c r="D128" s="38"/>
      <c r="E128" s="50"/>
      <c r="F128" s="51"/>
      <c r="G128" s="52"/>
      <c r="H128" s="53"/>
      <c r="I128" s="53"/>
      <c r="J128" s="60"/>
      <c r="K128" s="61"/>
      <c r="L128" s="62" t="str">
        <f t="shared" si="66"/>
        <v/>
      </c>
      <c r="M128" s="71" t="str">
        <f t="shared" si="67"/>
        <v/>
      </c>
      <c r="N128" s="72"/>
      <c r="O128" s="70" t="str">
        <f t="shared" si="71"/>
        <v/>
      </c>
      <c r="P128" s="70" t="str">
        <f t="shared" si="72"/>
        <v/>
      </c>
      <c r="Q128" s="70" t="str">
        <f t="shared" si="73"/>
        <v/>
      </c>
      <c r="R128" s="80" t="str">
        <f t="shared" si="74"/>
        <v/>
      </c>
      <c r="S128" s="81" t="str">
        <f t="shared" si="76"/>
        <v/>
      </c>
      <c r="T128" s="82" t="str">
        <f t="shared" si="64"/>
        <v/>
      </c>
      <c r="U128" s="82" t="str">
        <f t="shared" si="65"/>
        <v/>
      </c>
      <c r="V128" s="81" t="str">
        <f t="shared" si="77"/>
        <v/>
      </c>
      <c r="W128" s="81" t="str">
        <f t="shared" si="78"/>
        <v/>
      </c>
      <c r="X128" s="81" t="str">
        <f t="shared" si="79"/>
        <v/>
      </c>
      <c r="Y128" s="90" t="str">
        <f t="shared" si="80"/>
        <v/>
      </c>
      <c r="Z128" s="89" t="str">
        <f t="shared" si="68"/>
        <v/>
      </c>
      <c r="AA128" s="89" t="str">
        <f t="shared" si="69"/>
        <v/>
      </c>
      <c r="AB128" s="89" t="str">
        <f t="shared" si="70"/>
        <v/>
      </c>
      <c r="AC128" s="89" t="str">
        <f t="shared" si="62"/>
        <v/>
      </c>
      <c r="AD128" s="96"/>
      <c r="AE128" s="97" t="str">
        <f t="shared" si="75"/>
        <v/>
      </c>
      <c r="AF128" s="98"/>
      <c r="AG128" s="105"/>
      <c r="AH128" s="105"/>
      <c r="AI128" s="106"/>
      <c r="AJ128" s="108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22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</row>
    <row r="129" ht="15" customHeight="1" spans="1:136">
      <c r="A129" s="34">
        <v>48</v>
      </c>
      <c r="B129" s="37"/>
      <c r="C129" s="40"/>
      <c r="D129" s="38"/>
      <c r="E129" s="50"/>
      <c r="F129" s="51"/>
      <c r="G129" s="52"/>
      <c r="H129" s="53"/>
      <c r="I129" s="53"/>
      <c r="J129" s="60"/>
      <c r="K129" s="61"/>
      <c r="L129" s="62" t="str">
        <f t="shared" si="66"/>
        <v/>
      </c>
      <c r="M129" s="71" t="str">
        <f t="shared" si="67"/>
        <v/>
      </c>
      <c r="N129" s="72"/>
      <c r="O129" s="70" t="str">
        <f t="shared" si="71"/>
        <v/>
      </c>
      <c r="P129" s="70" t="str">
        <f t="shared" si="72"/>
        <v/>
      </c>
      <c r="Q129" s="70" t="str">
        <f t="shared" si="73"/>
        <v/>
      </c>
      <c r="R129" s="80" t="str">
        <f t="shared" si="74"/>
        <v/>
      </c>
      <c r="S129" s="81" t="str">
        <f t="shared" si="76"/>
        <v/>
      </c>
      <c r="T129" s="82" t="str">
        <f t="shared" si="64"/>
        <v/>
      </c>
      <c r="U129" s="82" t="str">
        <f t="shared" si="65"/>
        <v/>
      </c>
      <c r="V129" s="81" t="str">
        <f t="shared" si="77"/>
        <v/>
      </c>
      <c r="W129" s="81" t="str">
        <f t="shared" si="78"/>
        <v/>
      </c>
      <c r="X129" s="81" t="str">
        <f t="shared" si="79"/>
        <v/>
      </c>
      <c r="Y129" s="90" t="str">
        <f t="shared" si="80"/>
        <v/>
      </c>
      <c r="Z129" s="89" t="str">
        <f t="shared" si="68"/>
        <v/>
      </c>
      <c r="AA129" s="89" t="str">
        <f t="shared" si="69"/>
        <v/>
      </c>
      <c r="AB129" s="89" t="str">
        <f t="shared" si="70"/>
        <v/>
      </c>
      <c r="AC129" s="89" t="str">
        <f t="shared" si="62"/>
        <v/>
      </c>
      <c r="AD129" s="96"/>
      <c r="AE129" s="97" t="str">
        <f t="shared" si="75"/>
        <v/>
      </c>
      <c r="AF129" s="98"/>
      <c r="AG129" s="105"/>
      <c r="AH129" s="105"/>
      <c r="AI129" s="106"/>
      <c r="AJ129" s="108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22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</row>
    <row r="130" ht="15" customHeight="1" spans="1:136">
      <c r="A130" s="34">
        <v>2</v>
      </c>
      <c r="B130" s="37"/>
      <c r="C130" s="40"/>
      <c r="D130" s="39"/>
      <c r="E130" s="50"/>
      <c r="F130" s="51"/>
      <c r="G130" s="52"/>
      <c r="H130" s="53"/>
      <c r="I130" s="53"/>
      <c r="J130" s="60"/>
      <c r="K130" s="61"/>
      <c r="L130" s="62" t="str">
        <f t="shared" ref="L130:L131" si="81">IF(AND(G130="",H130=""),"",IF(G130="",H130,G130+H130))</f>
        <v/>
      </c>
      <c r="M130" s="71" t="str">
        <f t="shared" ref="M130:M131" si="82">IF(AND(G130="",I130=""),"",IF(G130="",I130,G130+I130))</f>
        <v/>
      </c>
      <c r="N130" s="69"/>
      <c r="O130" s="70" t="str">
        <f t="shared" si="71"/>
        <v/>
      </c>
      <c r="P130" s="70" t="str">
        <f t="shared" si="72"/>
        <v/>
      </c>
      <c r="Q130" s="70" t="str">
        <f t="shared" si="73"/>
        <v/>
      </c>
      <c r="R130" s="80" t="str">
        <f t="shared" si="74"/>
        <v/>
      </c>
      <c r="S130" s="81" t="str">
        <f t="shared" si="76"/>
        <v/>
      </c>
      <c r="T130" s="82" t="str">
        <f t="shared" si="64"/>
        <v/>
      </c>
      <c r="U130" s="82" t="str">
        <f t="shared" si="65"/>
        <v/>
      </c>
      <c r="V130" s="81" t="str">
        <f t="shared" si="77"/>
        <v/>
      </c>
      <c r="W130" s="81" t="str">
        <f t="shared" si="78"/>
        <v/>
      </c>
      <c r="X130" s="81" t="str">
        <f t="shared" si="79"/>
        <v/>
      </c>
      <c r="Y130" s="88" t="str">
        <f t="shared" si="80"/>
        <v/>
      </c>
      <c r="Z130" s="89" t="str">
        <f t="shared" ref="Z130:Z131" si="83">IF($Q130="","",IF(F130="Tolerance",IF(($E130*3*R130+Q130)-G130&lt;H130,"",($E130*3*R130+Q130)-G130),IF(OR(F130="GD&amp;T",F130="MAX"),IF(($E130*3*R130+Q130)&lt;H130,"",($E130*3*R130+Q130)),"")))</f>
        <v/>
      </c>
      <c r="AA130" s="89" t="str">
        <f t="shared" ref="AA130:AA131" si="84">IF(Q130="","",IF(F130="Tolerance",IF(-(($E130*3*R130)-Q130)-G130&gt;I130,"",-(($E130*3*R130)-Q130)-G130),IF(F130="MIN",IF(-(($E130*3*R130)-Q130)&gt;I130,"",-(($E130*3*R130)-Q130)),"")))</f>
        <v/>
      </c>
      <c r="AB130" s="89" t="str">
        <f t="shared" ref="AB130:AB131" si="85">IF(OR(G130="",Q130=""),"",(L130+M130)/2-Q130)</f>
        <v/>
      </c>
      <c r="AC130" s="89" t="str">
        <f t="shared" si="62"/>
        <v/>
      </c>
      <c r="AD130" s="96"/>
      <c r="AE130" s="97" t="str">
        <f t="shared" si="75"/>
        <v/>
      </c>
      <c r="AF130" s="98"/>
      <c r="AG130" s="105"/>
      <c r="AH130" s="105"/>
      <c r="AI130" s="106"/>
      <c r="AJ130" s="107"/>
      <c r="AK130" s="114"/>
      <c r="AL130" s="114"/>
      <c r="AM130" s="114"/>
      <c r="AN130" s="114"/>
      <c r="AO130" s="114"/>
      <c r="AP130" s="114"/>
      <c r="AQ130" s="114"/>
      <c r="AR130" s="114"/>
      <c r="AS130" s="114"/>
      <c r="AT130" s="114"/>
      <c r="AU130" s="114"/>
      <c r="AV130" s="114"/>
      <c r="AW130" s="114"/>
      <c r="AX130" s="114"/>
      <c r="AY130" s="114"/>
      <c r="AZ130" s="114"/>
      <c r="BA130" s="114"/>
      <c r="BB130" s="114"/>
      <c r="BC130" s="114"/>
      <c r="BD130" s="114"/>
      <c r="BE130" s="114"/>
      <c r="BF130" s="114"/>
      <c r="BG130" s="114"/>
      <c r="BH130" s="114"/>
      <c r="BI130" s="114"/>
      <c r="BJ130" s="114"/>
      <c r="BK130" s="114"/>
      <c r="BL130" s="114"/>
      <c r="BM130" s="114"/>
      <c r="BN130" s="114"/>
      <c r="BO130" s="114"/>
      <c r="BP130" s="114"/>
      <c r="BQ130" s="122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</row>
    <row r="131" ht="15" customHeight="1" spans="1:136">
      <c r="A131" s="34">
        <v>2</v>
      </c>
      <c r="B131" s="37"/>
      <c r="C131" s="40"/>
      <c r="D131" s="39"/>
      <c r="E131" s="50"/>
      <c r="F131" s="51"/>
      <c r="G131" s="52"/>
      <c r="H131" s="53"/>
      <c r="I131" s="53"/>
      <c r="J131" s="60"/>
      <c r="K131" s="61"/>
      <c r="L131" s="62" t="str">
        <f t="shared" si="81"/>
        <v/>
      </c>
      <c r="M131" s="71" t="str">
        <f t="shared" si="82"/>
        <v/>
      </c>
      <c r="N131" s="69"/>
      <c r="O131" s="70" t="str">
        <f t="shared" si="71"/>
        <v/>
      </c>
      <c r="P131" s="70" t="str">
        <f t="shared" si="72"/>
        <v/>
      </c>
      <c r="Q131" s="70" t="str">
        <f t="shared" si="73"/>
        <v/>
      </c>
      <c r="R131" s="80" t="str">
        <f t="shared" si="74"/>
        <v/>
      </c>
      <c r="S131" s="81" t="str">
        <f t="shared" si="76"/>
        <v/>
      </c>
      <c r="T131" s="82" t="str">
        <f t="shared" si="64"/>
        <v/>
      </c>
      <c r="U131" s="82" t="str">
        <f t="shared" si="65"/>
        <v/>
      </c>
      <c r="V131" s="81" t="str">
        <f t="shared" si="77"/>
        <v/>
      </c>
      <c r="W131" s="81" t="str">
        <f t="shared" si="78"/>
        <v/>
      </c>
      <c r="X131" s="81" t="str">
        <f t="shared" si="79"/>
        <v/>
      </c>
      <c r="Y131" s="88" t="str">
        <f t="shared" si="80"/>
        <v/>
      </c>
      <c r="Z131" s="89" t="str">
        <f t="shared" si="83"/>
        <v/>
      </c>
      <c r="AA131" s="89" t="str">
        <f t="shared" si="84"/>
        <v/>
      </c>
      <c r="AB131" s="89" t="str">
        <f t="shared" si="85"/>
        <v/>
      </c>
      <c r="AC131" s="89" t="str">
        <f t="shared" si="62"/>
        <v/>
      </c>
      <c r="AD131" s="96"/>
      <c r="AE131" s="97" t="str">
        <f t="shared" si="75"/>
        <v/>
      </c>
      <c r="AF131" s="98"/>
      <c r="AG131" s="105"/>
      <c r="AH131" s="105"/>
      <c r="AI131" s="106"/>
      <c r="AJ131" s="107"/>
      <c r="AK131" s="114"/>
      <c r="AL131" s="114"/>
      <c r="AM131" s="114"/>
      <c r="AN131" s="114"/>
      <c r="AO131" s="114"/>
      <c r="AP131" s="114"/>
      <c r="AQ131" s="114"/>
      <c r="AR131" s="114"/>
      <c r="AS131" s="114"/>
      <c r="AT131" s="114"/>
      <c r="AU131" s="114"/>
      <c r="AV131" s="114"/>
      <c r="AW131" s="114"/>
      <c r="AX131" s="114"/>
      <c r="AY131" s="114"/>
      <c r="AZ131" s="114"/>
      <c r="BA131" s="114"/>
      <c r="BB131" s="114"/>
      <c r="BC131" s="114"/>
      <c r="BD131" s="114"/>
      <c r="BE131" s="114"/>
      <c r="BF131" s="114"/>
      <c r="BG131" s="114"/>
      <c r="BH131" s="114"/>
      <c r="BI131" s="114"/>
      <c r="BJ131" s="114"/>
      <c r="BK131" s="114"/>
      <c r="BL131" s="114"/>
      <c r="BM131" s="114"/>
      <c r="BN131" s="114"/>
      <c r="BO131" s="114"/>
      <c r="BP131" s="114"/>
      <c r="BQ131" s="122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</row>
  </sheetData>
  <mergeCells count="22">
    <mergeCell ref="A1:AE1"/>
    <mergeCell ref="V2:W2"/>
    <mergeCell ref="B4:C4"/>
    <mergeCell ref="F4:G4"/>
    <mergeCell ref="H4:M4"/>
    <mergeCell ref="O4:Q4"/>
    <mergeCell ref="R4:W4"/>
    <mergeCell ref="B5:C5"/>
    <mergeCell ref="F5:G5"/>
    <mergeCell ref="H5:M5"/>
    <mergeCell ref="O5:Q5"/>
    <mergeCell ref="R5:W5"/>
    <mergeCell ref="B6:C6"/>
    <mergeCell ref="F6:G6"/>
    <mergeCell ref="H6:M6"/>
    <mergeCell ref="O6:Q6"/>
    <mergeCell ref="R6:W6"/>
    <mergeCell ref="B8:M8"/>
    <mergeCell ref="O8:AE8"/>
    <mergeCell ref="AG8:AI8"/>
    <mergeCell ref="AK8:BP8"/>
    <mergeCell ref="Z9:AA9"/>
  </mergeCells>
  <conditionalFormatting sqref="O11:Q11">
    <cfRule type="expression" dxfId="0" priority="3">
      <formula>AND($M11&lt;&gt;"",$AK11&lt;&gt;"",O11&lt;$M11)</formula>
    </cfRule>
    <cfRule type="expression" dxfId="1" priority="4">
      <formula>AND($L11&lt;&gt;"",$AK11&lt;&gt;"",O11&gt;$L11)</formula>
    </cfRule>
    <cfRule type="notContainsBlanks" dxfId="2" priority="5">
      <formula>LEN(TRIM(O11))&gt;0</formula>
    </cfRule>
  </conditionalFormatting>
  <conditionalFormatting sqref="R11">
    <cfRule type="expression" dxfId="3" priority="1">
      <formula>AND($R11&lt;&gt;"",$S11&lt;1.67)</formula>
    </cfRule>
    <cfRule type="notContainsBlanks" dxfId="2" priority="2">
      <formula>LEN(TRIM(R11))&gt;0</formula>
    </cfRule>
  </conditionalFormatting>
  <conditionalFormatting sqref="AK18:EF18">
    <cfRule type="containsBlanks" dxfId="4" priority="891">
      <formula>LEN(TRIM(AK18))=0</formula>
    </cfRule>
    <cfRule type="expression" dxfId="0" priority="894">
      <formula>AND($M18&lt;&gt;"",AK18&lt;$M18)</formula>
    </cfRule>
    <cfRule type="expression" dxfId="1" priority="895">
      <formula>AND($L18&lt;&gt;"",AK18&gt;$L18)</formula>
    </cfRule>
    <cfRule type="notContainsBlanks" dxfId="2" priority="896">
      <formula>LEN(TRIM(AK18))&gt;0</formula>
    </cfRule>
  </conditionalFormatting>
  <conditionalFormatting sqref="H19">
    <cfRule type="expression" dxfId="5" priority="551">
      <formula>AND($F19="MIN",$H19&lt;&gt;"")</formula>
    </cfRule>
    <cfRule type="expression" dxfId="6" priority="552">
      <formula>AND($F19="MIN",$H19="")</formula>
    </cfRule>
    <cfRule type="containsBlanks" dxfId="4" priority="553">
      <formula>LEN(TRIM(H19))=0</formula>
    </cfRule>
  </conditionalFormatting>
  <conditionalFormatting sqref="AK19:BP19">
    <cfRule type="expression" dxfId="0" priority="298">
      <formula>AND($M19&lt;&gt;"",$AK19&lt;&gt;"",AK19&lt;$M19)</formula>
    </cfRule>
    <cfRule type="expression" dxfId="1" priority="299">
      <formula>AND($L19&lt;&gt;"",$AK19&lt;&gt;"",AK19&gt;$L19)</formula>
    </cfRule>
    <cfRule type="notContainsBlanks" dxfId="2" priority="300">
      <formula>LEN(TRIM(AK19))&gt;0</formula>
    </cfRule>
  </conditionalFormatting>
  <conditionalFormatting sqref="BQ19:EF19">
    <cfRule type="containsBlanks" dxfId="4" priority="870">
      <formula>LEN(TRIM(BQ19))=0</formula>
    </cfRule>
    <cfRule type="expression" dxfId="0" priority="873">
      <formula>AND($M19&lt;&gt;"",BQ19&lt;$M19)</formula>
    </cfRule>
    <cfRule type="expression" dxfId="1" priority="874">
      <formula>AND($L19&lt;&gt;"",BQ19&gt;$L19)</formula>
    </cfRule>
    <cfRule type="notContainsBlanks" dxfId="2" priority="875">
      <formula>LEN(TRIM(BQ19))&gt;0</formula>
    </cfRule>
  </conditionalFormatting>
  <conditionalFormatting sqref="AK20:EF20">
    <cfRule type="containsBlanks" dxfId="4" priority="109">
      <formula>LEN(TRIM(AK20))=0</formula>
    </cfRule>
    <cfRule type="expression" dxfId="0" priority="110">
      <formula>AND($M20&lt;&gt;"",$AK20&lt;&gt;"",AK20&lt;$M20)</formula>
    </cfRule>
    <cfRule type="expression" dxfId="1" priority="111">
      <formula>AND($L20&lt;&gt;"",$AK20&lt;&gt;"",AK20&gt;$L20)</formula>
    </cfRule>
    <cfRule type="notContainsBlanks" dxfId="2" priority="112">
      <formula>LEN(TRIM(AK20))&gt;0</formula>
    </cfRule>
  </conditionalFormatting>
  <conditionalFormatting sqref="AK22:BP22">
    <cfRule type="containsBlanks" dxfId="4" priority="293">
      <formula>LEN(TRIM(AK22))=0</formula>
    </cfRule>
    <cfRule type="expression" dxfId="0" priority="294">
      <formula>AND($M22&lt;&gt;"",AK22&lt;$M22)</formula>
    </cfRule>
    <cfRule type="expression" dxfId="1" priority="295">
      <formula>AND($L22&lt;&gt;"",AK22&gt;$L22)</formula>
    </cfRule>
    <cfRule type="notContainsBlanks" dxfId="2" priority="296">
      <formula>LEN(TRIM(AK22))&gt;0</formula>
    </cfRule>
  </conditionalFormatting>
  <conditionalFormatting sqref="AK25:EF25">
    <cfRule type="containsBlanks" dxfId="4" priority="105">
      <formula>LEN(TRIM(AK25))=0</formula>
    </cfRule>
    <cfRule type="expression" dxfId="0" priority="106">
      <formula>AND($M25&lt;&gt;"",$AK25&lt;&gt;"",AK25&lt;$M25)</formula>
    </cfRule>
    <cfRule type="expression" dxfId="1" priority="107">
      <formula>AND($L25&lt;&gt;"",$AK25&lt;&gt;"",AK25&gt;$L25)</formula>
    </cfRule>
    <cfRule type="notContainsBlanks" dxfId="2" priority="108">
      <formula>LEN(TRIM(AK25))&gt;0</formula>
    </cfRule>
  </conditionalFormatting>
  <conditionalFormatting sqref="AK27:BP27">
    <cfRule type="containsBlanks" dxfId="4" priority="285">
      <formula>LEN(TRIM(AK27))=0</formula>
    </cfRule>
    <cfRule type="expression" dxfId="0" priority="286">
      <formula>AND($M27&lt;&gt;"",AK27&lt;$M27)</formula>
    </cfRule>
    <cfRule type="expression" dxfId="1" priority="287">
      <formula>AND($L27&lt;&gt;"",AK27&gt;$L27)</formula>
    </cfRule>
    <cfRule type="notContainsBlanks" dxfId="2" priority="288">
      <formula>LEN(TRIM(AK27))&gt;0</formula>
    </cfRule>
  </conditionalFormatting>
  <conditionalFormatting sqref="AK30:EF30">
    <cfRule type="containsBlanks" dxfId="4" priority="101">
      <formula>LEN(TRIM(AK30))=0</formula>
    </cfRule>
    <cfRule type="expression" dxfId="0" priority="102">
      <formula>AND($M30&lt;&gt;"",$AK30&lt;&gt;"",AK30&lt;$M30)</formula>
    </cfRule>
    <cfRule type="expression" dxfId="1" priority="103">
      <formula>AND($L30&lt;&gt;"",$AK30&lt;&gt;"",AK30&gt;$L30)</formula>
    </cfRule>
    <cfRule type="notContainsBlanks" dxfId="2" priority="104">
      <formula>LEN(TRIM(AK30))&gt;0</formula>
    </cfRule>
  </conditionalFormatting>
  <conditionalFormatting sqref="AK32:BP32">
    <cfRule type="containsBlanks" dxfId="4" priority="277">
      <formula>LEN(TRIM(AK32))=0</formula>
    </cfRule>
    <cfRule type="expression" dxfId="0" priority="278">
      <formula>AND($M32&lt;&gt;"",AK32&lt;$M32)</formula>
    </cfRule>
    <cfRule type="expression" dxfId="1" priority="279">
      <formula>AND($L32&lt;&gt;"",AK32&gt;$L32)</formula>
    </cfRule>
    <cfRule type="notContainsBlanks" dxfId="2" priority="280">
      <formula>LEN(TRIM(AK32))&gt;0</formula>
    </cfRule>
  </conditionalFormatting>
  <conditionalFormatting sqref="G34">
    <cfRule type="expression" dxfId="5" priority="530">
      <formula>AND($F34&lt;&gt;"Tolerance",$G34&lt;&gt;"")</formula>
    </cfRule>
    <cfRule type="expression" dxfId="6" priority="531">
      <formula>AND(OR($F34="GD&amp;T",$F34="MAX",$F34="MIN"),$G34="")</formula>
    </cfRule>
    <cfRule type="containsBlanks" dxfId="4" priority="532">
      <formula>LEN(TRIM(G34))=0</formula>
    </cfRule>
    <cfRule type="expression" dxfId="5" priority="533">
      <formula>AND($F34&lt;&gt;"Tolerance",$G34&lt;&gt;"")</formula>
    </cfRule>
    <cfRule type="expression" dxfId="6" priority="534">
      <formula>AND(OR($F34="GD&amp;T",$F34="MAX",$F34="MIN"),$G34="")</formula>
    </cfRule>
    <cfRule type="containsBlanks" dxfId="4" priority="535">
      <formula>LEN(TRIM(G34))=0</formula>
    </cfRule>
  </conditionalFormatting>
  <conditionalFormatting sqref="H34">
    <cfRule type="expression" dxfId="5" priority="539">
      <formula>AND($F34="MIN",$H34&lt;&gt;"")</formula>
    </cfRule>
    <cfRule type="expression" dxfId="6" priority="540">
      <formula>AND($F34="MIN",$H34="")</formula>
    </cfRule>
    <cfRule type="containsBlanks" dxfId="4" priority="541">
      <formula>LEN(TRIM(H34))=0</formula>
    </cfRule>
  </conditionalFormatting>
  <conditionalFormatting sqref="I34">
    <cfRule type="expression" dxfId="5" priority="536">
      <formula>AND(OR($F34="GD&amp;T",$F34="MAX"),$I34&lt;&gt;"")</formula>
    </cfRule>
    <cfRule type="expression" dxfId="6" priority="537">
      <formula>AND(OR($F34="GD&amp;T",$F34="MAX"),$I34="")</formula>
    </cfRule>
    <cfRule type="containsBlanks" dxfId="4" priority="538">
      <formula>LEN(TRIM(I34))=0</formula>
    </cfRule>
  </conditionalFormatting>
  <conditionalFormatting sqref="AK35:EF35">
    <cfRule type="containsBlanks" dxfId="4" priority="97">
      <formula>LEN(TRIM(AK35))=0</formula>
    </cfRule>
    <cfRule type="expression" dxfId="0" priority="98">
      <formula>AND($M35&lt;&gt;"",$AK35&lt;&gt;"",AK35&lt;$M35)</formula>
    </cfRule>
    <cfRule type="expression" dxfId="1" priority="99">
      <formula>AND($L35&lt;&gt;"",$AK35&lt;&gt;"",AK35&gt;$L35)</formula>
    </cfRule>
    <cfRule type="notContainsBlanks" dxfId="2" priority="100">
      <formula>LEN(TRIM(AK35))&gt;0</formula>
    </cfRule>
  </conditionalFormatting>
  <conditionalFormatting sqref="AK37:BP37">
    <cfRule type="containsBlanks" dxfId="4" priority="269">
      <formula>LEN(TRIM(AK37))=0</formula>
    </cfRule>
    <cfRule type="expression" dxfId="0" priority="270">
      <formula>AND($M37&lt;&gt;"",AK37&lt;$M37)</formula>
    </cfRule>
    <cfRule type="expression" dxfId="1" priority="271">
      <formula>AND($L37&lt;&gt;"",AK37&gt;$L37)</formula>
    </cfRule>
    <cfRule type="notContainsBlanks" dxfId="2" priority="272">
      <formula>LEN(TRIM(AK37))&gt;0</formula>
    </cfRule>
  </conditionalFormatting>
  <conditionalFormatting sqref="AK40:EF40">
    <cfRule type="containsBlanks" dxfId="4" priority="93">
      <formula>LEN(TRIM(AK40))=0</formula>
    </cfRule>
    <cfRule type="expression" dxfId="0" priority="94">
      <formula>AND($M40&lt;&gt;"",$AK40&lt;&gt;"",AK40&lt;$M40)</formula>
    </cfRule>
    <cfRule type="expression" dxfId="1" priority="95">
      <formula>AND($L40&lt;&gt;"",$AK40&lt;&gt;"",AK40&gt;$L40)</formula>
    </cfRule>
    <cfRule type="notContainsBlanks" dxfId="2" priority="96">
      <formula>LEN(TRIM(AK40))&gt;0</formula>
    </cfRule>
  </conditionalFormatting>
  <conditionalFormatting sqref="AK42:BP42">
    <cfRule type="containsBlanks" dxfId="4" priority="261">
      <formula>LEN(TRIM(AK42))=0</formula>
    </cfRule>
    <cfRule type="expression" dxfId="0" priority="262">
      <formula>AND($M42&lt;&gt;"",AK42&lt;$M42)</formula>
    </cfRule>
    <cfRule type="expression" dxfId="1" priority="263">
      <formula>AND($L42&lt;&gt;"",AK42&gt;$L42)</formula>
    </cfRule>
    <cfRule type="notContainsBlanks" dxfId="2" priority="264">
      <formula>LEN(TRIM(AK42))&gt;0</formula>
    </cfRule>
  </conditionalFormatting>
  <conditionalFormatting sqref="AK45:EF45">
    <cfRule type="containsBlanks" dxfId="4" priority="89">
      <formula>LEN(TRIM(AK45))=0</formula>
    </cfRule>
    <cfRule type="expression" dxfId="0" priority="90">
      <formula>AND($M45&lt;&gt;"",$AK45&lt;&gt;"",AK45&lt;$M45)</formula>
    </cfRule>
    <cfRule type="expression" dxfId="1" priority="91">
      <formula>AND($L45&lt;&gt;"",$AK45&lt;&gt;"",AK45&gt;$L45)</formula>
    </cfRule>
    <cfRule type="notContainsBlanks" dxfId="2" priority="92">
      <formula>LEN(TRIM(AK45))&gt;0</formula>
    </cfRule>
  </conditionalFormatting>
  <conditionalFormatting sqref="AK47:BP47">
    <cfRule type="containsBlanks" dxfId="4" priority="253">
      <formula>LEN(TRIM(AK47))=0</formula>
    </cfRule>
    <cfRule type="expression" dxfId="0" priority="254">
      <formula>AND($M47&lt;&gt;"",AK47&lt;$M47)</formula>
    </cfRule>
    <cfRule type="expression" dxfId="1" priority="255">
      <formula>AND($L47&lt;&gt;"",AK47&gt;$L47)</formula>
    </cfRule>
    <cfRule type="notContainsBlanks" dxfId="2" priority="256">
      <formula>LEN(TRIM(AK47))&gt;0</formula>
    </cfRule>
  </conditionalFormatting>
  <conditionalFormatting sqref="AK50:EF50">
    <cfRule type="containsBlanks" dxfId="4" priority="85">
      <formula>LEN(TRIM(AK50))=0</formula>
    </cfRule>
    <cfRule type="expression" dxfId="0" priority="86">
      <formula>AND($M50&lt;&gt;"",$AK50&lt;&gt;"",AK50&lt;$M50)</formula>
    </cfRule>
    <cfRule type="expression" dxfId="1" priority="87">
      <formula>AND($L50&lt;&gt;"",$AK50&lt;&gt;"",AK50&gt;$L50)</formula>
    </cfRule>
    <cfRule type="notContainsBlanks" dxfId="2" priority="88">
      <formula>LEN(TRIM(AK50))&gt;0</formula>
    </cfRule>
  </conditionalFormatting>
  <conditionalFormatting sqref="AK52:BP52">
    <cfRule type="containsBlanks" dxfId="4" priority="245">
      <formula>LEN(TRIM(AK52))=0</formula>
    </cfRule>
    <cfRule type="expression" dxfId="0" priority="246">
      <formula>AND($M52&lt;&gt;"",AK52&lt;$M52)</formula>
    </cfRule>
    <cfRule type="expression" dxfId="1" priority="247">
      <formula>AND($L52&lt;&gt;"",AK52&gt;$L52)</formula>
    </cfRule>
    <cfRule type="notContainsBlanks" dxfId="2" priority="248">
      <formula>LEN(TRIM(AK52))&gt;0</formula>
    </cfRule>
  </conditionalFormatting>
  <conditionalFormatting sqref="BQ54:EF54">
    <cfRule type="expression" dxfId="0" priority="475">
      <formula>AND($M54&lt;&gt;"",$AK54&lt;&gt;"",BQ54&lt;$M54)</formula>
    </cfRule>
    <cfRule type="expression" dxfId="1" priority="476">
      <formula>AND($L54&lt;&gt;"",$AK54&lt;&gt;"",BQ54&gt;$L54)</formula>
    </cfRule>
    <cfRule type="notContainsBlanks" dxfId="2" priority="477">
      <formula>LEN(TRIM(BQ54))&gt;0</formula>
    </cfRule>
  </conditionalFormatting>
  <conditionalFormatting sqref="AK55:EF55">
    <cfRule type="containsBlanks" dxfId="4" priority="81">
      <formula>LEN(TRIM(AK55))=0</formula>
    </cfRule>
    <cfRule type="expression" dxfId="0" priority="82">
      <formula>AND($M55&lt;&gt;"",$AK55&lt;&gt;"",AK55&lt;$M55)</formula>
    </cfRule>
    <cfRule type="expression" dxfId="1" priority="83">
      <formula>AND($L55&lt;&gt;"",$AK55&lt;&gt;"",AK55&gt;$L55)</formula>
    </cfRule>
    <cfRule type="notContainsBlanks" dxfId="2" priority="84">
      <formula>LEN(TRIM(AK55))&gt;0</formula>
    </cfRule>
  </conditionalFormatting>
  <conditionalFormatting sqref="BQ56:EF56">
    <cfRule type="containsBlanks" dxfId="4" priority="457">
      <formula>LEN(TRIM(BQ56))=0</formula>
    </cfRule>
    <cfRule type="expression" dxfId="0" priority="458">
      <formula>AND($M56&lt;&gt;"",BQ56&lt;$M56)</formula>
    </cfRule>
    <cfRule type="expression" dxfId="1" priority="459">
      <formula>AND($L56&lt;&gt;"",BQ56&gt;$L56)</formula>
    </cfRule>
    <cfRule type="notContainsBlanks" dxfId="2" priority="460">
      <formula>LEN(TRIM(BQ56))&gt;0</formula>
    </cfRule>
  </conditionalFormatting>
  <conditionalFormatting sqref="G57">
    <cfRule type="expression" dxfId="5" priority="408">
      <formula>AND($F57&lt;&gt;"Tolerance",$G57&lt;&gt;"")</formula>
    </cfRule>
    <cfRule type="expression" dxfId="6" priority="409">
      <formula>AND(OR($F57="GD&amp;T",$F57="MAX",$F57="MIN"),$G57="")</formula>
    </cfRule>
    <cfRule type="containsBlanks" dxfId="4" priority="410">
      <formula>LEN(TRIM(G57))=0</formula>
    </cfRule>
    <cfRule type="expression" dxfId="5" priority="411">
      <formula>AND($F57&lt;&gt;"Tolerance",$G57&lt;&gt;"")</formula>
    </cfRule>
    <cfRule type="expression" dxfId="6" priority="412">
      <formula>AND(OR($F57="GD&amp;T",$F57="MAX",$F57="MIN"),$G57="")</formula>
    </cfRule>
    <cfRule type="containsBlanks" dxfId="4" priority="413">
      <formula>LEN(TRIM(G57))=0</formula>
    </cfRule>
  </conditionalFormatting>
  <conditionalFormatting sqref="H57">
    <cfRule type="expression" dxfId="5" priority="417">
      <formula>AND($F57="MIN",$H57&lt;&gt;"")</formula>
    </cfRule>
    <cfRule type="expression" dxfId="6" priority="418">
      <formula>AND($F57="MIN",$H57="")</formula>
    </cfRule>
    <cfRule type="containsBlanks" dxfId="4" priority="419">
      <formula>LEN(TRIM(H57))=0</formula>
    </cfRule>
  </conditionalFormatting>
  <conditionalFormatting sqref="I57">
    <cfRule type="expression" dxfId="5" priority="414">
      <formula>AND(OR($F57="GD&amp;T",$F57="MAX"),$I57&lt;&gt;"")</formula>
    </cfRule>
    <cfRule type="expression" dxfId="6" priority="415">
      <formula>AND(OR($F57="GD&amp;T",$F57="MAX"),$I57="")</formula>
    </cfRule>
    <cfRule type="containsBlanks" dxfId="4" priority="416">
      <formula>LEN(TRIM(I57))=0</formula>
    </cfRule>
  </conditionalFormatting>
  <conditionalFormatting sqref="AK57:BP57">
    <cfRule type="containsBlanks" dxfId="4" priority="237">
      <formula>LEN(TRIM(AK57))=0</formula>
    </cfRule>
    <cfRule type="expression" dxfId="0" priority="238">
      <formula>AND($M57&lt;&gt;"",AK57&lt;$M57)</formula>
    </cfRule>
    <cfRule type="expression" dxfId="1" priority="239">
      <formula>AND($L57&lt;&gt;"",AK57&gt;$L57)</formula>
    </cfRule>
    <cfRule type="notContainsBlanks" dxfId="2" priority="240">
      <formula>LEN(TRIM(AK57))&gt;0</formula>
    </cfRule>
  </conditionalFormatting>
  <conditionalFormatting sqref="BQ57:EF57">
    <cfRule type="containsBlanks" dxfId="4" priority="453">
      <formula>LEN(TRIM(BQ57))=0</formula>
    </cfRule>
    <cfRule type="expression" dxfId="0" priority="454">
      <formula>AND($M57&lt;&gt;"",BQ57&lt;$M57)</formula>
    </cfRule>
    <cfRule type="expression" dxfId="1" priority="455">
      <formula>AND($L57&lt;&gt;"",BQ57&gt;$L57)</formula>
    </cfRule>
    <cfRule type="notContainsBlanks" dxfId="2" priority="456">
      <formula>LEN(TRIM(BQ57))&gt;0</formula>
    </cfRule>
  </conditionalFormatting>
  <conditionalFormatting sqref="G58">
    <cfRule type="expression" dxfId="5" priority="420">
      <formula>AND($F58&lt;&gt;"Tolerance",$G58&lt;&gt;"")</formula>
    </cfRule>
    <cfRule type="expression" dxfId="6" priority="421">
      <formula>AND(OR($F58="GD&amp;T",$F58="MAX",$F58="MIN"),$G58="")</formula>
    </cfRule>
    <cfRule type="containsBlanks" dxfId="4" priority="422">
      <formula>LEN(TRIM(G58))=0</formula>
    </cfRule>
    <cfRule type="expression" dxfId="5" priority="423">
      <formula>AND($F58&lt;&gt;"Tolerance",$G58&lt;&gt;"")</formula>
    </cfRule>
    <cfRule type="expression" dxfId="6" priority="424">
      <formula>AND(OR($F58="GD&amp;T",$F58="MAX",$F58="MIN"),$G58="")</formula>
    </cfRule>
    <cfRule type="containsBlanks" dxfId="4" priority="425">
      <formula>LEN(TRIM(G58))=0</formula>
    </cfRule>
  </conditionalFormatting>
  <conditionalFormatting sqref="H58">
    <cfRule type="expression" dxfId="5" priority="433">
      <formula>AND($F58="MIN",$H58&lt;&gt;"")</formula>
    </cfRule>
    <cfRule type="expression" dxfId="6" priority="434">
      <formula>AND($F58="MIN",$H58="")</formula>
    </cfRule>
    <cfRule type="containsBlanks" dxfId="4" priority="435">
      <formula>LEN(TRIM(H58))=0</formula>
    </cfRule>
  </conditionalFormatting>
  <conditionalFormatting sqref="I58">
    <cfRule type="expression" dxfId="5" priority="430">
      <formula>AND(OR($F58="GD&amp;T",$F58="MAX"),$I58&lt;&gt;"")</formula>
    </cfRule>
    <cfRule type="expression" dxfId="6" priority="431">
      <formula>AND(OR($F58="GD&amp;T",$F58="MAX"),$I58="")</formula>
    </cfRule>
    <cfRule type="containsBlanks" dxfId="4" priority="432">
      <formula>LEN(TRIM(I58))=0</formula>
    </cfRule>
  </conditionalFormatting>
  <conditionalFormatting sqref="O58:Q58">
    <cfRule type="expression" dxfId="0" priority="443">
      <formula>AND($M58&lt;&gt;"",$AK58&lt;&gt;"",O58&lt;$M58)</formula>
    </cfRule>
    <cfRule type="expression" dxfId="1" priority="444">
      <formula>AND($L58&lt;&gt;"",$AK58&lt;&gt;"",O58&gt;$L58)</formula>
    </cfRule>
    <cfRule type="notContainsBlanks" dxfId="2" priority="445">
      <formula>LEN(TRIM(O58))&gt;0</formula>
    </cfRule>
  </conditionalFormatting>
  <conditionalFormatting sqref="R58:S58">
    <cfRule type="expression" dxfId="7" priority="436">
      <formula>AND($AD58&lt;0.966,$AD58&lt;&gt;"")</formula>
    </cfRule>
  </conditionalFormatting>
  <conditionalFormatting sqref="Y58">
    <cfRule type="notContainsBlanks" dxfId="8" priority="442">
      <formula>LEN(TRIM(Y58))&gt;0</formula>
    </cfRule>
  </conditionalFormatting>
  <conditionalFormatting sqref="AD58">
    <cfRule type="expression" dxfId="8" priority="441">
      <formula>AND($AD58&lt;0.966,$AD58&lt;&gt;"")</formula>
    </cfRule>
  </conditionalFormatting>
  <conditionalFormatting sqref="BQ58:EF58">
    <cfRule type="containsBlanks" dxfId="4" priority="426">
      <formula>LEN(TRIM(BQ58))=0</formula>
    </cfRule>
    <cfRule type="expression" dxfId="0" priority="427">
      <formula>AND($M58&lt;&gt;"",BQ58&lt;$M58)</formula>
    </cfRule>
    <cfRule type="expression" dxfId="1" priority="428">
      <formula>AND($L58&lt;&gt;"",BQ58&gt;$L58)</formula>
    </cfRule>
    <cfRule type="notContainsBlanks" dxfId="2" priority="429">
      <formula>LEN(TRIM(BQ58))&gt;0</formula>
    </cfRule>
  </conditionalFormatting>
  <conditionalFormatting sqref="AK60:EF60">
    <cfRule type="containsBlanks" dxfId="4" priority="77">
      <formula>LEN(TRIM(AK60))=0</formula>
    </cfRule>
    <cfRule type="expression" dxfId="0" priority="78">
      <formula>AND($M60&lt;&gt;"",$AK60&lt;&gt;"",AK60&lt;$M60)</formula>
    </cfRule>
    <cfRule type="expression" dxfId="1" priority="79">
      <formula>AND($L60&lt;&gt;"",$AK60&lt;&gt;"",AK60&gt;$L60)</formula>
    </cfRule>
    <cfRule type="notContainsBlanks" dxfId="2" priority="80">
      <formula>LEN(TRIM(AK60))&gt;0</formula>
    </cfRule>
  </conditionalFormatting>
  <conditionalFormatting sqref="AK62:BP62">
    <cfRule type="containsBlanks" dxfId="4" priority="229">
      <formula>LEN(TRIM(AK62))=0</formula>
    </cfRule>
    <cfRule type="expression" dxfId="0" priority="230">
      <formula>AND($M62&lt;&gt;"",AK62&lt;$M62)</formula>
    </cfRule>
    <cfRule type="expression" dxfId="1" priority="231">
      <formula>AND($L62&lt;&gt;"",AK62&gt;$L62)</formula>
    </cfRule>
    <cfRule type="notContainsBlanks" dxfId="2" priority="232">
      <formula>LEN(TRIM(AK62))&gt;0</formula>
    </cfRule>
  </conditionalFormatting>
  <conditionalFormatting sqref="AK65:EF65">
    <cfRule type="containsBlanks" dxfId="4" priority="73">
      <formula>LEN(TRIM(AK65))=0</formula>
    </cfRule>
    <cfRule type="expression" dxfId="0" priority="74">
      <formula>AND($M65&lt;&gt;"",$AK65&lt;&gt;"",AK65&lt;$M65)</formula>
    </cfRule>
    <cfRule type="expression" dxfId="1" priority="75">
      <formula>AND($L65&lt;&gt;"",$AK65&lt;&gt;"",AK65&gt;$L65)</formula>
    </cfRule>
    <cfRule type="notContainsBlanks" dxfId="2" priority="76">
      <formula>LEN(TRIM(AK65))&gt;0</formula>
    </cfRule>
  </conditionalFormatting>
  <conditionalFormatting sqref="AK67:BP67">
    <cfRule type="containsBlanks" dxfId="4" priority="221">
      <formula>LEN(TRIM(AK67))=0</formula>
    </cfRule>
    <cfRule type="expression" dxfId="0" priority="222">
      <formula>AND($M67&lt;&gt;"",AK67&lt;$M67)</formula>
    </cfRule>
    <cfRule type="expression" dxfId="1" priority="223">
      <formula>AND($L67&lt;&gt;"",AK67&gt;$L67)</formula>
    </cfRule>
    <cfRule type="notContainsBlanks" dxfId="2" priority="224">
      <formula>LEN(TRIM(AK67))&gt;0</formula>
    </cfRule>
  </conditionalFormatting>
  <conditionalFormatting sqref="AK70:EF70">
    <cfRule type="containsBlanks" dxfId="4" priority="69">
      <formula>LEN(TRIM(AK70))=0</formula>
    </cfRule>
    <cfRule type="expression" dxfId="0" priority="70">
      <formula>AND($M70&lt;&gt;"",$AK70&lt;&gt;"",AK70&lt;$M70)</formula>
    </cfRule>
    <cfRule type="expression" dxfId="1" priority="71">
      <formula>AND($L70&lt;&gt;"",$AK70&lt;&gt;"",AK70&gt;$L70)</formula>
    </cfRule>
    <cfRule type="notContainsBlanks" dxfId="2" priority="72">
      <formula>LEN(TRIM(AK70))&gt;0</formula>
    </cfRule>
  </conditionalFormatting>
  <conditionalFormatting sqref="AK72:BP72">
    <cfRule type="containsBlanks" dxfId="4" priority="213">
      <formula>LEN(TRIM(AK72))=0</formula>
    </cfRule>
    <cfRule type="expression" dxfId="0" priority="214">
      <formula>AND($M72&lt;&gt;"",AK72&lt;$M72)</formula>
    </cfRule>
    <cfRule type="expression" dxfId="1" priority="215">
      <formula>AND($L72&lt;&gt;"",AK72&gt;$L72)</formula>
    </cfRule>
    <cfRule type="notContainsBlanks" dxfId="2" priority="216">
      <formula>LEN(TRIM(AK72))&gt;0</formula>
    </cfRule>
  </conditionalFormatting>
  <conditionalFormatting sqref="G73">
    <cfRule type="expression" dxfId="5" priority="396">
      <formula>AND($F73&lt;&gt;"Tolerance",$G73&lt;&gt;"")</formula>
    </cfRule>
    <cfRule type="expression" dxfId="6" priority="397">
      <formula>AND(OR($F73="GD&amp;T",$F73="MAX",$F73="MIN"),$G73="")</formula>
    </cfRule>
    <cfRule type="containsBlanks" dxfId="4" priority="398">
      <formula>LEN(TRIM(G73))=0</formula>
    </cfRule>
    <cfRule type="expression" dxfId="5" priority="399">
      <formula>AND($F73&lt;&gt;"Tolerance",$G73&lt;&gt;"")</formula>
    </cfRule>
    <cfRule type="expression" dxfId="6" priority="400">
      <formula>AND(OR($F73="GD&amp;T",$F73="MAX",$F73="MIN"),$G73="")</formula>
    </cfRule>
    <cfRule type="containsBlanks" dxfId="4" priority="401">
      <formula>LEN(TRIM(G73))=0</formula>
    </cfRule>
  </conditionalFormatting>
  <conditionalFormatting sqref="H73">
    <cfRule type="expression" dxfId="5" priority="405">
      <formula>AND($F73="MIN",$H73&lt;&gt;"")</formula>
    </cfRule>
    <cfRule type="expression" dxfId="6" priority="406">
      <formula>AND($F73="MIN",$H73="")</formula>
    </cfRule>
    <cfRule type="containsBlanks" dxfId="4" priority="407">
      <formula>LEN(TRIM(H73))=0</formula>
    </cfRule>
  </conditionalFormatting>
  <conditionalFormatting sqref="I73">
    <cfRule type="expression" dxfId="5" priority="402">
      <formula>AND(OR($F73="GD&amp;T",$F73="MAX"),$I73&lt;&gt;"")</formula>
    </cfRule>
    <cfRule type="expression" dxfId="6" priority="403">
      <formula>AND(OR($F73="GD&amp;T",$F73="MAX"),$I73="")</formula>
    </cfRule>
    <cfRule type="containsBlanks" dxfId="4" priority="404">
      <formula>LEN(TRIM(I73))=0</formula>
    </cfRule>
  </conditionalFormatting>
  <conditionalFormatting sqref="AK75:EF75">
    <cfRule type="containsBlanks" dxfId="4" priority="65">
      <formula>LEN(TRIM(AK75))=0</formula>
    </cfRule>
    <cfRule type="expression" dxfId="0" priority="66">
      <formula>AND($M75&lt;&gt;"",$AK75&lt;&gt;"",AK75&lt;$M75)</formula>
    </cfRule>
    <cfRule type="expression" dxfId="1" priority="67">
      <formula>AND($L75&lt;&gt;"",$AK75&lt;&gt;"",AK75&gt;$L75)</formula>
    </cfRule>
    <cfRule type="notContainsBlanks" dxfId="2" priority="68">
      <formula>LEN(TRIM(AK75))&gt;0</formula>
    </cfRule>
  </conditionalFormatting>
  <conditionalFormatting sqref="AK77:BP77">
    <cfRule type="containsBlanks" dxfId="4" priority="205">
      <formula>LEN(TRIM(AK77))=0</formula>
    </cfRule>
    <cfRule type="expression" dxfId="0" priority="206">
      <formula>AND($M77&lt;&gt;"",AK77&lt;$M77)</formula>
    </cfRule>
    <cfRule type="expression" dxfId="1" priority="207">
      <formula>AND($L77&lt;&gt;"",AK77&gt;$L77)</formula>
    </cfRule>
    <cfRule type="notContainsBlanks" dxfId="2" priority="208">
      <formula>LEN(TRIM(AK77))&gt;0</formula>
    </cfRule>
  </conditionalFormatting>
  <conditionalFormatting sqref="AK80:EF80">
    <cfRule type="containsBlanks" dxfId="4" priority="61">
      <formula>LEN(TRIM(AK80))=0</formula>
    </cfRule>
    <cfRule type="expression" dxfId="0" priority="62">
      <formula>AND($M80&lt;&gt;"",$AK80&lt;&gt;"",AK80&lt;$M80)</formula>
    </cfRule>
    <cfRule type="expression" dxfId="1" priority="63">
      <formula>AND($L80&lt;&gt;"",$AK80&lt;&gt;"",AK80&gt;$L80)</formula>
    </cfRule>
    <cfRule type="notContainsBlanks" dxfId="2" priority="64">
      <formula>LEN(TRIM(AK80))&gt;0</formula>
    </cfRule>
  </conditionalFormatting>
  <conditionalFormatting sqref="AK82:BP82">
    <cfRule type="containsBlanks" dxfId="4" priority="197">
      <formula>LEN(TRIM(AK82))=0</formula>
    </cfRule>
    <cfRule type="expression" dxfId="0" priority="198">
      <formula>AND($M82&lt;&gt;"",AK82&lt;$M82)</formula>
    </cfRule>
    <cfRule type="expression" dxfId="1" priority="199">
      <formula>AND($L82&lt;&gt;"",AK82&gt;$L82)</formula>
    </cfRule>
    <cfRule type="notContainsBlanks" dxfId="2" priority="200">
      <formula>LEN(TRIM(AK82))&gt;0</formula>
    </cfRule>
  </conditionalFormatting>
  <conditionalFormatting sqref="AK85:EF85">
    <cfRule type="containsBlanks" dxfId="4" priority="57">
      <formula>LEN(TRIM(AK85))=0</formula>
    </cfRule>
    <cfRule type="expression" dxfId="0" priority="58">
      <formula>AND($M85&lt;&gt;"",$AK85&lt;&gt;"",AK85&lt;$M85)</formula>
    </cfRule>
    <cfRule type="expression" dxfId="1" priority="59">
      <formula>AND($L85&lt;&gt;"",$AK85&lt;&gt;"",AK85&gt;$L85)</formula>
    </cfRule>
    <cfRule type="notContainsBlanks" dxfId="2" priority="60">
      <formula>LEN(TRIM(AK85))&gt;0</formula>
    </cfRule>
  </conditionalFormatting>
  <conditionalFormatting sqref="AK87:BP87">
    <cfRule type="containsBlanks" dxfId="4" priority="189">
      <formula>LEN(TRIM(AK87))=0</formula>
    </cfRule>
    <cfRule type="expression" dxfId="0" priority="190">
      <formula>AND($M87&lt;&gt;"",AK87&lt;$M87)</formula>
    </cfRule>
    <cfRule type="expression" dxfId="1" priority="191">
      <formula>AND($L87&lt;&gt;"",AK87&gt;$L87)</formula>
    </cfRule>
    <cfRule type="notContainsBlanks" dxfId="2" priority="192">
      <formula>LEN(TRIM(AK87))&gt;0</formula>
    </cfRule>
  </conditionalFormatting>
  <conditionalFormatting sqref="AK90:EF90">
    <cfRule type="containsBlanks" dxfId="4" priority="53">
      <formula>LEN(TRIM(AK90))=0</formula>
    </cfRule>
    <cfRule type="expression" dxfId="0" priority="54">
      <formula>AND($M90&lt;&gt;"",$AK90&lt;&gt;"",AK90&lt;$M90)</formula>
    </cfRule>
    <cfRule type="expression" dxfId="1" priority="55">
      <formula>AND($L90&lt;&gt;"",$AK90&lt;&gt;"",AK90&gt;$L90)</formula>
    </cfRule>
    <cfRule type="notContainsBlanks" dxfId="2" priority="56">
      <formula>LEN(TRIM(AK90))&gt;0</formula>
    </cfRule>
  </conditionalFormatting>
  <conditionalFormatting sqref="AK92:BP92">
    <cfRule type="containsBlanks" dxfId="4" priority="181">
      <formula>LEN(TRIM(AK92))=0</formula>
    </cfRule>
    <cfRule type="expression" dxfId="0" priority="182">
      <formula>AND($M92&lt;&gt;"",AK92&lt;$M92)</formula>
    </cfRule>
    <cfRule type="expression" dxfId="1" priority="183">
      <formula>AND($L92&lt;&gt;"",AK92&gt;$L92)</formula>
    </cfRule>
    <cfRule type="notContainsBlanks" dxfId="2" priority="184">
      <formula>LEN(TRIM(AK92))&gt;0</formula>
    </cfRule>
  </conditionalFormatting>
  <conditionalFormatting sqref="AK95:EF95">
    <cfRule type="containsBlanks" dxfId="4" priority="49">
      <formula>LEN(TRIM(AK95))=0</formula>
    </cfRule>
    <cfRule type="expression" dxfId="0" priority="50">
      <formula>AND($M95&lt;&gt;"",$AK95&lt;&gt;"",AK95&lt;$M95)</formula>
    </cfRule>
    <cfRule type="expression" dxfId="1" priority="51">
      <formula>AND($L95&lt;&gt;"",$AK95&lt;&gt;"",AK95&gt;$L95)</formula>
    </cfRule>
    <cfRule type="notContainsBlanks" dxfId="2" priority="52">
      <formula>LEN(TRIM(AK95))&gt;0</formula>
    </cfRule>
  </conditionalFormatting>
  <conditionalFormatting sqref="G96">
    <cfRule type="expression" dxfId="5" priority="319">
      <formula>AND($F96&lt;&gt;"Tolerance",$G96&lt;&gt;"")</formula>
    </cfRule>
    <cfRule type="expression" dxfId="6" priority="320">
      <formula>AND(OR($F96="GD&amp;T",$F96="MAX",$F96="MIN"),$G96="")</formula>
    </cfRule>
    <cfRule type="containsBlanks" dxfId="4" priority="321">
      <formula>LEN(TRIM(G96))=0</formula>
    </cfRule>
    <cfRule type="expression" dxfId="5" priority="322">
      <formula>AND($F96&lt;&gt;"Tolerance",$G96&lt;&gt;"")</formula>
    </cfRule>
    <cfRule type="expression" dxfId="6" priority="323">
      <formula>AND(OR($F96="GD&amp;T",$F96="MAX",$F96="MIN"),$G96="")</formula>
    </cfRule>
    <cfRule type="containsBlanks" dxfId="4" priority="324">
      <formula>LEN(TRIM(G96))=0</formula>
    </cfRule>
  </conditionalFormatting>
  <conditionalFormatting sqref="H96">
    <cfRule type="expression" dxfId="5" priority="328">
      <formula>AND($F96="MIN",$H96&lt;&gt;"")</formula>
    </cfRule>
    <cfRule type="expression" dxfId="6" priority="329">
      <formula>AND($F96="MIN",$H96="")</formula>
    </cfRule>
    <cfRule type="containsBlanks" dxfId="4" priority="330">
      <formula>LEN(TRIM(H96))=0</formula>
    </cfRule>
  </conditionalFormatting>
  <conditionalFormatting sqref="I96">
    <cfRule type="expression" dxfId="5" priority="325">
      <formula>AND(OR($F96="GD&amp;T",$F96="MAX"),$I96&lt;&gt;"")</formula>
    </cfRule>
    <cfRule type="expression" dxfId="6" priority="326">
      <formula>AND(OR($F96="GD&amp;T",$F96="MAX"),$I96="")</formula>
    </cfRule>
    <cfRule type="containsBlanks" dxfId="4" priority="327">
      <formula>LEN(TRIM(I96))=0</formula>
    </cfRule>
  </conditionalFormatting>
  <conditionalFormatting sqref="BQ96:EF96">
    <cfRule type="containsBlanks" dxfId="4" priority="364">
      <formula>LEN(TRIM(BQ96))=0</formula>
    </cfRule>
    <cfRule type="expression" dxfId="0" priority="365">
      <formula>AND($M96&lt;&gt;"",BQ96&lt;$M96)</formula>
    </cfRule>
    <cfRule type="expression" dxfId="1" priority="366">
      <formula>AND($L96&lt;&gt;"",BQ96&gt;$L96)</formula>
    </cfRule>
    <cfRule type="notContainsBlanks" dxfId="2" priority="367">
      <formula>LEN(TRIM(BQ96))&gt;0</formula>
    </cfRule>
  </conditionalFormatting>
  <conditionalFormatting sqref="G97">
    <cfRule type="expression" dxfId="5" priority="331">
      <formula>AND($F97&lt;&gt;"Tolerance",$G97&lt;&gt;"")</formula>
    </cfRule>
    <cfRule type="expression" dxfId="6" priority="332">
      <formula>AND(OR($F97="GD&amp;T",$F97="MAX",$F97="MIN"),$G97="")</formula>
    </cfRule>
    <cfRule type="containsBlanks" dxfId="4" priority="333">
      <formula>LEN(TRIM(G97))=0</formula>
    </cfRule>
    <cfRule type="expression" dxfId="5" priority="334">
      <formula>AND($F97&lt;&gt;"Tolerance",$G97&lt;&gt;"")</formula>
    </cfRule>
    <cfRule type="expression" dxfId="6" priority="335">
      <formula>AND(OR($F97="GD&amp;T",$F97="MAX",$F97="MIN"),$G97="")</formula>
    </cfRule>
    <cfRule type="containsBlanks" dxfId="4" priority="336">
      <formula>LEN(TRIM(G97))=0</formula>
    </cfRule>
  </conditionalFormatting>
  <conditionalFormatting sqref="H97">
    <cfRule type="expression" dxfId="5" priority="344">
      <formula>AND($F97="MIN",$H97&lt;&gt;"")</formula>
    </cfRule>
    <cfRule type="expression" dxfId="6" priority="345">
      <formula>AND($F97="MIN",$H97="")</formula>
    </cfRule>
    <cfRule type="containsBlanks" dxfId="4" priority="346">
      <formula>LEN(TRIM(H97))=0</formula>
    </cfRule>
  </conditionalFormatting>
  <conditionalFormatting sqref="I97">
    <cfRule type="expression" dxfId="5" priority="341">
      <formula>AND(OR($F97="GD&amp;T",$F97="MAX"),$I97&lt;&gt;"")</formula>
    </cfRule>
    <cfRule type="expression" dxfId="6" priority="342">
      <formula>AND(OR($F97="GD&amp;T",$F97="MAX"),$I97="")</formula>
    </cfRule>
    <cfRule type="containsBlanks" dxfId="4" priority="343">
      <formula>LEN(TRIM(I97))=0</formula>
    </cfRule>
  </conditionalFormatting>
  <conditionalFormatting sqref="O97:Q97">
    <cfRule type="expression" dxfId="0" priority="354">
      <formula>AND($M97&lt;&gt;"",$AK97&lt;&gt;"",O97&lt;$M97)</formula>
    </cfRule>
    <cfRule type="expression" dxfId="1" priority="355">
      <formula>AND($L97&lt;&gt;"",$AK97&lt;&gt;"",O97&gt;$L97)</formula>
    </cfRule>
    <cfRule type="notContainsBlanks" dxfId="2" priority="356">
      <formula>LEN(TRIM(O97))&gt;0</formula>
    </cfRule>
  </conditionalFormatting>
  <conditionalFormatting sqref="R97:S97">
    <cfRule type="expression" dxfId="7" priority="347">
      <formula>AND($AD97&lt;0.966,$AD97&lt;&gt;"")</formula>
    </cfRule>
  </conditionalFormatting>
  <conditionalFormatting sqref="Y97">
    <cfRule type="notContainsBlanks" dxfId="8" priority="353">
      <formula>LEN(TRIM(Y97))&gt;0</formula>
    </cfRule>
  </conditionalFormatting>
  <conditionalFormatting sqref="AD97">
    <cfRule type="expression" dxfId="8" priority="352">
      <formula>AND($AD97&lt;0.966,$AD97&lt;&gt;"")</formula>
    </cfRule>
  </conditionalFormatting>
  <conditionalFormatting sqref="AK97:BP97">
    <cfRule type="containsBlanks" dxfId="4" priority="173">
      <formula>LEN(TRIM(AK97))=0</formula>
    </cfRule>
    <cfRule type="expression" dxfId="0" priority="174">
      <formula>AND($M97&lt;&gt;"",AK97&lt;$M97)</formula>
    </cfRule>
    <cfRule type="expression" dxfId="1" priority="175">
      <formula>AND($L97&lt;&gt;"",AK97&gt;$L97)</formula>
    </cfRule>
    <cfRule type="notContainsBlanks" dxfId="2" priority="176">
      <formula>LEN(TRIM(AK97))&gt;0</formula>
    </cfRule>
  </conditionalFormatting>
  <conditionalFormatting sqref="BQ97:EF97">
    <cfRule type="containsBlanks" dxfId="4" priority="337">
      <formula>LEN(TRIM(BQ97))=0</formula>
    </cfRule>
    <cfRule type="expression" dxfId="0" priority="338">
      <formula>AND($M97&lt;&gt;"",BQ97&lt;$M97)</formula>
    </cfRule>
    <cfRule type="expression" dxfId="1" priority="339">
      <formula>AND($L97&lt;&gt;"",BQ97&gt;$L97)</formula>
    </cfRule>
    <cfRule type="notContainsBlanks" dxfId="2" priority="340">
      <formula>LEN(TRIM(BQ97))&gt;0</formula>
    </cfRule>
  </conditionalFormatting>
  <conditionalFormatting sqref="AK100:EF100">
    <cfRule type="containsBlanks" dxfId="4" priority="45">
      <formula>LEN(TRIM(AK100))=0</formula>
    </cfRule>
    <cfRule type="expression" dxfId="0" priority="46">
      <formula>AND($M100&lt;&gt;"",$AK100&lt;&gt;"",AK100&lt;$M100)</formula>
    </cfRule>
    <cfRule type="expression" dxfId="1" priority="47">
      <formula>AND($L100&lt;&gt;"",$AK100&lt;&gt;"",AK100&gt;$L100)</formula>
    </cfRule>
    <cfRule type="notContainsBlanks" dxfId="2" priority="48">
      <formula>LEN(TRIM(AK100))&gt;0</formula>
    </cfRule>
  </conditionalFormatting>
  <conditionalFormatting sqref="AK102:BP102">
    <cfRule type="containsBlanks" dxfId="4" priority="165">
      <formula>LEN(TRIM(AK102))=0</formula>
    </cfRule>
    <cfRule type="expression" dxfId="0" priority="166">
      <formula>AND($M102&lt;&gt;"",AK102&lt;$M102)</formula>
    </cfRule>
    <cfRule type="expression" dxfId="1" priority="167">
      <formula>AND($L102&lt;&gt;"",AK102&gt;$L102)</formula>
    </cfRule>
    <cfRule type="notContainsBlanks" dxfId="2" priority="168">
      <formula>LEN(TRIM(AK102))&gt;0</formula>
    </cfRule>
  </conditionalFormatting>
  <conditionalFormatting sqref="AK105:EF105">
    <cfRule type="containsBlanks" dxfId="4" priority="41">
      <formula>LEN(TRIM(AK105))=0</formula>
    </cfRule>
    <cfRule type="expression" dxfId="0" priority="42">
      <formula>AND($M105&lt;&gt;"",$AK105&lt;&gt;"",AK105&lt;$M105)</formula>
    </cfRule>
    <cfRule type="expression" dxfId="1" priority="43">
      <formula>AND($L105&lt;&gt;"",$AK105&lt;&gt;"",AK105&gt;$L105)</formula>
    </cfRule>
    <cfRule type="notContainsBlanks" dxfId="2" priority="44">
      <formula>LEN(TRIM(AK105))&gt;0</formula>
    </cfRule>
  </conditionalFormatting>
  <conditionalFormatting sqref="AK107:BP107">
    <cfRule type="containsBlanks" dxfId="4" priority="157">
      <formula>LEN(TRIM(AK107))=0</formula>
    </cfRule>
    <cfRule type="expression" dxfId="0" priority="158">
      <formula>AND($M107&lt;&gt;"",AK107&lt;$M107)</formula>
    </cfRule>
    <cfRule type="expression" dxfId="1" priority="159">
      <formula>AND($L107&lt;&gt;"",AK107&gt;$L107)</formula>
    </cfRule>
    <cfRule type="notContainsBlanks" dxfId="2" priority="160">
      <formula>LEN(TRIM(AK107))&gt;0</formula>
    </cfRule>
  </conditionalFormatting>
  <conditionalFormatting sqref="AK110:EF110">
    <cfRule type="containsBlanks" dxfId="4" priority="37">
      <formula>LEN(TRIM(AK110))=0</formula>
    </cfRule>
    <cfRule type="expression" dxfId="0" priority="38">
      <formula>AND($M110&lt;&gt;"",$AK110&lt;&gt;"",AK110&lt;$M110)</formula>
    </cfRule>
    <cfRule type="expression" dxfId="1" priority="39">
      <formula>AND($L110&lt;&gt;"",$AK110&lt;&gt;"",AK110&gt;$L110)</formula>
    </cfRule>
    <cfRule type="notContainsBlanks" dxfId="2" priority="40">
      <formula>LEN(TRIM(AK110))&gt;0</formula>
    </cfRule>
  </conditionalFormatting>
  <conditionalFormatting sqref="G112">
    <cfRule type="expression" dxfId="5" priority="307">
      <formula>AND($F112&lt;&gt;"Tolerance",$G112&lt;&gt;"")</formula>
    </cfRule>
    <cfRule type="expression" dxfId="6" priority="308">
      <formula>AND(OR($F112="GD&amp;T",$F112="MAX",$F112="MIN"),$G112="")</formula>
    </cfRule>
    <cfRule type="containsBlanks" dxfId="4" priority="309">
      <formula>LEN(TRIM(G112))=0</formula>
    </cfRule>
    <cfRule type="expression" dxfId="5" priority="310">
      <formula>AND($F112&lt;&gt;"Tolerance",$G112&lt;&gt;"")</formula>
    </cfRule>
    <cfRule type="expression" dxfId="6" priority="311">
      <formula>AND(OR($F112="GD&amp;T",$F112="MAX",$F112="MIN"),$G112="")</formula>
    </cfRule>
    <cfRule type="containsBlanks" dxfId="4" priority="312">
      <formula>LEN(TRIM(G112))=0</formula>
    </cfRule>
  </conditionalFormatting>
  <conditionalFormatting sqref="H112">
    <cfRule type="expression" dxfId="5" priority="316">
      <formula>AND($F112="MIN",$H112&lt;&gt;"")</formula>
    </cfRule>
    <cfRule type="expression" dxfId="6" priority="317">
      <formula>AND($F112="MIN",$H112="")</formula>
    </cfRule>
    <cfRule type="containsBlanks" dxfId="4" priority="318">
      <formula>LEN(TRIM(H112))=0</formula>
    </cfRule>
  </conditionalFormatting>
  <conditionalFormatting sqref="I112">
    <cfRule type="expression" dxfId="5" priority="313">
      <formula>AND(OR($F112="GD&amp;T",$F112="MAX"),$I112&lt;&gt;"")</formula>
    </cfRule>
    <cfRule type="expression" dxfId="6" priority="314">
      <formula>AND(OR($F112="GD&amp;T",$F112="MAX"),$I112="")</formula>
    </cfRule>
    <cfRule type="containsBlanks" dxfId="4" priority="315">
      <formula>LEN(TRIM(I112))=0</formula>
    </cfRule>
  </conditionalFormatting>
  <conditionalFormatting sqref="AK112:BP112">
    <cfRule type="containsBlanks" dxfId="4" priority="149">
      <formula>LEN(TRIM(AK112))=0</formula>
    </cfRule>
    <cfRule type="expression" dxfId="0" priority="150">
      <formula>AND($M112&lt;&gt;"",AK112&lt;$M112)</formula>
    </cfRule>
    <cfRule type="expression" dxfId="1" priority="151">
      <formula>AND($L112&lt;&gt;"",AK112&gt;$L112)</formula>
    </cfRule>
    <cfRule type="notContainsBlanks" dxfId="2" priority="152">
      <formula>LEN(TRIM(AK112))&gt;0</formula>
    </cfRule>
  </conditionalFormatting>
  <conditionalFormatting sqref="AK115:EF115">
    <cfRule type="containsBlanks" dxfId="4" priority="33">
      <formula>LEN(TRIM(AK115))=0</formula>
    </cfRule>
    <cfRule type="expression" dxfId="0" priority="34">
      <formula>AND($M115&lt;&gt;"",$AK115&lt;&gt;"",AK115&lt;$M115)</formula>
    </cfRule>
    <cfRule type="expression" dxfId="1" priority="35">
      <formula>AND($L115&lt;&gt;"",$AK115&lt;&gt;"",AK115&gt;$L115)</formula>
    </cfRule>
    <cfRule type="notContainsBlanks" dxfId="2" priority="36">
      <formula>LEN(TRIM(AK115))&gt;0</formula>
    </cfRule>
  </conditionalFormatting>
  <conditionalFormatting sqref="AK117:BP117">
    <cfRule type="containsBlanks" dxfId="4" priority="141">
      <formula>LEN(TRIM(AK117))=0</formula>
    </cfRule>
    <cfRule type="expression" dxfId="0" priority="142">
      <formula>AND($M117&lt;&gt;"",AK117&lt;$M117)</formula>
    </cfRule>
    <cfRule type="expression" dxfId="1" priority="143">
      <formula>AND($L117&lt;&gt;"",AK117&gt;$L117)</formula>
    </cfRule>
    <cfRule type="notContainsBlanks" dxfId="2" priority="144">
      <formula>LEN(TRIM(AK117))&gt;0</formula>
    </cfRule>
  </conditionalFormatting>
  <conditionalFormatting sqref="AK120:EF120">
    <cfRule type="containsBlanks" dxfId="4" priority="29">
      <formula>LEN(TRIM(AK120))=0</formula>
    </cfRule>
    <cfRule type="expression" dxfId="0" priority="30">
      <formula>AND($M120&lt;&gt;"",$AK120&lt;&gt;"",AK120&lt;$M120)</formula>
    </cfRule>
    <cfRule type="expression" dxfId="1" priority="31">
      <formula>AND($L120&lt;&gt;"",$AK120&lt;&gt;"",AK120&gt;$L120)</formula>
    </cfRule>
    <cfRule type="notContainsBlanks" dxfId="2" priority="32">
      <formula>LEN(TRIM(AK120))&gt;0</formula>
    </cfRule>
  </conditionalFormatting>
  <conditionalFormatting sqref="AK122:BP122">
    <cfRule type="containsBlanks" dxfId="4" priority="133">
      <formula>LEN(TRIM(AK122))=0</formula>
    </cfRule>
    <cfRule type="expression" dxfId="0" priority="134">
      <formula>AND($M122&lt;&gt;"",AK122&lt;$M122)</formula>
    </cfRule>
    <cfRule type="expression" dxfId="1" priority="135">
      <formula>AND($L122&lt;&gt;"",AK122&gt;$L122)</formula>
    </cfRule>
    <cfRule type="notContainsBlanks" dxfId="2" priority="136">
      <formula>LEN(TRIM(AK122))&gt;0</formula>
    </cfRule>
  </conditionalFormatting>
  <conditionalFormatting sqref="AK125:EF125">
    <cfRule type="containsBlanks" dxfId="4" priority="25">
      <formula>LEN(TRIM(AK125))=0</formula>
    </cfRule>
    <cfRule type="expression" dxfId="0" priority="26">
      <formula>AND($M125&lt;&gt;"",$AK125&lt;&gt;"",AK125&lt;$M125)</formula>
    </cfRule>
    <cfRule type="expression" dxfId="1" priority="27">
      <formula>AND($L125&lt;&gt;"",$AK125&lt;&gt;"",AK125&gt;$L125)</formula>
    </cfRule>
    <cfRule type="notContainsBlanks" dxfId="2" priority="28">
      <formula>LEN(TRIM(AK125))&gt;0</formula>
    </cfRule>
  </conditionalFormatting>
  <conditionalFormatting sqref="AK127:BP127">
    <cfRule type="containsBlanks" dxfId="4" priority="125">
      <formula>LEN(TRIM(AK127))=0</formula>
    </cfRule>
    <cfRule type="expression" dxfId="0" priority="126">
      <formula>AND($M127&lt;&gt;"",AK127&lt;$M127)</formula>
    </cfRule>
    <cfRule type="expression" dxfId="1" priority="127">
      <formula>AND($L127&lt;&gt;"",AK127&gt;$L127)</formula>
    </cfRule>
    <cfRule type="notContainsBlanks" dxfId="2" priority="128">
      <formula>LEN(TRIM(AK127))&gt;0</formula>
    </cfRule>
  </conditionalFormatting>
  <conditionalFormatting sqref="AK130:EF130">
    <cfRule type="containsBlanks" dxfId="4" priority="21">
      <formula>LEN(TRIM(AK130))=0</formula>
    </cfRule>
    <cfRule type="expression" dxfId="0" priority="22">
      <formula>AND($M130&lt;&gt;"",$AK130&lt;&gt;"",AK130&lt;$M130)</formula>
    </cfRule>
    <cfRule type="expression" dxfId="1" priority="23">
      <formula>AND($L130&lt;&gt;"",$AK130&lt;&gt;"",AK130&gt;$L130)</formula>
    </cfRule>
    <cfRule type="notContainsBlanks" dxfId="2" priority="24">
      <formula>LEN(TRIM(AK130))&gt;0</formula>
    </cfRule>
  </conditionalFormatting>
  <conditionalFormatting sqref="BQ131:EF131">
    <cfRule type="containsBlanks" dxfId="4" priority="304">
      <formula>LEN(TRIM(BQ131))=0</formula>
    </cfRule>
  </conditionalFormatting>
  <conditionalFormatting sqref="R12:R25">
    <cfRule type="expression" dxfId="3" priority="6">
      <formula>AND($R12&lt;&gt;"",$S12&lt;1.67)</formula>
    </cfRule>
    <cfRule type="notContainsBlanks" dxfId="2" priority="7">
      <formula>LEN(TRIM(R12))&gt;0</formula>
    </cfRule>
  </conditionalFormatting>
  <conditionalFormatting sqref="R26:R131">
    <cfRule type="expression" dxfId="3" priority="15">
      <formula>AND($R26&lt;&gt;"",$S26&lt;1.67)</formula>
    </cfRule>
    <cfRule type="notContainsBlanks" dxfId="2" priority="16">
      <formula>LEN(TRIM(R26))&gt;0</formula>
    </cfRule>
  </conditionalFormatting>
  <conditionalFormatting sqref="Y11:Y131">
    <cfRule type="containsBlanks" dxfId="9" priority="951">
      <formula>LEN(TRIM(Y11))=0</formula>
    </cfRule>
    <cfRule type="cellIs" dxfId="10" priority="952" operator="between">
      <formula>0.9</formula>
      <formula>0.998</formula>
    </cfRule>
    <cfRule type="cellIs" dxfId="2" priority="953" operator="greaterThanOrEqual">
      <formula>0.998</formula>
    </cfRule>
    <cfRule type="notContainsBlanks" dxfId="8" priority="958">
      <formula>LEN(TRIM(Y11))&gt;0</formula>
    </cfRule>
  </conditionalFormatting>
  <conditionalFormatting sqref="Y52:Y53">
    <cfRule type="notContainsBlanks" dxfId="8" priority="499">
      <formula>LEN(TRIM(Y52))&gt;0</formula>
    </cfRule>
  </conditionalFormatting>
  <conditionalFormatting sqref="Y91:Y92">
    <cfRule type="notContainsBlanks" dxfId="8" priority="394">
      <formula>LEN(TRIM(Y91))&gt;0</formula>
    </cfRule>
  </conditionalFormatting>
  <conditionalFormatting sqref="Y130:Y131">
    <cfRule type="notContainsBlanks" dxfId="8" priority="305">
      <formula>LEN(TRIM(Y130))&gt;0</formula>
    </cfRule>
  </conditionalFormatting>
  <conditionalFormatting sqref="AD54:AD57">
    <cfRule type="expression" dxfId="8" priority="473">
      <formula>AND($AD54&lt;0.966,$AD54&lt;&gt;"")</formula>
    </cfRule>
  </conditionalFormatting>
  <conditionalFormatting sqref="AD93:AD96">
    <cfRule type="expression" dxfId="8" priority="384">
      <formula>AND($AD93&lt;0.966,$AD93&lt;&gt;"")</formula>
    </cfRule>
  </conditionalFormatting>
  <conditionalFormatting sqref="G11:G33 G35:G53">
    <cfRule type="expression" dxfId="5" priority="661">
      <formula>AND($F11&lt;&gt;"Tolerance",$G11&lt;&gt;"")</formula>
    </cfRule>
    <cfRule type="expression" dxfId="6" priority="662">
      <formula>AND(OR($F11="GD&amp;T",$F11="MAX",$F11="MIN"),$G11="")</formula>
    </cfRule>
    <cfRule type="containsBlanks" dxfId="4" priority="663">
      <formula>LEN(TRIM(G11))=0</formula>
    </cfRule>
    <cfRule type="expression" dxfId="5" priority="664">
      <formula>AND($F11&lt;&gt;"Tolerance",$G11&lt;&gt;"")</formula>
    </cfRule>
    <cfRule type="expression" dxfId="6" priority="665">
      <formula>AND(OR($F11="GD&amp;T",$F11="MAX",$F11="MIN"),$G11="")</formula>
    </cfRule>
    <cfRule type="containsBlanks" dxfId="4" priority="666">
      <formula>LEN(TRIM(G11))=0</formula>
    </cfRule>
  </conditionalFormatting>
  <conditionalFormatting sqref="H11:H18 H20:H33 H35:H53">
    <cfRule type="expression" dxfId="5" priority="944">
      <formula>AND($F11="MIN",$H11&lt;&gt;"")</formula>
    </cfRule>
    <cfRule type="expression" dxfId="6" priority="945">
      <formula>AND($F11="MIN",$H11="")</formula>
    </cfRule>
    <cfRule type="containsBlanks" dxfId="4" priority="946">
      <formula>LEN(TRIM(H11))=0</formula>
    </cfRule>
  </conditionalFormatting>
  <conditionalFormatting sqref="I11:I33 I35:I53">
    <cfRule type="expression" dxfId="5" priority="941">
      <formula>AND(OR($F11="GD&amp;T",$F11="MAX"),$I11&lt;&gt;"")</formula>
    </cfRule>
    <cfRule type="expression" dxfId="6" priority="942">
      <formula>AND(OR($F11="GD&amp;T",$F11="MAX"),$I11="")</formula>
    </cfRule>
    <cfRule type="containsBlanks" dxfId="4" priority="943">
      <formula>LEN(TRIM(I11))=0</formula>
    </cfRule>
  </conditionalFormatting>
  <conditionalFormatting sqref="S11:S131 V11:X131">
    <cfRule type="expression" dxfId="11" priority="529">
      <formula>$K11="Yes"</formula>
    </cfRule>
    <cfRule type="expression" dxfId="7" priority="950">
      <formula>AND($AD11&lt;0.966,$AD11&lt;&gt;"")</formula>
    </cfRule>
    <cfRule type="cellIs" dxfId="0" priority="954" operator="lessThan">
      <formula>$E11</formula>
    </cfRule>
    <cfRule type="notContainsBlanks" dxfId="2" priority="963">
      <formula>LEN(TRIM(S11))&gt;0</formula>
    </cfRule>
  </conditionalFormatting>
  <conditionalFormatting sqref="AD11:AE131">
    <cfRule type="expression" dxfId="8" priority="957">
      <formula>AND($AD11&lt;0.966,$AD11&lt;&gt;"")</formula>
    </cfRule>
  </conditionalFormatting>
  <conditionalFormatting sqref="AK11:EF17 BQ21:EF24 BQ51:EF51 BQ46:EF49 BQ41:EF44 BQ36:EF39 BQ31:EF34 BQ26:EF29">
    <cfRule type="containsBlanks" dxfId="4" priority="956">
      <formula>LEN(TRIM(AK11))=0</formula>
    </cfRule>
  </conditionalFormatting>
  <conditionalFormatting sqref="AK11:EF131">
    <cfRule type="expression" dxfId="0" priority="577">
      <formula>AND($M11&lt;&gt;"",$AK11&lt;&gt;"",AK11&lt;$M11)</formula>
    </cfRule>
    <cfRule type="expression" dxfId="1" priority="578">
      <formula>AND($L11&lt;&gt;"",$AK11&lt;&gt;"",AK11&gt;$L11)</formula>
    </cfRule>
    <cfRule type="notContainsBlanks" dxfId="2" priority="579">
      <formula>LEN(TRIM(AK11))&gt;0</formula>
    </cfRule>
  </conditionalFormatting>
  <conditionalFormatting sqref="O12:Q25">
    <cfRule type="expression" dxfId="0" priority="8">
      <formula>AND($M12&lt;&gt;"",$AK12&lt;&gt;"",O12&lt;$M12)</formula>
    </cfRule>
    <cfRule type="expression" dxfId="1" priority="9">
      <formula>AND($L12&lt;&gt;"",$AK12&lt;&gt;"",O12&gt;$L12)</formula>
    </cfRule>
    <cfRule type="notContainsBlanks" dxfId="2" priority="10">
      <formula>LEN(TRIM(O12))&gt;0</formula>
    </cfRule>
  </conditionalFormatting>
  <conditionalFormatting sqref="AK19:BP19 AK21:BP21">
    <cfRule type="containsBlanks" dxfId="4" priority="297">
      <formula>LEN(TRIM(AK19))=0</formula>
    </cfRule>
  </conditionalFormatting>
  <conditionalFormatting sqref="AK23:BP24 AK26:BP26">
    <cfRule type="containsBlanks" dxfId="4" priority="289">
      <formula>LEN(TRIM(AK23))=0</formula>
    </cfRule>
  </conditionalFormatting>
  <conditionalFormatting sqref="AK23:BP24">
    <cfRule type="expression" dxfId="0" priority="290">
      <formula>AND($M23&lt;&gt;"",$AK23&lt;&gt;"",AK23&lt;$M23)</formula>
    </cfRule>
    <cfRule type="expression" dxfId="1" priority="291">
      <formula>AND($L23&lt;&gt;"",$AK23&lt;&gt;"",AK23&gt;$L23)</formula>
    </cfRule>
    <cfRule type="notContainsBlanks" dxfId="2" priority="292">
      <formula>LEN(TRIM(AK23))&gt;0</formula>
    </cfRule>
  </conditionalFormatting>
  <conditionalFormatting sqref="O26:Q131">
    <cfRule type="expression" dxfId="0" priority="959">
      <formula>AND($M26&lt;&gt;"",$AK26&lt;&gt;"",O26&lt;$M26)</formula>
    </cfRule>
    <cfRule type="expression" dxfId="1" priority="961">
      <formula>AND($L26&lt;&gt;"",$AK26&lt;&gt;"",O26&gt;$L26)</formula>
    </cfRule>
    <cfRule type="notContainsBlanks" dxfId="2" priority="962">
      <formula>LEN(TRIM(O26))&gt;0</formula>
    </cfRule>
  </conditionalFormatting>
  <conditionalFormatting sqref="AK28:BP29 AK31:BP31">
    <cfRule type="containsBlanks" dxfId="4" priority="281">
      <formula>LEN(TRIM(AK28))=0</formula>
    </cfRule>
  </conditionalFormatting>
  <conditionalFormatting sqref="AK28:BP29">
    <cfRule type="expression" dxfId="0" priority="282">
      <formula>AND($M28&lt;&gt;"",$AK28&lt;&gt;"",AK28&lt;$M28)</formula>
    </cfRule>
    <cfRule type="expression" dxfId="1" priority="283">
      <formula>AND($L28&lt;&gt;"",$AK28&lt;&gt;"",AK28&gt;$L28)</formula>
    </cfRule>
    <cfRule type="notContainsBlanks" dxfId="2" priority="284">
      <formula>LEN(TRIM(AK28))&gt;0</formula>
    </cfRule>
  </conditionalFormatting>
  <conditionalFormatting sqref="AK33:BP34 AK36:BP36">
    <cfRule type="containsBlanks" dxfId="4" priority="273">
      <formula>LEN(TRIM(AK33))=0</formula>
    </cfRule>
  </conditionalFormatting>
  <conditionalFormatting sqref="AK33:BP34">
    <cfRule type="expression" dxfId="0" priority="274">
      <formula>AND($M33&lt;&gt;"",$AK33&lt;&gt;"",AK33&lt;$M33)</formula>
    </cfRule>
    <cfRule type="expression" dxfId="1" priority="275">
      <formula>AND($L33&lt;&gt;"",$AK33&lt;&gt;"",AK33&gt;$L33)</formula>
    </cfRule>
    <cfRule type="notContainsBlanks" dxfId="2" priority="276">
      <formula>LEN(TRIM(AK33))&gt;0</formula>
    </cfRule>
  </conditionalFormatting>
  <conditionalFormatting sqref="AK38:BP39 AK41:BP41">
    <cfRule type="containsBlanks" dxfId="4" priority="265">
      <formula>LEN(TRIM(AK38))=0</formula>
    </cfRule>
  </conditionalFormatting>
  <conditionalFormatting sqref="AK38:BP39">
    <cfRule type="expression" dxfId="0" priority="266">
      <formula>AND($M38&lt;&gt;"",$AK38&lt;&gt;"",AK38&lt;$M38)</formula>
    </cfRule>
    <cfRule type="expression" dxfId="1" priority="267">
      <formula>AND($L38&lt;&gt;"",$AK38&lt;&gt;"",AK38&gt;$L38)</formula>
    </cfRule>
    <cfRule type="notContainsBlanks" dxfId="2" priority="268">
      <formula>LEN(TRIM(AK38))&gt;0</formula>
    </cfRule>
  </conditionalFormatting>
  <conditionalFormatting sqref="AK43:BP44 AK46:BP46">
    <cfRule type="containsBlanks" dxfId="4" priority="257">
      <formula>LEN(TRIM(AK43))=0</formula>
    </cfRule>
  </conditionalFormatting>
  <conditionalFormatting sqref="AK43:BP44">
    <cfRule type="expression" dxfId="0" priority="258">
      <formula>AND($M43&lt;&gt;"",$AK43&lt;&gt;"",AK43&lt;$M43)</formula>
    </cfRule>
    <cfRule type="expression" dxfId="1" priority="259">
      <formula>AND($L43&lt;&gt;"",$AK43&lt;&gt;"",AK43&gt;$L43)</formula>
    </cfRule>
    <cfRule type="notContainsBlanks" dxfId="2" priority="260">
      <formula>LEN(TRIM(AK43))&gt;0</formula>
    </cfRule>
  </conditionalFormatting>
  <conditionalFormatting sqref="AK48:BP49 AK51:BP51">
    <cfRule type="containsBlanks" dxfId="4" priority="249">
      <formula>LEN(TRIM(AK48))=0</formula>
    </cfRule>
  </conditionalFormatting>
  <conditionalFormatting sqref="AK48:BP49">
    <cfRule type="expression" dxfId="0" priority="250">
      <formula>AND($M48&lt;&gt;"",$AK48&lt;&gt;"",AK48&lt;$M48)</formula>
    </cfRule>
    <cfRule type="expression" dxfId="1" priority="251">
      <formula>AND($L48&lt;&gt;"",$AK48&lt;&gt;"",AK48&gt;$L48)</formula>
    </cfRule>
    <cfRule type="notContainsBlanks" dxfId="2" priority="252">
      <formula>LEN(TRIM(AK48))&gt;0</formula>
    </cfRule>
  </conditionalFormatting>
  <conditionalFormatting sqref="Y52:AC53">
    <cfRule type="containsBlanks" dxfId="9" priority="493">
      <formula>LEN(TRIM(Y52))=0</formula>
    </cfRule>
    <cfRule type="cellIs" dxfId="10" priority="494" operator="between">
      <formula>0.9</formula>
      <formula>0.998</formula>
    </cfRule>
    <cfRule type="cellIs" dxfId="2" priority="495" operator="greaterThanOrEqual">
      <formula>0.998</formula>
    </cfRule>
  </conditionalFormatting>
  <conditionalFormatting sqref="BQ52:EF53">
    <cfRule type="containsBlanks" dxfId="4" priority="497">
      <formula>LEN(TRIM(BQ52))=0</formula>
    </cfRule>
  </conditionalFormatting>
  <conditionalFormatting sqref="AK53:BP54 AK56:BP56">
    <cfRule type="containsBlanks" dxfId="4" priority="241">
      <formula>LEN(TRIM(AK53))=0</formula>
    </cfRule>
  </conditionalFormatting>
  <conditionalFormatting sqref="AK53:BP54">
    <cfRule type="expression" dxfId="0" priority="242">
      <formula>AND($M53&lt;&gt;"",$AK53&lt;&gt;"",AK53&lt;$M53)</formula>
    </cfRule>
    <cfRule type="expression" dxfId="1" priority="243">
      <formula>AND($L53&lt;&gt;"",$AK53&lt;&gt;"",AK53&gt;$L53)</formula>
    </cfRule>
    <cfRule type="notContainsBlanks" dxfId="2" priority="244">
      <formula>LEN(TRIM(AK53))&gt;0</formula>
    </cfRule>
  </conditionalFormatting>
  <conditionalFormatting sqref="G54:G56 G59:G72 G74:G92">
    <cfRule type="expression" dxfId="5" priority="447">
      <formula>AND($F54&lt;&gt;"Tolerance",$G54&lt;&gt;"")</formula>
    </cfRule>
    <cfRule type="expression" dxfId="6" priority="448">
      <formula>AND(OR($F54="GD&amp;T",$F54="MAX",$F54="MIN"),$G54="")</formula>
    </cfRule>
    <cfRule type="containsBlanks" dxfId="4" priority="449">
      <formula>LEN(TRIM(G54))=0</formula>
    </cfRule>
    <cfRule type="expression" dxfId="5" priority="450">
      <formula>AND($F54&lt;&gt;"Tolerance",$G54&lt;&gt;"")</formula>
    </cfRule>
    <cfRule type="expression" dxfId="6" priority="451">
      <formula>AND(OR($F54="GD&amp;T",$F54="MAX",$F54="MIN"),$G54="")</formula>
    </cfRule>
    <cfRule type="containsBlanks" dxfId="4" priority="452">
      <formula>LEN(TRIM(G54))=0</formula>
    </cfRule>
  </conditionalFormatting>
  <conditionalFormatting sqref="H59:H72 H54:H56 H74:H92">
    <cfRule type="expression" dxfId="5" priority="464">
      <formula>AND($F54="MIN",$H54&lt;&gt;"")</formula>
    </cfRule>
    <cfRule type="expression" dxfId="6" priority="465">
      <formula>AND($F54="MIN",$H54="")</formula>
    </cfRule>
    <cfRule type="containsBlanks" dxfId="4" priority="466">
      <formula>LEN(TRIM(H54))=0</formula>
    </cfRule>
  </conditionalFormatting>
  <conditionalFormatting sqref="I54:I56 I59:I72 I74:I92">
    <cfRule type="expression" dxfId="5" priority="461">
      <formula>AND(OR($F54="GD&amp;T",$F54="MAX"),$I54&lt;&gt;"")</formula>
    </cfRule>
    <cfRule type="expression" dxfId="6" priority="462">
      <formula>AND(OR($F54="GD&amp;T",$F54="MAX"),$I54="")</formula>
    </cfRule>
    <cfRule type="containsBlanks" dxfId="4" priority="463">
      <formula>LEN(TRIM(I54))=0</formula>
    </cfRule>
  </conditionalFormatting>
  <conditionalFormatting sqref="S59:S92 S54:S57 V54:X57 V59:X92">
    <cfRule type="cellIs" dxfId="0" priority="471" operator="lessThan">
      <formula>$E54</formula>
    </cfRule>
    <cfRule type="notContainsBlanks" dxfId="2" priority="478">
      <formula>LEN(TRIM(S54))&gt;0</formula>
    </cfRule>
  </conditionalFormatting>
  <conditionalFormatting sqref="S54:S92 V54:Y92">
    <cfRule type="expression" dxfId="11" priority="395">
      <formula>$K54="Yes"</formula>
    </cfRule>
  </conditionalFormatting>
  <conditionalFormatting sqref="Y59:Y90 Z54:AA90 AB54:AC57 Y54:Y57 AB59:AC90">
    <cfRule type="containsBlanks" dxfId="9" priority="468">
      <formula>LEN(TRIM(Y54))=0</formula>
    </cfRule>
    <cfRule type="cellIs" dxfId="10" priority="469" operator="between">
      <formula>0.9</formula>
      <formula>0.998</formula>
    </cfRule>
    <cfRule type="cellIs" dxfId="2" priority="470" operator="greaterThanOrEqual">
      <formula>0.998</formula>
    </cfRule>
  </conditionalFormatting>
  <conditionalFormatting sqref="Y54:Y57 Y59:Y90">
    <cfRule type="notContainsBlanks" dxfId="8" priority="474">
      <formula>LEN(TRIM(Y54))&gt;0</formula>
    </cfRule>
  </conditionalFormatting>
  <conditionalFormatting sqref="BQ54:EF54 BQ86:EF89 BQ81:EF84 BQ76:EF79 BQ71:EF74 BQ66:EF69 BQ61:EF64 BQ59:EF59">
    <cfRule type="containsBlanks" dxfId="4" priority="472">
      <formula>LEN(TRIM(BQ54))=0</formula>
    </cfRule>
  </conditionalFormatting>
  <conditionalFormatting sqref="S58 V58:X58">
    <cfRule type="cellIs" dxfId="0" priority="440" operator="lessThan">
      <formula>1.33</formula>
    </cfRule>
    <cfRule type="notContainsBlanks" dxfId="2" priority="446">
      <formula>LEN(TRIM(S58))&gt;0</formula>
    </cfRule>
  </conditionalFormatting>
  <conditionalFormatting sqref="V58:Y90 V97:Y129">
    <cfRule type="expression" dxfId="7" priority="570">
      <formula>AND($AD58&lt;0.966,$AD58&lt;&gt;"")</formula>
    </cfRule>
  </conditionalFormatting>
  <conditionalFormatting sqref="Y58 AB58:AC58">
    <cfRule type="containsBlanks" dxfId="9" priority="437">
      <formula>LEN(TRIM(Y58))=0</formula>
    </cfRule>
    <cfRule type="cellIs" dxfId="10" priority="438" operator="between">
      <formula>0.9</formula>
      <formula>0.998</formula>
    </cfRule>
    <cfRule type="cellIs" dxfId="2" priority="439" operator="greaterThanOrEqual">
      <formula>0.998</formula>
    </cfRule>
  </conditionalFormatting>
  <conditionalFormatting sqref="AK58:BP59 AK61:BP61">
    <cfRule type="containsBlanks" dxfId="4" priority="233">
      <formula>LEN(TRIM(AK58))=0</formula>
    </cfRule>
  </conditionalFormatting>
  <conditionalFormatting sqref="AK58:BP59">
    <cfRule type="expression" dxfId="0" priority="234">
      <formula>AND($M58&lt;&gt;"",$AK58&lt;&gt;"",AK58&lt;$M58)</formula>
    </cfRule>
    <cfRule type="expression" dxfId="1" priority="235">
      <formula>AND($L58&lt;&gt;"",$AK58&lt;&gt;"",AK58&gt;$L58)</formula>
    </cfRule>
    <cfRule type="notContainsBlanks" dxfId="2" priority="236">
      <formula>LEN(TRIM(AK58))&gt;0</formula>
    </cfRule>
  </conditionalFormatting>
  <conditionalFormatting sqref="R59:S90">
    <cfRule type="expression" dxfId="7" priority="467">
      <formula>AND($AD59&lt;0.966,$AD59&lt;&gt;"")</formula>
    </cfRule>
  </conditionalFormatting>
  <conditionalFormatting sqref="AK63:BP64 AK66:BP66">
    <cfRule type="containsBlanks" dxfId="4" priority="225">
      <formula>LEN(TRIM(AK63))=0</formula>
    </cfRule>
  </conditionalFormatting>
  <conditionalFormatting sqref="AK63:BP64">
    <cfRule type="expression" dxfId="0" priority="226">
      <formula>AND($M63&lt;&gt;"",$AK63&lt;&gt;"",AK63&lt;$M63)</formula>
    </cfRule>
    <cfRule type="expression" dxfId="1" priority="227">
      <formula>AND($L63&lt;&gt;"",$AK63&lt;&gt;"",AK63&gt;$L63)</formula>
    </cfRule>
    <cfRule type="notContainsBlanks" dxfId="2" priority="228">
      <formula>LEN(TRIM(AK63))&gt;0</formula>
    </cfRule>
  </conditionalFormatting>
  <conditionalFormatting sqref="AK68:BP69 AK71:BP71">
    <cfRule type="containsBlanks" dxfId="4" priority="217">
      <formula>LEN(TRIM(AK68))=0</formula>
    </cfRule>
  </conditionalFormatting>
  <conditionalFormatting sqref="AK68:BP69">
    <cfRule type="expression" dxfId="0" priority="218">
      <formula>AND($M68&lt;&gt;"",$AK68&lt;&gt;"",AK68&lt;$M68)</formula>
    </cfRule>
    <cfRule type="expression" dxfId="1" priority="219">
      <formula>AND($L68&lt;&gt;"",$AK68&lt;&gt;"",AK68&gt;$L68)</formula>
    </cfRule>
    <cfRule type="notContainsBlanks" dxfId="2" priority="220">
      <formula>LEN(TRIM(AK68))&gt;0</formula>
    </cfRule>
  </conditionalFormatting>
  <conditionalFormatting sqref="AK73:BP74 AK76:BP76">
    <cfRule type="containsBlanks" dxfId="4" priority="209">
      <formula>LEN(TRIM(AK73))=0</formula>
    </cfRule>
  </conditionalFormatting>
  <conditionalFormatting sqref="AK73:BP74">
    <cfRule type="expression" dxfId="0" priority="210">
      <formula>AND($M73&lt;&gt;"",$AK73&lt;&gt;"",AK73&lt;$M73)</formula>
    </cfRule>
    <cfRule type="expression" dxfId="1" priority="211">
      <formula>AND($L73&lt;&gt;"",$AK73&lt;&gt;"",AK73&gt;$L73)</formula>
    </cfRule>
    <cfRule type="notContainsBlanks" dxfId="2" priority="212">
      <formula>LEN(TRIM(AK73))&gt;0</formula>
    </cfRule>
  </conditionalFormatting>
  <conditionalFormatting sqref="AK78:BP79 AK81:BP81">
    <cfRule type="containsBlanks" dxfId="4" priority="201">
      <formula>LEN(TRIM(AK78))=0</formula>
    </cfRule>
  </conditionalFormatting>
  <conditionalFormatting sqref="AK78:BP79">
    <cfRule type="expression" dxfId="0" priority="202">
      <formula>AND($M78&lt;&gt;"",$AK78&lt;&gt;"",AK78&lt;$M78)</formula>
    </cfRule>
    <cfRule type="expression" dxfId="1" priority="203">
      <formula>AND($L78&lt;&gt;"",$AK78&lt;&gt;"",AK78&gt;$L78)</formula>
    </cfRule>
    <cfRule type="notContainsBlanks" dxfId="2" priority="204">
      <formula>LEN(TRIM(AK78))&gt;0</formula>
    </cfRule>
  </conditionalFormatting>
  <conditionalFormatting sqref="AK83:BP84 AK86:BP86">
    <cfRule type="containsBlanks" dxfId="4" priority="193">
      <formula>LEN(TRIM(AK83))=0</formula>
    </cfRule>
  </conditionalFormatting>
  <conditionalFormatting sqref="AK83:BP84">
    <cfRule type="expression" dxfId="0" priority="194">
      <formula>AND($M83&lt;&gt;"",$AK83&lt;&gt;"",AK83&lt;$M83)</formula>
    </cfRule>
    <cfRule type="expression" dxfId="1" priority="195">
      <formula>AND($L83&lt;&gt;"",$AK83&lt;&gt;"",AK83&gt;$L83)</formula>
    </cfRule>
    <cfRule type="notContainsBlanks" dxfId="2" priority="196">
      <formula>LEN(TRIM(AK83))&gt;0</formula>
    </cfRule>
  </conditionalFormatting>
  <conditionalFormatting sqref="AK88:BP89 AK91:BP91">
    <cfRule type="containsBlanks" dxfId="4" priority="185">
      <formula>LEN(TRIM(AK88))=0</formula>
    </cfRule>
  </conditionalFormatting>
  <conditionalFormatting sqref="AK88:BP89">
    <cfRule type="expression" dxfId="0" priority="186">
      <formula>AND($M88&lt;&gt;"",$AK88&lt;&gt;"",AK88&lt;$M88)</formula>
    </cfRule>
    <cfRule type="expression" dxfId="1" priority="187">
      <formula>AND($L88&lt;&gt;"",$AK88&lt;&gt;"",AK88&gt;$L88)</formula>
    </cfRule>
    <cfRule type="notContainsBlanks" dxfId="2" priority="188">
      <formula>LEN(TRIM(AK88))&gt;0</formula>
    </cfRule>
  </conditionalFormatting>
  <conditionalFormatting sqref="Y91:AC92">
    <cfRule type="containsBlanks" dxfId="9" priority="390">
      <formula>LEN(TRIM(Y91))=0</formula>
    </cfRule>
    <cfRule type="cellIs" dxfId="10" priority="391" operator="between">
      <formula>0.9</formula>
      <formula>0.998</formula>
    </cfRule>
    <cfRule type="cellIs" dxfId="2" priority="392" operator="greaterThanOrEqual">
      <formula>0.998</formula>
    </cfRule>
  </conditionalFormatting>
  <conditionalFormatting sqref="BQ91:EF92">
    <cfRule type="containsBlanks" dxfId="4" priority="393">
      <formula>LEN(TRIM(BQ91))=0</formula>
    </cfRule>
  </conditionalFormatting>
  <conditionalFormatting sqref="G93:G95 G98:G111 G113:G131">
    <cfRule type="expression" dxfId="5" priority="358">
      <formula>AND($F93&lt;&gt;"Tolerance",$G93&lt;&gt;"")</formula>
    </cfRule>
    <cfRule type="expression" dxfId="6" priority="359">
      <formula>AND(OR($F93="GD&amp;T",$F93="MAX",$F93="MIN"),$G93="")</formula>
    </cfRule>
    <cfRule type="containsBlanks" dxfId="4" priority="360">
      <formula>LEN(TRIM(G93))=0</formula>
    </cfRule>
    <cfRule type="expression" dxfId="5" priority="361">
      <formula>AND($F93&lt;&gt;"Tolerance",$G93&lt;&gt;"")</formula>
    </cfRule>
    <cfRule type="expression" dxfId="6" priority="362">
      <formula>AND(OR($F93="GD&amp;T",$F93="MAX",$F93="MIN"),$G93="")</formula>
    </cfRule>
    <cfRule type="containsBlanks" dxfId="4" priority="363">
      <formula>LEN(TRIM(G93))=0</formula>
    </cfRule>
  </conditionalFormatting>
  <conditionalFormatting sqref="H98:H111 H93:H95 H113:H131">
    <cfRule type="expression" dxfId="5" priority="375">
      <formula>AND($F93="MIN",$H93&lt;&gt;"")</formula>
    </cfRule>
    <cfRule type="expression" dxfId="6" priority="376">
      <formula>AND($F93="MIN",$H93="")</formula>
    </cfRule>
    <cfRule type="containsBlanks" dxfId="4" priority="377">
      <formula>LEN(TRIM(H93))=0</formula>
    </cfRule>
  </conditionalFormatting>
  <conditionalFormatting sqref="I93:I95 I98:I111 I113:I131">
    <cfRule type="expression" dxfId="5" priority="372">
      <formula>AND(OR($F93="GD&amp;T",$F93="MAX"),$I93&lt;&gt;"")</formula>
    </cfRule>
    <cfRule type="expression" dxfId="6" priority="373">
      <formula>AND(OR($F93="GD&amp;T",$F93="MAX"),$I93="")</formula>
    </cfRule>
    <cfRule type="containsBlanks" dxfId="4" priority="374">
      <formula>LEN(TRIM(I93))=0</formula>
    </cfRule>
  </conditionalFormatting>
  <conditionalFormatting sqref="S98:S131 S93:S96 V93:X96 V98:X131">
    <cfRule type="cellIs" dxfId="0" priority="382" operator="lessThan">
      <formula>$E93</formula>
    </cfRule>
    <cfRule type="notContainsBlanks" dxfId="2" priority="389">
      <formula>LEN(TRIM(S93))&gt;0</formula>
    </cfRule>
  </conditionalFormatting>
  <conditionalFormatting sqref="S93:S131 V93:Y131">
    <cfRule type="expression" dxfId="11" priority="306">
      <formula>$K93="Yes"</formula>
    </cfRule>
  </conditionalFormatting>
  <conditionalFormatting sqref="Y98:Y129 Z93:AA129 AB93:AC96 Y93:Y96 AB98:AC129">
    <cfRule type="containsBlanks" dxfId="9" priority="379">
      <formula>LEN(TRIM(Y93))=0</formula>
    </cfRule>
    <cfRule type="cellIs" dxfId="10" priority="380" operator="between">
      <formula>0.9</formula>
      <formula>0.998</formula>
    </cfRule>
    <cfRule type="cellIs" dxfId="2" priority="381" operator="greaterThanOrEqual">
      <formula>0.998</formula>
    </cfRule>
  </conditionalFormatting>
  <conditionalFormatting sqref="Y93:Y96 Y98:Y129">
    <cfRule type="notContainsBlanks" dxfId="8" priority="385">
      <formula>LEN(TRIM(Y93))&gt;0</formula>
    </cfRule>
  </conditionalFormatting>
  <conditionalFormatting sqref="AK93:BP94 AK96:BP96">
    <cfRule type="containsBlanks" dxfId="4" priority="177">
      <formula>LEN(TRIM(AK93))=0</formula>
    </cfRule>
  </conditionalFormatting>
  <conditionalFormatting sqref="AK93:BP94">
    <cfRule type="expression" dxfId="0" priority="178">
      <formula>AND($M93&lt;&gt;"",$AK93&lt;&gt;"",AK93&lt;$M93)</formula>
    </cfRule>
    <cfRule type="expression" dxfId="1" priority="179">
      <formula>AND($L93&lt;&gt;"",$AK93&lt;&gt;"",AK93&gt;$L93)</formula>
    </cfRule>
    <cfRule type="notContainsBlanks" dxfId="2" priority="180">
      <formula>LEN(TRIM(AK93))&gt;0</formula>
    </cfRule>
  </conditionalFormatting>
  <conditionalFormatting sqref="BQ93:EF94 BQ126:EF129 BQ121:EF124 BQ116:EF119 BQ111:EF114 BQ106:EF109 BQ101:EF104 BQ98:EF99">
    <cfRule type="containsBlanks" dxfId="4" priority="383">
      <formula>LEN(TRIM(BQ93))=0</formula>
    </cfRule>
  </conditionalFormatting>
  <conditionalFormatting sqref="BQ93:EF94">
    <cfRule type="expression" dxfId="0" priority="386">
      <formula>AND($M93&lt;&gt;"",$AK93&lt;&gt;"",BQ93&lt;$M93)</formula>
    </cfRule>
    <cfRule type="expression" dxfId="1" priority="387">
      <formula>AND($L93&lt;&gt;"",$AK93&lt;&gt;"",BQ93&gt;$L93)</formula>
    </cfRule>
    <cfRule type="notContainsBlanks" dxfId="2" priority="388">
      <formula>LEN(TRIM(BQ93))&gt;0</formula>
    </cfRule>
  </conditionalFormatting>
  <conditionalFormatting sqref="S97 V97:X97">
    <cfRule type="cellIs" dxfId="0" priority="351" operator="lessThan">
      <formula>1.33</formula>
    </cfRule>
    <cfRule type="notContainsBlanks" dxfId="2" priority="357">
      <formula>LEN(TRIM(S97))&gt;0</formula>
    </cfRule>
  </conditionalFormatting>
  <conditionalFormatting sqref="Y97 AB97:AC97">
    <cfRule type="containsBlanks" dxfId="9" priority="348">
      <formula>LEN(TRIM(Y97))=0</formula>
    </cfRule>
    <cfRule type="cellIs" dxfId="10" priority="349" operator="between">
      <formula>0.9</formula>
      <formula>0.998</formula>
    </cfRule>
    <cfRule type="cellIs" dxfId="2" priority="350" operator="greaterThanOrEqual">
      <formula>0.998</formula>
    </cfRule>
  </conditionalFormatting>
  <conditionalFormatting sqref="R98:S129">
    <cfRule type="expression" dxfId="7" priority="378">
      <formula>AND($AD98&lt;0.966,$AD98&lt;&gt;"")</formula>
    </cfRule>
  </conditionalFormatting>
  <conditionalFormatting sqref="AK98:BP99 AK101:BP101">
    <cfRule type="containsBlanks" dxfId="4" priority="169">
      <formula>LEN(TRIM(AK98))=0</formula>
    </cfRule>
  </conditionalFormatting>
  <conditionalFormatting sqref="AK98:BP99">
    <cfRule type="expression" dxfId="0" priority="170">
      <formula>AND($M98&lt;&gt;"",$AK98&lt;&gt;"",AK98&lt;$M98)</formula>
    </cfRule>
    <cfRule type="expression" dxfId="1" priority="171">
      <formula>AND($L98&lt;&gt;"",$AK98&lt;&gt;"",AK98&gt;$L98)</formula>
    </cfRule>
    <cfRule type="notContainsBlanks" dxfId="2" priority="172">
      <formula>LEN(TRIM(AK98))&gt;0</formula>
    </cfRule>
  </conditionalFormatting>
  <conditionalFormatting sqref="AK103:BP104 AK106:BP106">
    <cfRule type="containsBlanks" dxfId="4" priority="161">
      <formula>LEN(TRIM(AK103))=0</formula>
    </cfRule>
  </conditionalFormatting>
  <conditionalFormatting sqref="AK103:BP104">
    <cfRule type="expression" dxfId="0" priority="162">
      <formula>AND($M103&lt;&gt;"",$AK103&lt;&gt;"",AK103&lt;$M103)</formula>
    </cfRule>
    <cfRule type="expression" dxfId="1" priority="163">
      <formula>AND($L103&lt;&gt;"",$AK103&lt;&gt;"",AK103&gt;$L103)</formula>
    </cfRule>
    <cfRule type="notContainsBlanks" dxfId="2" priority="164">
      <formula>LEN(TRIM(AK103))&gt;0</formula>
    </cfRule>
  </conditionalFormatting>
  <conditionalFormatting sqref="AK108:BP109 AK111:BP111">
    <cfRule type="containsBlanks" dxfId="4" priority="153">
      <formula>LEN(TRIM(AK108))=0</formula>
    </cfRule>
  </conditionalFormatting>
  <conditionalFormatting sqref="AK108:BP109">
    <cfRule type="expression" dxfId="0" priority="154">
      <formula>AND($M108&lt;&gt;"",$AK108&lt;&gt;"",AK108&lt;$M108)</formula>
    </cfRule>
    <cfRule type="expression" dxfId="1" priority="155">
      <formula>AND($L108&lt;&gt;"",$AK108&lt;&gt;"",AK108&gt;$L108)</formula>
    </cfRule>
    <cfRule type="notContainsBlanks" dxfId="2" priority="156">
      <formula>LEN(TRIM(AK108))&gt;0</formula>
    </cfRule>
  </conditionalFormatting>
  <conditionalFormatting sqref="AK113:BP114 AK116:BP116">
    <cfRule type="containsBlanks" dxfId="4" priority="145">
      <formula>LEN(TRIM(AK113))=0</formula>
    </cfRule>
  </conditionalFormatting>
  <conditionalFormatting sqref="AK113:BP114">
    <cfRule type="expression" dxfId="0" priority="146">
      <formula>AND($M113&lt;&gt;"",$AK113&lt;&gt;"",AK113&lt;$M113)</formula>
    </cfRule>
    <cfRule type="expression" dxfId="1" priority="147">
      <formula>AND($L113&lt;&gt;"",$AK113&lt;&gt;"",AK113&gt;$L113)</formula>
    </cfRule>
    <cfRule type="notContainsBlanks" dxfId="2" priority="148">
      <formula>LEN(TRIM(AK113))&gt;0</formula>
    </cfRule>
  </conditionalFormatting>
  <conditionalFormatting sqref="AK118:BP119 AK121:BP121">
    <cfRule type="containsBlanks" dxfId="4" priority="137">
      <formula>LEN(TRIM(AK118))=0</formula>
    </cfRule>
  </conditionalFormatting>
  <conditionalFormatting sqref="AK118:BP119">
    <cfRule type="expression" dxfId="0" priority="138">
      <formula>AND($M118&lt;&gt;"",$AK118&lt;&gt;"",AK118&lt;$M118)</formula>
    </cfRule>
    <cfRule type="expression" dxfId="1" priority="139">
      <formula>AND($L118&lt;&gt;"",$AK118&lt;&gt;"",AK118&gt;$L118)</formula>
    </cfRule>
    <cfRule type="notContainsBlanks" dxfId="2" priority="140">
      <formula>LEN(TRIM(AK118))&gt;0</formula>
    </cfRule>
  </conditionalFormatting>
  <conditionalFormatting sqref="AK123:BP124 AK126:BP126">
    <cfRule type="containsBlanks" dxfId="4" priority="129">
      <formula>LEN(TRIM(AK123))=0</formula>
    </cfRule>
  </conditionalFormatting>
  <conditionalFormatting sqref="AK123:BP124">
    <cfRule type="expression" dxfId="0" priority="130">
      <formula>AND($M123&lt;&gt;"",$AK123&lt;&gt;"",AK123&lt;$M123)</formula>
    </cfRule>
    <cfRule type="expression" dxfId="1" priority="131">
      <formula>AND($L123&lt;&gt;"",$AK123&lt;&gt;"",AK123&gt;$L123)</formula>
    </cfRule>
    <cfRule type="notContainsBlanks" dxfId="2" priority="132">
      <formula>LEN(TRIM(AK123))&gt;0</formula>
    </cfRule>
  </conditionalFormatting>
  <conditionalFormatting sqref="AK128:BP129 AK131:BP131">
    <cfRule type="containsBlanks" dxfId="4" priority="121">
      <formula>LEN(TRIM(AK128))=0</formula>
    </cfRule>
  </conditionalFormatting>
  <conditionalFormatting sqref="AK128:BP129">
    <cfRule type="expression" dxfId="0" priority="122">
      <formula>AND($M128&lt;&gt;"",$AK128&lt;&gt;"",AK128&lt;$M128)</formula>
    </cfRule>
    <cfRule type="expression" dxfId="1" priority="123">
      <formula>AND($L128&lt;&gt;"",$AK128&lt;&gt;"",AK128&gt;$L128)</formula>
    </cfRule>
    <cfRule type="notContainsBlanks" dxfId="2" priority="124">
      <formula>LEN(TRIM(AK128))&gt;0</formula>
    </cfRule>
  </conditionalFormatting>
  <conditionalFormatting sqref="Y130:AC131">
    <cfRule type="containsBlanks" dxfId="9" priority="301">
      <formula>LEN(TRIM(Y130))=0</formula>
    </cfRule>
    <cfRule type="cellIs" dxfId="10" priority="302" operator="between">
      <formula>0.9</formula>
      <formula>0.998</formula>
    </cfRule>
    <cfRule type="cellIs" dxfId="2" priority="303" operator="greaterThanOrEqual">
      <formula>0.998</formula>
    </cfRule>
  </conditionalFormatting>
  <dataValidations count="3">
    <dataValidation type="list" allowBlank="1" showInputMessage="1" showErrorMessage="1" sqref="F16 F11:F15 F17:F19 F20:F131">
      <formula1>dim_type</formula1>
    </dataValidation>
    <dataValidation type="list" allowBlank="1" showInputMessage="1" showErrorMessage="1" sqref="J16 J11:J15 J17:J19 J20:J131">
      <formula1>insp_meth</formula1>
    </dataValidation>
    <dataValidation type="list" allowBlank="1" showInputMessage="1" showErrorMessage="1" sqref="K16 K11:K15 K17:K19 K20:K131">
      <formula1>gauging</formula1>
    </dataValidation>
  </dataValidations>
  <pageMargins left="0.75" right="0.75" top="1" bottom="1" header="0.5" footer="0.5"/>
  <pageSetup paperSize="1" orientation="portrait"/>
  <headerFooter/>
  <ignoredErrors>
    <ignoredError sqref="V11" emptyCellReference="1"/>
    <ignoredError sqref="V12 W11:AB11" unlockedFormula="1" emptyCellReference="1"/>
    <ignoredError sqref="P26:S26 P27:S27 L27:N27 L26:N26 S25 L25:N25 S24 L24:N24 S23 L23:N23 S22 L22:N22 S21 L21:N21 S20 L20:N20 S19 L19:N19 S18 L18:N18 S17 L17:N17 S15 L15:N15 S14 L14:N14 S13 L13:N13 S12 L12:N12 L28:S53 V13:AC53 W12:AC12 AC11 N11 S16 L16:N1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name="Button 29" r:id="rId4">
              <controlPr print="0" defaultSize="0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3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name="Button 30" r:id="rId5">
              <controlPr print="0" defaultSize="0">
                <anchor moveWithCells="1" sizeWithCells="1">
                  <from>
                    <xdr:col>3</xdr:col>
                    <xdr:colOff>1130300</xdr:colOff>
                    <xdr:row>1</xdr:row>
                    <xdr:rowOff>12700</xdr:rowOff>
                  </from>
                  <to>
                    <xdr:col>5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name="Button 31" r:id="rId6">
              <controlPr print="0" defaultSize="0">
                <anchor moveWithCells="1" sizeWithCells="1">
                  <from>
                    <xdr:col>5</xdr:col>
                    <xdr:colOff>444500</xdr:colOff>
                    <xdr:row>1</xdr:row>
                    <xdr:rowOff>12700</xdr:rowOff>
                  </from>
                  <to>
                    <xdr:col>7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name="Button 39" r:id="rId7">
              <controlPr print="0" defaultSize="0">
                <anchor moveWithCells="1" sizeWithCells="1">
                  <from>
                    <xdr:col>7</xdr:col>
                    <xdr:colOff>368300</xdr:colOff>
                    <xdr:row>1</xdr:row>
                    <xdr:rowOff>12700</xdr:rowOff>
                  </from>
                  <to>
                    <xdr:col>9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name="Button 41" r:id="rId8">
              <controlPr print="0" defaultSize="0">
                <anchor moveWithCells="1" sizeWithCells="1">
                  <from>
                    <xdr:col>10</xdr:col>
                    <xdr:colOff>25400</xdr:colOff>
                    <xdr:row>1</xdr:row>
                    <xdr:rowOff>12700</xdr:rowOff>
                  </from>
                  <to>
                    <xdr:col>12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C1:C3"/>
  <sheetViews>
    <sheetView zoomScale="193" zoomScaleNormal="193" topLeftCell="P30" workbookViewId="0">
      <selection activeCell="P3" sqref="P3"/>
    </sheetView>
  </sheetViews>
  <sheetFormatPr defaultColWidth="8.83088235294118" defaultRowHeight="17.6" outlineLevelRow="2" outlineLevelCol="2"/>
  <cols>
    <col min="1" max="1" width="8.83088235294118" style="11"/>
    <col min="2" max="2" width="8.83088235294118" style="11" customWidth="1"/>
    <col min="3" max="16384" width="8.83088235294118" style="11"/>
  </cols>
  <sheetData>
    <row r="1" ht="20.25" customHeight="1" spans="3:3">
      <c r="C1" s="12"/>
    </row>
    <row r="2" ht="20.25" customHeight="1" spans="3:3">
      <c r="C2" s="12"/>
    </row>
    <row r="3" ht="20.25" customHeight="1" spans="3:3">
      <c r="C3" s="12"/>
    </row>
  </sheetData>
  <pageMargins left="0.75" right="0.75" top="1" bottom="1" header="0.5" footer="0.5"/>
  <pageSetup paperSize="1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4">
              <controlPr print="0" defaultSize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 sizeWithCells="1">
                  <from>
                    <xdr:col>5</xdr:col>
                    <xdr:colOff>165100</xdr:colOff>
                    <xdr:row>0</xdr:row>
                    <xdr:rowOff>0</xdr:rowOff>
                  </from>
                  <to>
                    <xdr:col>7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32"/>
  <sheetViews>
    <sheetView workbookViewId="0">
      <selection activeCell="E18" sqref="E18"/>
    </sheetView>
  </sheetViews>
  <sheetFormatPr defaultColWidth="11" defaultRowHeight="17.6"/>
  <cols>
    <col min="4" max="4" width="11.8308823529412" customWidth="1"/>
    <col min="8" max="8" width="20" style="8" customWidth="1"/>
    <col min="9" max="9" width="10.8308823529412" style="8"/>
    <col min="10" max="10" width="16" style="8" customWidth="1"/>
  </cols>
  <sheetData>
    <row r="1" ht="53" spans="1:12">
      <c r="A1" s="9" t="s">
        <v>81</v>
      </c>
      <c r="B1" s="9"/>
      <c r="H1" s="9" t="s">
        <v>82</v>
      </c>
      <c r="I1" s="10"/>
      <c r="J1" s="9" t="s">
        <v>83</v>
      </c>
      <c r="L1" s="9" t="s">
        <v>84</v>
      </c>
    </row>
    <row r="2" spans="1:12">
      <c r="A2" s="8" t="s">
        <v>85</v>
      </c>
      <c r="B2" s="8" t="s">
        <v>86</v>
      </c>
      <c r="H2" s="8" t="s">
        <v>87</v>
      </c>
      <c r="J2" s="8" t="s">
        <v>58</v>
      </c>
      <c r="L2" s="8" t="s">
        <v>88</v>
      </c>
    </row>
    <row r="3" spans="8:12">
      <c r="H3" s="8" t="s">
        <v>59</v>
      </c>
      <c r="J3" s="8" t="s">
        <v>68</v>
      </c>
      <c r="L3" s="8" t="s">
        <v>60</v>
      </c>
    </row>
    <row r="4" spans="8:12">
      <c r="H4" s="8" t="s">
        <v>89</v>
      </c>
      <c r="J4" s="8" t="s">
        <v>76</v>
      </c>
      <c r="L4" s="8"/>
    </row>
    <row r="5" spans="8:12">
      <c r="H5" s="8" t="s">
        <v>63</v>
      </c>
      <c r="J5" s="8" t="s">
        <v>79</v>
      </c>
      <c r="L5" s="8"/>
    </row>
    <row r="6" spans="8:8">
      <c r="H6" s="8" t="s">
        <v>90</v>
      </c>
    </row>
    <row r="7" spans="8:8">
      <c r="H7" s="8" t="s">
        <v>91</v>
      </c>
    </row>
    <row r="8" spans="8:8">
      <c r="H8" s="8" t="s">
        <v>92</v>
      </c>
    </row>
    <row r="9" spans="8:8">
      <c r="H9" s="8" t="s">
        <v>93</v>
      </c>
    </row>
    <row r="10" spans="8:8">
      <c r="H10" s="8" t="s">
        <v>94</v>
      </c>
    </row>
    <row r="11" spans="1:8">
      <c r="A11">
        <v>70</v>
      </c>
      <c r="B11">
        <v>45</v>
      </c>
      <c r="D11" t="s">
        <v>64</v>
      </c>
      <c r="H11" s="8" t="s">
        <v>95</v>
      </c>
    </row>
    <row r="12" spans="1:8">
      <c r="A12">
        <v>70</v>
      </c>
      <c r="B12">
        <v>165</v>
      </c>
      <c r="D12" t="s">
        <v>66</v>
      </c>
      <c r="H12" s="8" t="s">
        <v>96</v>
      </c>
    </row>
    <row r="13" spans="1:8">
      <c r="A13">
        <v>70</v>
      </c>
      <c r="B13">
        <v>285</v>
      </c>
      <c r="D13" t="s">
        <v>69</v>
      </c>
      <c r="H13" s="8" t="s">
        <v>73</v>
      </c>
    </row>
    <row r="14" spans="1:4">
      <c r="A14">
        <v>70</v>
      </c>
      <c r="B14">
        <v>405</v>
      </c>
      <c r="D14" t="s">
        <v>97</v>
      </c>
    </row>
    <row r="15" spans="1:4">
      <c r="A15">
        <v>70</v>
      </c>
      <c r="B15">
        <v>525</v>
      </c>
      <c r="D15" t="s">
        <v>98</v>
      </c>
    </row>
    <row r="16" spans="1:4">
      <c r="A16">
        <v>70</v>
      </c>
      <c r="B16">
        <v>645</v>
      </c>
      <c r="D16" t="s">
        <v>74</v>
      </c>
    </row>
    <row r="17" spans="1:4">
      <c r="A17">
        <v>70</v>
      </c>
      <c r="B17">
        <v>765</v>
      </c>
      <c r="D17" t="s">
        <v>99</v>
      </c>
    </row>
    <row r="18" spans="1:4">
      <c r="A18">
        <v>70</v>
      </c>
      <c r="B18">
        <v>885</v>
      </c>
      <c r="D18" t="s">
        <v>100</v>
      </c>
    </row>
    <row r="19" spans="1:4">
      <c r="A19">
        <v>70</v>
      </c>
      <c r="B19">
        <v>1005</v>
      </c>
      <c r="D19" t="s">
        <v>101</v>
      </c>
    </row>
    <row r="20" spans="1:4">
      <c r="A20">
        <v>70</v>
      </c>
      <c r="B20">
        <v>1125</v>
      </c>
      <c r="D20" t="s">
        <v>102</v>
      </c>
    </row>
    <row r="21" spans="1:4">
      <c r="A21">
        <v>270</v>
      </c>
      <c r="B21">
        <v>45</v>
      </c>
      <c r="D21" t="s">
        <v>103</v>
      </c>
    </row>
    <row r="22" spans="1:4">
      <c r="A22">
        <v>270</v>
      </c>
      <c r="B22">
        <v>165</v>
      </c>
      <c r="D22" t="s">
        <v>104</v>
      </c>
    </row>
    <row r="23" spans="1:4">
      <c r="A23">
        <v>270</v>
      </c>
      <c r="B23">
        <v>285</v>
      </c>
      <c r="D23" t="s">
        <v>105</v>
      </c>
    </row>
    <row r="24" spans="1:4">
      <c r="A24">
        <v>270</v>
      </c>
      <c r="B24">
        <v>405</v>
      </c>
      <c r="D24" t="s">
        <v>106</v>
      </c>
    </row>
    <row r="25" spans="1:4">
      <c r="A25">
        <v>270</v>
      </c>
      <c r="B25">
        <v>525</v>
      </c>
      <c r="D25" t="s">
        <v>107</v>
      </c>
    </row>
    <row r="26" spans="1:4">
      <c r="A26">
        <v>270</v>
      </c>
      <c r="B26">
        <v>645</v>
      </c>
      <c r="D26" t="s">
        <v>108</v>
      </c>
    </row>
    <row r="27" spans="1:4">
      <c r="A27">
        <v>270</v>
      </c>
      <c r="B27">
        <v>765</v>
      </c>
      <c r="D27" t="s">
        <v>109</v>
      </c>
    </row>
    <row r="28" spans="1:4">
      <c r="A28">
        <v>270</v>
      </c>
      <c r="B28">
        <v>885</v>
      </c>
      <c r="D28" t="s">
        <v>110</v>
      </c>
    </row>
    <row r="29" spans="1:4">
      <c r="A29">
        <v>270</v>
      </c>
      <c r="B29">
        <v>1005</v>
      </c>
      <c r="D29" t="s">
        <v>95</v>
      </c>
    </row>
    <row r="30" spans="1:4">
      <c r="A30">
        <v>270</v>
      </c>
      <c r="B30">
        <v>1125</v>
      </c>
      <c r="D30" t="s">
        <v>111</v>
      </c>
    </row>
    <row r="31" spans="1:4">
      <c r="A31">
        <v>470</v>
      </c>
      <c r="B31">
        <v>45</v>
      </c>
      <c r="D31" t="s">
        <v>112</v>
      </c>
    </row>
    <row r="32" spans="1:4">
      <c r="A32">
        <v>470</v>
      </c>
      <c r="B32">
        <v>165</v>
      </c>
      <c r="D32" t="s">
        <v>113</v>
      </c>
    </row>
  </sheetData>
  <mergeCells count="1">
    <mergeCell ref="A1:B1"/>
  </mergeCells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18"/>
  <sheetViews>
    <sheetView topLeftCell="A10" workbookViewId="0">
      <selection activeCell="D23" sqref="D23"/>
    </sheetView>
  </sheetViews>
  <sheetFormatPr defaultColWidth="11" defaultRowHeight="17.6" outlineLevelCol="3"/>
  <cols>
    <col min="1" max="2" width="10.8308823529412" style="1"/>
    <col min="3" max="3" width="11.8308823529412" style="1" customWidth="1"/>
    <col min="4" max="4" width="92.1617647058823" style="2" customWidth="1"/>
  </cols>
  <sheetData>
    <row r="1" ht="23.2" spans="1:4">
      <c r="A1" s="3" t="s">
        <v>114</v>
      </c>
      <c r="B1" s="3"/>
      <c r="C1" s="3"/>
      <c r="D1" s="3"/>
    </row>
    <row r="3" spans="1:4">
      <c r="A3" s="4" t="s">
        <v>115</v>
      </c>
      <c r="B3" s="4" t="s">
        <v>116</v>
      </c>
      <c r="C3" s="4" t="s">
        <v>117</v>
      </c>
      <c r="D3" s="5" t="s">
        <v>118</v>
      </c>
    </row>
    <row r="4" spans="1:4">
      <c r="A4" s="1">
        <v>1</v>
      </c>
      <c r="B4" s="6">
        <v>41649</v>
      </c>
      <c r="C4" s="1" t="s">
        <v>119</v>
      </c>
      <c r="D4" s="2" t="s">
        <v>120</v>
      </c>
    </row>
    <row r="5" ht="176" spans="1:4">
      <c r="A5" s="1">
        <v>2</v>
      </c>
      <c r="B5" s="6">
        <v>41742</v>
      </c>
      <c r="C5" s="1" t="s">
        <v>119</v>
      </c>
      <c r="D5" s="7" t="s">
        <v>121</v>
      </c>
    </row>
    <row r="6" ht="36" spans="1:4">
      <c r="A6" s="1">
        <v>2.1</v>
      </c>
      <c r="B6" s="6">
        <v>41751</v>
      </c>
      <c r="C6" s="1" t="s">
        <v>119</v>
      </c>
      <c r="D6" s="7" t="s">
        <v>122</v>
      </c>
    </row>
    <row r="7" ht="36" spans="1:4">
      <c r="A7" s="1">
        <v>2.2</v>
      </c>
      <c r="B7" s="6">
        <v>41772</v>
      </c>
      <c r="C7" s="1" t="s">
        <v>119</v>
      </c>
      <c r="D7" s="7" t="s">
        <v>123</v>
      </c>
    </row>
    <row r="8" ht="18" spans="1:4">
      <c r="A8" s="1">
        <v>2.3</v>
      </c>
      <c r="B8" s="6">
        <v>41779</v>
      </c>
      <c r="C8" s="1" t="s">
        <v>119</v>
      </c>
      <c r="D8" s="7" t="s">
        <v>124</v>
      </c>
    </row>
    <row r="9" spans="1:4">
      <c r="A9" s="1">
        <v>2.4</v>
      </c>
      <c r="B9" s="6"/>
      <c r="C9" s="1" t="s">
        <v>119</v>
      </c>
      <c r="D9" s="2" t="s">
        <v>125</v>
      </c>
    </row>
    <row r="10" ht="176" spans="1:4">
      <c r="A10" s="1">
        <v>3</v>
      </c>
      <c r="B10" s="6">
        <v>42242</v>
      </c>
      <c r="C10" s="1" t="s">
        <v>119</v>
      </c>
      <c r="D10" s="7" t="s">
        <v>126</v>
      </c>
    </row>
    <row r="11" ht="88" spans="1:4">
      <c r="A11" s="1">
        <v>3.1</v>
      </c>
      <c r="B11" s="6">
        <v>42249</v>
      </c>
      <c r="C11" s="1" t="s">
        <v>119</v>
      </c>
      <c r="D11" s="7" t="s">
        <v>127</v>
      </c>
    </row>
    <row r="12" ht="53" spans="1:4">
      <c r="A12" s="1">
        <v>3.2</v>
      </c>
      <c r="B12" s="6">
        <v>42291</v>
      </c>
      <c r="C12" s="1" t="s">
        <v>119</v>
      </c>
      <c r="D12" s="7" t="s">
        <v>128</v>
      </c>
    </row>
    <row r="13" ht="36" spans="1:4">
      <c r="A13" s="1">
        <v>3.3</v>
      </c>
      <c r="B13" s="6">
        <v>42297</v>
      </c>
      <c r="C13" s="1" t="s">
        <v>119</v>
      </c>
      <c r="D13" s="7" t="s">
        <v>129</v>
      </c>
    </row>
    <row r="14" ht="18" spans="1:4">
      <c r="A14" s="1">
        <v>3.4</v>
      </c>
      <c r="B14" s="6">
        <v>42922</v>
      </c>
      <c r="C14" s="1" t="s">
        <v>130</v>
      </c>
      <c r="D14" s="7" t="s">
        <v>131</v>
      </c>
    </row>
    <row r="15" ht="36" spans="1:4">
      <c r="A15" s="1">
        <v>4</v>
      </c>
      <c r="B15" s="6">
        <v>42925</v>
      </c>
      <c r="C15" s="1" t="s">
        <v>130</v>
      </c>
      <c r="D15" s="7" t="s">
        <v>132</v>
      </c>
    </row>
    <row r="16" ht="36" spans="1:4">
      <c r="A16" s="1">
        <v>4.1</v>
      </c>
      <c r="B16" s="6" t="s">
        <v>133</v>
      </c>
      <c r="C16" s="1" t="s">
        <v>130</v>
      </c>
      <c r="D16" s="7" t="s">
        <v>134</v>
      </c>
    </row>
    <row r="17" ht="36" spans="1:4">
      <c r="A17" s="1">
        <v>4.2</v>
      </c>
      <c r="B17" s="6" t="s">
        <v>135</v>
      </c>
      <c r="C17" s="1" t="s">
        <v>130</v>
      </c>
      <c r="D17" s="7" t="s">
        <v>136</v>
      </c>
    </row>
    <row r="18" ht="36" spans="1:4">
      <c r="A18" s="1">
        <v>4.3</v>
      </c>
      <c r="B18" s="6" t="s">
        <v>137</v>
      </c>
      <c r="C18" s="1" t="s">
        <v>130</v>
      </c>
      <c r="D18" s="7" t="s">
        <v>138</v>
      </c>
    </row>
  </sheetData>
  <mergeCells count="1">
    <mergeCell ref="A1:D1"/>
  </mergeCells>
  <pageMargins left="0.75" right="0.75" top="1" bottom="1" header="0.5" footer="0.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Apple</Company>
  <Application>Microsoft Macintosh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Cav 1</vt:lpstr>
      <vt:lpstr>Drawing</vt:lpstr>
      <vt:lpstr>Setup</vt:lpstr>
      <vt:lpstr>Revision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WPS_1661306727</cp:lastModifiedBy>
  <dcterms:created xsi:type="dcterms:W3CDTF">2012-05-24T19:55:00Z</dcterms:created>
  <dcterms:modified xsi:type="dcterms:W3CDTF">2025-12-10T10:06:17Z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2C4BD603B521B9A099316668280F1B8F_42</vt:lpwstr>
  </property>
  <property fmtid="{D5CDD505-2E9C-101B-9397-08002B2CF9AE}" pid="3" name="KSOProductBuildVer">
    <vt:lpwstr>1033-6.5.2.8766</vt:lpwstr>
  </property>
</Properties>
</file>
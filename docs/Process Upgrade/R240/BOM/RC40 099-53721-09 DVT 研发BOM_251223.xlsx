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7900" windowHeight="9675"/>
  </bookViews>
  <sheets>
    <sheet name="RC40 099-53721 List" sheetId="6" r:id="rId1"/>
    <sheet name="RC40 099-53721 粘接磁钢BOM" sheetId="23" r:id="rId2"/>
    <sheet name="RC40 099-53721不充磁不镭雕系列BOM" sheetId="24" r:id="rId3"/>
    <sheet name="RC40 099-53721充磁镭雕系列BOM" sheetId="25" r:id="rId4"/>
    <sheet name="RC40 099-53721充磁不镭雕系列BOM" sheetId="26" r:id="rId5"/>
    <sheet name="RC40 099-53721镭雕不充磁系列BOM" sheetId="27" r:id="rId6"/>
  </sheets>
  <definedNames>
    <definedName name="_xlnm._FilterDatabase" localSheetId="0" hidden="1">'RC40 099-53721 List'!$C$2:$O$52</definedName>
    <definedName name="_xlnm._FilterDatabase" localSheetId="1" hidden="1">'RC40 099-53721 粘接磁钢BOM'!$C$2:$O$16</definedName>
    <definedName name="_xlnm._FilterDatabase" localSheetId="2" hidden="1">'RC40 099-53721不充磁不镭雕系列BOM'!$C$2:$O$17</definedName>
    <definedName name="_xlnm._FilterDatabase" localSheetId="4" hidden="1">'RC40 099-53721充磁不镭雕系列BOM'!$C$2:$O$3</definedName>
    <definedName name="_xlnm._FilterDatabase" localSheetId="3" hidden="1">'RC40 099-53721充磁镭雕系列BOM'!$C$2:$O$21</definedName>
    <definedName name="_xlnm._FilterDatabase" localSheetId="5" hidden="1">'RC40 099-53721镭雕不充磁系列BOM'!$C$2:$O$3</definedName>
  </definedNames>
  <calcPr calcId="162913"/>
</workbook>
</file>

<file path=xl/calcChain.xml><?xml version="1.0" encoding="utf-8"?>
<calcChain xmlns="http://schemas.openxmlformats.org/spreadsheetml/2006/main">
  <c r="M10" i="27" l="1"/>
  <c r="M10" i="26"/>
  <c r="M28" i="25"/>
  <c r="M24" i="24"/>
  <c r="M23" i="23"/>
</calcChain>
</file>

<file path=xl/sharedStrings.xml><?xml version="1.0" encoding="utf-8"?>
<sst xmlns="http://schemas.openxmlformats.org/spreadsheetml/2006/main" count="1193" uniqueCount="278">
  <si>
    <t>Material</t>
    <phoneticPr fontId="1" type="noConversion"/>
  </si>
  <si>
    <t>Usage</t>
    <phoneticPr fontId="1" type="noConversion"/>
  </si>
  <si>
    <t>Mganetized</t>
    <phoneticPr fontId="1" type="noConversion"/>
  </si>
  <si>
    <t>Laser</t>
    <phoneticPr fontId="1" type="noConversion"/>
  </si>
  <si>
    <t>MGS PN</t>
    <phoneticPr fontId="1" type="noConversion"/>
  </si>
  <si>
    <t xml:space="preserve">MAGNETIZATION ANGLE </t>
    <phoneticPr fontId="1" type="noConversion"/>
  </si>
  <si>
    <t>N35SH</t>
  </si>
  <si>
    <t>Size-X</t>
    <phoneticPr fontId="1" type="noConversion"/>
  </si>
  <si>
    <t>Size-Y</t>
    <phoneticPr fontId="1" type="noConversion"/>
  </si>
  <si>
    <t>Size-Z</t>
    <phoneticPr fontId="1" type="noConversion"/>
  </si>
  <si>
    <t>CATEGORY</t>
    <phoneticPr fontId="1" type="noConversion"/>
  </si>
  <si>
    <t>Plating</t>
    <phoneticPr fontId="1" type="noConversion"/>
  </si>
  <si>
    <t>备注</t>
    <phoneticPr fontId="1" type="noConversion"/>
  </si>
  <si>
    <t>APN</t>
    <phoneticPr fontId="1" type="noConversion"/>
  </si>
  <si>
    <t>160-05550</t>
  </si>
  <si>
    <t>160-05549</t>
  </si>
  <si>
    <t>160-05552</t>
  </si>
  <si>
    <t>160-05553</t>
  </si>
  <si>
    <t>160-05554</t>
  </si>
  <si>
    <t>160-05555</t>
  </si>
  <si>
    <t>160-05556</t>
  </si>
  <si>
    <t>160-05571</t>
  </si>
  <si>
    <t>160-05748</t>
  </si>
  <si>
    <t>160-05744</t>
  </si>
  <si>
    <t>160-05583</t>
  </si>
  <si>
    <t>160-05584</t>
  </si>
  <si>
    <t>160-05585</t>
  </si>
  <si>
    <t>160-05586</t>
  </si>
  <si>
    <t>160-05587</t>
  </si>
  <si>
    <t>160-05589</t>
  </si>
  <si>
    <t>160-05590</t>
  </si>
  <si>
    <t>160-05750</t>
  </si>
  <si>
    <t>160-05592</t>
  </si>
  <si>
    <t>160-05593</t>
  </si>
  <si>
    <t>160-05752</t>
  </si>
  <si>
    <t>160-05557</t>
  </si>
  <si>
    <t>160-05755</t>
  </si>
  <si>
    <t>160-05756</t>
  </si>
  <si>
    <t>NORMAL</t>
  </si>
  <si>
    <t>12H</t>
  </si>
  <si>
    <t>N45SH</t>
  </si>
  <si>
    <t>Y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</si>
  <si>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</si>
  <si>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</si>
  <si>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</si>
  <si>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</si>
  <si>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</si>
  <si>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</si>
  <si>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</si>
  <si>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Bright Zinc</t>
    <phoneticPr fontId="1" type="noConversion"/>
  </si>
  <si>
    <t>Black Epoxy</t>
    <phoneticPr fontId="1" type="noConversion"/>
  </si>
  <si>
    <t>05481-05550-序号11</t>
    <phoneticPr fontId="1" type="noConversion"/>
  </si>
  <si>
    <t>05483-05552-序号13</t>
    <phoneticPr fontId="1" type="noConversion"/>
  </si>
  <si>
    <t>05485-05553-序号14</t>
    <phoneticPr fontId="1" type="noConversion"/>
  </si>
  <si>
    <t>05488-05556-序号17</t>
    <phoneticPr fontId="1" type="noConversion"/>
  </si>
  <si>
    <t>05505-05571-序号32</t>
    <phoneticPr fontId="1" type="noConversion"/>
  </si>
  <si>
    <t>RC40 RIGID BONDED MAGNET</t>
    <phoneticPr fontId="1" type="noConversion"/>
  </si>
  <si>
    <t>RC40 SINTERED MAGNENT</t>
    <phoneticPr fontId="1" type="noConversion"/>
  </si>
  <si>
    <t>MAP 图位置序号</t>
    <phoneticPr fontId="1" type="noConversion"/>
  </si>
  <si>
    <t>与RE13项目重复图号</t>
    <phoneticPr fontId="1" type="noConversion"/>
  </si>
  <si>
    <t>与RE13项目重复图号</t>
    <phoneticPr fontId="1" type="noConversion"/>
  </si>
  <si>
    <t>与RE13项目重复图号</t>
    <phoneticPr fontId="1" type="noConversion"/>
  </si>
  <si>
    <t>NO.</t>
    <phoneticPr fontId="1" type="noConversion"/>
  </si>
  <si>
    <t>RC40 SINTERED MAGNENT</t>
    <phoneticPr fontId="1" type="noConversion"/>
  </si>
  <si>
    <t>Bright Zinc</t>
    <phoneticPr fontId="1" type="noConversion"/>
  </si>
  <si>
    <t>N42SH</t>
    <phoneticPr fontId="1" type="noConversion"/>
  </si>
  <si>
    <t>Y</t>
    <phoneticPr fontId="1" type="noConversion"/>
  </si>
  <si>
    <t>N42SH</t>
    <phoneticPr fontId="1" type="noConversion"/>
  </si>
  <si>
    <t>160-05847</t>
    <phoneticPr fontId="1" type="noConversion"/>
  </si>
  <si>
    <t>N35SH</t>
    <phoneticPr fontId="1" type="noConversion"/>
  </si>
  <si>
    <t>160-05849</t>
    <phoneticPr fontId="1" type="noConversion"/>
  </si>
  <si>
    <t>160-05851</t>
    <phoneticPr fontId="1" type="noConversion"/>
  </si>
  <si>
    <t>160-05844</t>
    <phoneticPr fontId="1" type="noConversion"/>
  </si>
  <si>
    <t>160-05852</t>
    <phoneticPr fontId="1" type="noConversion"/>
  </si>
  <si>
    <t>Y</t>
    <phoneticPr fontId="1" type="noConversion"/>
  </si>
  <si>
    <t>160-05850</t>
    <phoneticPr fontId="1" type="noConversion"/>
  </si>
  <si>
    <t>160-05848</t>
    <phoneticPr fontId="1" type="noConversion"/>
  </si>
  <si>
    <t>RC40 SINTERED MAGNENT</t>
    <phoneticPr fontId="1" type="noConversion"/>
  </si>
  <si>
    <t>N35SH</t>
    <phoneticPr fontId="1" type="noConversion"/>
  </si>
  <si>
    <t>Y</t>
    <phoneticPr fontId="1" type="noConversion"/>
  </si>
  <si>
    <t>12H</t>
    <phoneticPr fontId="1" type="noConversion"/>
  </si>
  <si>
    <t>N/A</t>
    <phoneticPr fontId="1" type="noConversion"/>
  </si>
  <si>
    <t>160-05842</t>
    <phoneticPr fontId="1" type="noConversion"/>
  </si>
  <si>
    <t>160-05843</t>
    <phoneticPr fontId="1" type="noConversion"/>
  </si>
  <si>
    <t>12H</t>
    <phoneticPr fontId="1" type="noConversion"/>
  </si>
  <si>
    <t>RC40 SINTERED MAGNENT</t>
    <phoneticPr fontId="1" type="noConversion"/>
  </si>
  <si>
    <t>160°OFF Y IN YZ PLANE</t>
    <phoneticPr fontId="1" type="noConversion"/>
  </si>
  <si>
    <t>160-05845</t>
    <phoneticPr fontId="1" type="noConversion"/>
  </si>
  <si>
    <t>N45SH</t>
    <phoneticPr fontId="1" type="noConversion"/>
  </si>
  <si>
    <t>Bright Zinc</t>
    <phoneticPr fontId="1" type="noConversion"/>
  </si>
  <si>
    <t>Y</t>
    <phoneticPr fontId="1" type="noConversion"/>
  </si>
  <si>
    <t>Y</t>
    <phoneticPr fontId="1" type="noConversion"/>
  </si>
  <si>
    <t>160-05861</t>
    <phoneticPr fontId="1" type="noConversion"/>
  </si>
  <si>
    <t>RC40 SINTERED MAGNENT</t>
    <phoneticPr fontId="1" type="noConversion"/>
  </si>
  <si>
    <t>N45SH</t>
    <phoneticPr fontId="1" type="noConversion"/>
  </si>
  <si>
    <t>Y(角度+数字镭雕)</t>
    <phoneticPr fontId="1" type="noConversion"/>
  </si>
  <si>
    <t>Y(角度+数字镭雕)</t>
    <phoneticPr fontId="1" type="noConversion"/>
  </si>
  <si>
    <t>Bright Zinc</t>
    <phoneticPr fontId="1" type="noConversion"/>
  </si>
  <si>
    <t>160°OFF Y IN YZ PLANE</t>
    <phoneticPr fontId="1" type="noConversion"/>
  </si>
  <si>
    <t>160-05857</t>
    <phoneticPr fontId="1" type="noConversion"/>
  </si>
  <si>
    <t>160-05858</t>
    <phoneticPr fontId="1" type="noConversion"/>
  </si>
  <si>
    <t>160-05859</t>
    <phoneticPr fontId="1" type="noConversion"/>
  </si>
  <si>
    <t>RC40 SINTERED MAGNENT</t>
    <phoneticPr fontId="1" type="noConversion"/>
  </si>
  <si>
    <t>160°OFF Y IN YZ PLANE</t>
    <phoneticPr fontId="1" type="noConversion"/>
  </si>
  <si>
    <t>Y</t>
    <phoneticPr fontId="1" type="noConversion"/>
  </si>
  <si>
    <t>160-05860</t>
    <phoneticPr fontId="1" type="noConversion"/>
  </si>
  <si>
    <t>160-05855</t>
    <phoneticPr fontId="1" type="noConversion"/>
  </si>
  <si>
    <t>160° OFF Y IN YZ PLANE</t>
    <phoneticPr fontId="1" type="noConversion"/>
  </si>
  <si>
    <t>160° OFF Y IN YZ PLANE</t>
    <phoneticPr fontId="1" type="noConversion"/>
  </si>
  <si>
    <t>160-05856</t>
    <phoneticPr fontId="1" type="noConversion"/>
  </si>
  <si>
    <t>160-05853</t>
    <phoneticPr fontId="1" type="noConversion"/>
  </si>
  <si>
    <t>Bright Zinc</t>
    <phoneticPr fontId="1" type="noConversion"/>
  </si>
  <si>
    <t>Y(角度+数字镭雕)</t>
    <phoneticPr fontId="1" type="noConversion"/>
  </si>
  <si>
    <t>160-05854</t>
    <phoneticPr fontId="1" type="noConversion"/>
  </si>
  <si>
    <t>RC40 SINTERED MAGNENT</t>
    <phoneticPr fontId="1" type="noConversion"/>
  </si>
  <si>
    <t>N35SH</t>
    <phoneticPr fontId="1" type="noConversion"/>
  </si>
  <si>
    <t>NORMAL</t>
    <phoneticPr fontId="1" type="noConversion"/>
  </si>
  <si>
    <t>Bright Zinc</t>
    <phoneticPr fontId="1" type="noConversion"/>
  </si>
  <si>
    <t>N</t>
    <phoneticPr fontId="1" type="noConversion"/>
  </si>
  <si>
    <t>160-05570</t>
    <phoneticPr fontId="1" type="noConversion"/>
  </si>
  <si>
    <t>RC40 RIGID BONDED MAGNET</t>
    <phoneticPr fontId="1" type="noConversion"/>
  </si>
  <si>
    <t>Black Epoxy</t>
    <phoneticPr fontId="1" type="noConversion"/>
  </si>
  <si>
    <t>Black Epoxy</t>
    <phoneticPr fontId="1" type="noConversion"/>
  </si>
  <si>
    <t>N/A</t>
    <phoneticPr fontId="1" type="noConversion"/>
  </si>
  <si>
    <t>160-05841</t>
    <phoneticPr fontId="1" type="noConversion"/>
  </si>
  <si>
    <t>160-05846</t>
    <phoneticPr fontId="1" type="noConversion"/>
  </si>
  <si>
    <t>05480-05549-序号10</t>
    <phoneticPr fontId="1" type="noConversion"/>
  </si>
  <si>
    <t>06640-05846-序号1</t>
    <phoneticPr fontId="1" type="noConversion"/>
  </si>
  <si>
    <t>06641-05847-序号2</t>
    <phoneticPr fontId="1" type="noConversion"/>
  </si>
  <si>
    <t>06642-05849-序号3</t>
    <phoneticPr fontId="1" type="noConversion"/>
  </si>
  <si>
    <t>06643-05851-序号4</t>
    <phoneticPr fontId="1" type="noConversion"/>
  </si>
  <si>
    <t>06645-05844-序号5</t>
    <phoneticPr fontId="1" type="noConversion"/>
  </si>
  <si>
    <t>06646-05852-序号6</t>
    <phoneticPr fontId="1" type="noConversion"/>
  </si>
  <si>
    <t>06647-05850-序号7</t>
    <phoneticPr fontId="1" type="noConversion"/>
  </si>
  <si>
    <t>06648-05848-序号8</t>
    <phoneticPr fontId="1" type="noConversion"/>
  </si>
  <si>
    <t>06649-05845-序号9</t>
    <phoneticPr fontId="1" type="noConversion"/>
  </si>
  <si>
    <t>与RE13项目重复图号</t>
    <phoneticPr fontId="1" type="noConversion"/>
  </si>
  <si>
    <t>与RE13项目重复图号</t>
    <phoneticPr fontId="1" type="noConversion"/>
  </si>
  <si>
    <r>
      <rPr>
        <sz val="12"/>
        <color theme="1"/>
        <rFont val="黑体"/>
        <family val="3"/>
        <charset val="134"/>
      </rPr>
      <t>序号</t>
    </r>
  </si>
  <si>
    <r>
      <rPr>
        <sz val="12"/>
        <color theme="1"/>
        <rFont val="黑体"/>
        <family val="3"/>
        <charset val="134"/>
      </rPr>
      <t>线体</t>
    </r>
  </si>
  <si>
    <r>
      <rPr>
        <sz val="12"/>
        <color theme="1"/>
        <rFont val="黑体"/>
        <family val="3"/>
        <charset val="134"/>
      </rPr>
      <t>工序</t>
    </r>
  </si>
  <si>
    <r>
      <rPr>
        <sz val="12"/>
        <color theme="1"/>
        <rFont val="黑体"/>
        <family val="3"/>
        <charset val="134"/>
      </rPr>
      <t>原料</t>
    </r>
  </si>
  <si>
    <r>
      <rPr>
        <sz val="12"/>
        <color theme="1"/>
        <rFont val="黑体"/>
        <family val="3"/>
        <charset val="134"/>
      </rPr>
      <t>治具</t>
    </r>
  </si>
  <si>
    <r>
      <rPr>
        <sz val="12"/>
        <color theme="1"/>
        <rFont val="黑体"/>
        <family val="3"/>
        <charset val="134"/>
      </rPr>
      <t>设备</t>
    </r>
  </si>
  <si>
    <r>
      <rPr>
        <sz val="12"/>
        <color theme="1"/>
        <rFont val="黑体"/>
        <family val="3"/>
        <charset val="134"/>
      </rPr>
      <t>单线单班产能</t>
    </r>
  </si>
  <si>
    <r>
      <rPr>
        <sz val="12"/>
        <color theme="1"/>
        <rFont val="黑体"/>
        <family val="3"/>
        <charset val="134"/>
      </rPr>
      <t>单线人力</t>
    </r>
  </si>
  <si>
    <r>
      <rPr>
        <sz val="12"/>
        <color theme="1"/>
        <rFont val="黑体"/>
        <family val="3"/>
        <charset val="134"/>
      </rPr>
      <t>计划良率</t>
    </r>
  </si>
  <si>
    <r>
      <rPr>
        <sz val="12"/>
        <color theme="1"/>
        <rFont val="黑体"/>
        <family val="3"/>
        <charset val="134"/>
      </rPr>
      <t>备注</t>
    </r>
  </si>
  <si>
    <r>
      <rPr>
        <sz val="12"/>
        <color theme="1"/>
        <rFont val="等线"/>
        <family val="2"/>
        <charset val="134"/>
      </rPr>
      <t>物料号</t>
    </r>
  </si>
  <si>
    <r>
      <rPr>
        <sz val="12"/>
        <color theme="1"/>
        <rFont val="等线"/>
        <family val="2"/>
        <charset val="134"/>
      </rPr>
      <t>配比数量</t>
    </r>
  </si>
  <si>
    <r>
      <rPr>
        <sz val="12"/>
        <color theme="1"/>
        <rFont val="等线"/>
        <family val="2"/>
        <charset val="134"/>
      </rPr>
      <t>名称</t>
    </r>
  </si>
  <si>
    <r>
      <rPr>
        <sz val="12"/>
        <color theme="1"/>
        <rFont val="等线"/>
        <family val="2"/>
        <charset val="134"/>
      </rPr>
      <t>数量</t>
    </r>
  </si>
  <si>
    <t>跑AOI</t>
  </si>
  <si>
    <t>AOI</t>
  </si>
  <si>
    <t>粘接磁钢</t>
  </si>
  <si>
    <t>/</t>
  </si>
  <si>
    <t>厂外跑过AOI的，不再跑AOI</t>
  </si>
  <si>
    <r>
      <rPr>
        <sz val="12"/>
        <color theme="1"/>
        <rFont val="宋体"/>
        <family val="3"/>
        <charset val="134"/>
      </rPr>
      <t>包装</t>
    </r>
  </si>
  <si>
    <t>清洗</t>
  </si>
  <si>
    <t>磁钢清洗</t>
  </si>
  <si>
    <r>
      <rPr>
        <sz val="12"/>
        <rFont val="宋体"/>
        <family val="3"/>
        <charset val="134"/>
      </rPr>
      <t>不充磁不镭雕单磁钢</t>
    </r>
  </si>
  <si>
    <t>清洗机</t>
  </si>
  <si>
    <t>厂外跑过AOI和清洗的，直接进行包装</t>
    <phoneticPr fontId="1" type="noConversion"/>
  </si>
  <si>
    <t>AOI设备</t>
  </si>
  <si>
    <r>
      <rPr>
        <sz val="12"/>
        <color theme="1"/>
        <rFont val="黑体"/>
        <family val="3"/>
        <charset val="134"/>
      </rPr>
      <t>序号</t>
    </r>
    <phoneticPr fontId="1" type="noConversion"/>
  </si>
  <si>
    <r>
      <rPr>
        <sz val="12"/>
        <color theme="1"/>
        <rFont val="黑体"/>
        <family val="3"/>
        <charset val="134"/>
      </rPr>
      <t>线体</t>
    </r>
    <phoneticPr fontId="1" type="noConversion"/>
  </si>
  <si>
    <r>
      <rPr>
        <sz val="12"/>
        <color theme="1"/>
        <rFont val="黑体"/>
        <family val="3"/>
        <charset val="134"/>
      </rPr>
      <t>工序</t>
    </r>
    <phoneticPr fontId="1" type="noConversion"/>
  </si>
  <si>
    <r>
      <rPr>
        <sz val="12"/>
        <color theme="1"/>
        <rFont val="黑体"/>
        <family val="3"/>
        <charset val="134"/>
      </rPr>
      <t>原料</t>
    </r>
    <phoneticPr fontId="19" type="noConversion"/>
  </si>
  <si>
    <r>
      <rPr>
        <sz val="12"/>
        <color theme="1"/>
        <rFont val="黑体"/>
        <family val="3"/>
        <charset val="134"/>
      </rPr>
      <t>治具</t>
    </r>
    <phoneticPr fontId="19" type="noConversion"/>
  </si>
  <si>
    <r>
      <rPr>
        <sz val="12"/>
        <color theme="1"/>
        <rFont val="黑体"/>
        <family val="3"/>
        <charset val="134"/>
      </rPr>
      <t>设备</t>
    </r>
    <phoneticPr fontId="19" type="noConversion"/>
  </si>
  <si>
    <r>
      <rPr>
        <sz val="12"/>
        <color theme="1"/>
        <rFont val="黑体"/>
        <family val="3"/>
        <charset val="134"/>
      </rPr>
      <t>单线单班产能</t>
    </r>
    <phoneticPr fontId="19" type="noConversion"/>
  </si>
  <si>
    <r>
      <rPr>
        <sz val="12"/>
        <color theme="1"/>
        <rFont val="黑体"/>
        <family val="3"/>
        <charset val="134"/>
      </rPr>
      <t>单线人力</t>
    </r>
    <phoneticPr fontId="19" type="noConversion"/>
  </si>
  <si>
    <r>
      <rPr>
        <sz val="12"/>
        <color theme="1"/>
        <rFont val="黑体"/>
        <family val="3"/>
        <charset val="134"/>
      </rPr>
      <t>计划良率</t>
    </r>
    <phoneticPr fontId="19" type="noConversion"/>
  </si>
  <si>
    <r>
      <rPr>
        <sz val="12"/>
        <color theme="1"/>
        <rFont val="黑体"/>
        <family val="3"/>
        <charset val="134"/>
      </rPr>
      <t>备注</t>
    </r>
    <phoneticPr fontId="19" type="noConversion"/>
  </si>
  <si>
    <r>
      <rPr>
        <sz val="12"/>
        <color theme="1"/>
        <rFont val="等线"/>
        <family val="2"/>
        <charset val="134"/>
      </rPr>
      <t>物料号</t>
    </r>
    <phoneticPr fontId="19" type="noConversion"/>
  </si>
  <si>
    <r>
      <rPr>
        <sz val="12"/>
        <color theme="1"/>
        <rFont val="等线"/>
        <family val="2"/>
        <charset val="134"/>
      </rPr>
      <t>配比数量</t>
    </r>
    <phoneticPr fontId="19" type="noConversion"/>
  </si>
  <si>
    <r>
      <rPr>
        <sz val="12"/>
        <color theme="1"/>
        <rFont val="等线"/>
        <family val="2"/>
        <charset val="134"/>
      </rPr>
      <t>名称</t>
    </r>
    <phoneticPr fontId="19" type="noConversion"/>
  </si>
  <si>
    <r>
      <rPr>
        <sz val="12"/>
        <color theme="1"/>
        <rFont val="等线"/>
        <family val="2"/>
        <charset val="134"/>
      </rPr>
      <t>数量</t>
    </r>
    <phoneticPr fontId="19" type="noConversion"/>
  </si>
  <si>
    <t>散充</t>
    <phoneticPr fontId="19" type="noConversion"/>
  </si>
  <si>
    <t>充磁，双面镭雕磁铁</t>
    <phoneticPr fontId="19" type="noConversion"/>
  </si>
  <si>
    <t>/</t>
    <phoneticPr fontId="19" type="noConversion"/>
  </si>
  <si>
    <t>/</t>
    <phoneticPr fontId="1" type="noConversion"/>
  </si>
  <si>
    <t>散充充磁机</t>
    <phoneticPr fontId="1" type="noConversion"/>
  </si>
  <si>
    <t>理条</t>
    <phoneticPr fontId="1" type="noConversion"/>
  </si>
  <si>
    <t>散充后理条</t>
    <phoneticPr fontId="1" type="noConversion"/>
  </si>
  <si>
    <t>充磁，双面镭雕磁铁</t>
    <phoneticPr fontId="1" type="noConversion"/>
  </si>
  <si>
    <r>
      <rPr>
        <sz val="12"/>
        <color theme="1"/>
        <rFont val="宋体"/>
        <family val="3"/>
        <charset val="134"/>
      </rPr>
      <t>充磁</t>
    </r>
    <phoneticPr fontId="19" type="noConversion"/>
  </si>
  <si>
    <r>
      <rPr>
        <sz val="12"/>
        <color theme="1"/>
        <rFont val="宋体"/>
        <family val="3"/>
        <charset val="134"/>
      </rPr>
      <t>正充</t>
    </r>
    <phoneticPr fontId="19" type="noConversion"/>
  </si>
  <si>
    <t>卧式充磁线圈+充磁机</t>
    <phoneticPr fontId="19" type="noConversion"/>
  </si>
  <si>
    <r>
      <rPr>
        <sz val="12"/>
        <color theme="1"/>
        <rFont val="宋体"/>
        <family val="3"/>
        <charset val="134"/>
      </rPr>
      <t>镭雕</t>
    </r>
    <phoneticPr fontId="19" type="noConversion"/>
  </si>
  <si>
    <r>
      <rPr>
        <sz val="12"/>
        <color theme="1"/>
        <rFont val="宋体"/>
        <family val="3"/>
        <charset val="134"/>
      </rPr>
      <t>双面自动镭雕</t>
    </r>
    <phoneticPr fontId="19" type="noConversion"/>
  </si>
  <si>
    <r>
      <rPr>
        <sz val="12"/>
        <color theme="1"/>
        <rFont val="宋体"/>
        <family val="3"/>
        <charset val="134"/>
      </rPr>
      <t>镭雕板</t>
    </r>
    <phoneticPr fontId="19" type="noConversion"/>
  </si>
  <si>
    <t>各4</t>
    <phoneticPr fontId="19" type="noConversion"/>
  </si>
  <si>
    <t>自动镭雕机</t>
    <phoneticPr fontId="1" type="noConversion"/>
  </si>
  <si>
    <t>检验/包装</t>
    <phoneticPr fontId="19" type="noConversion"/>
  </si>
  <si>
    <t>产品检验/包装</t>
    <phoneticPr fontId="19" type="noConversion"/>
  </si>
  <si>
    <t>55° OFF Y IN YZ PLANE</t>
    <phoneticPr fontId="1" type="noConversion"/>
  </si>
  <si>
    <t>55° OFF Y IN YZ PLANE</t>
    <phoneticPr fontId="1" type="noConversion"/>
  </si>
  <si>
    <t>55° OFF Y IN YZ PLANE</t>
    <phoneticPr fontId="1" type="noConversion"/>
  </si>
  <si>
    <t>55° OFF Y IN YZ PLANE</t>
    <phoneticPr fontId="1" type="noConversion"/>
  </si>
  <si>
    <t>55° OFF Y IN YZ PLANE</t>
    <phoneticPr fontId="1" type="noConversion"/>
  </si>
  <si>
    <t>Y</t>
    <phoneticPr fontId="1" type="noConversion"/>
  </si>
  <si>
    <t>160-06672</t>
    <phoneticPr fontId="1" type="noConversion"/>
  </si>
  <si>
    <t>160-06671</t>
    <phoneticPr fontId="1" type="noConversion"/>
  </si>
  <si>
    <t>RC41 SINTERED MAGNENT</t>
  </si>
  <si>
    <t>RC42 SINTERED MAGNENT</t>
  </si>
  <si>
    <t>160-06150</t>
    <phoneticPr fontId="1" type="noConversion"/>
  </si>
  <si>
    <t>160-06149</t>
    <phoneticPr fontId="1" type="noConversion"/>
  </si>
  <si>
    <t>N50SH</t>
    <phoneticPr fontId="1" type="noConversion"/>
  </si>
  <si>
    <t>N</t>
    <phoneticPr fontId="1" type="noConversion"/>
  </si>
  <si>
    <t>Y</t>
    <phoneticPr fontId="1" type="noConversion"/>
  </si>
  <si>
    <t>N</t>
    <phoneticPr fontId="1" type="noConversion"/>
  </si>
  <si>
    <t>NiCuNi</t>
    <phoneticPr fontId="1" type="noConversion"/>
  </si>
  <si>
    <t>N50M</t>
    <phoneticPr fontId="1" type="noConversion"/>
  </si>
  <si>
    <t>06758-06150-XX</t>
    <phoneticPr fontId="1" type="noConversion"/>
  </si>
  <si>
    <t>06759-06149-XX</t>
    <phoneticPr fontId="1" type="noConversion"/>
  </si>
  <si>
    <t>06759-06149-XX</t>
    <phoneticPr fontId="19" type="noConversion"/>
  </si>
  <si>
    <t>清洗</t>
    <phoneticPr fontId="1" type="noConversion"/>
  </si>
  <si>
    <r>
      <rPr>
        <sz val="12"/>
        <color theme="1"/>
        <rFont val="宋体"/>
        <family val="3"/>
        <charset val="134"/>
      </rPr>
      <t>跑</t>
    </r>
    <r>
      <rPr>
        <sz val="12"/>
        <color theme="1"/>
        <rFont val="Arial"/>
        <family val="2"/>
      </rPr>
      <t>AOI</t>
    </r>
    <phoneticPr fontId="1" type="noConversion"/>
  </si>
  <si>
    <r>
      <rPr>
        <sz val="12"/>
        <rFont val="宋体"/>
        <family val="3"/>
        <charset val="134"/>
      </rPr>
      <t>镭雕不充磁单磁钢</t>
    </r>
    <phoneticPr fontId="1" type="noConversion"/>
  </si>
  <si>
    <t>RC40 099-53721-09</t>
    <phoneticPr fontId="1" type="noConversion"/>
  </si>
  <si>
    <t>RC40 099-53721-09 DVT BOM</t>
    <phoneticPr fontId="1" type="noConversion"/>
  </si>
  <si>
    <t>序号由18改为17</t>
    <phoneticPr fontId="1" type="noConversion"/>
  </si>
  <si>
    <t>序号由19改为18</t>
    <phoneticPr fontId="1" type="noConversion"/>
  </si>
  <si>
    <t>序号由20改为19</t>
    <phoneticPr fontId="1" type="noConversion"/>
  </si>
  <si>
    <t>序号由21改为20</t>
    <phoneticPr fontId="1" type="noConversion"/>
  </si>
  <si>
    <t>序号由22改为21</t>
    <phoneticPr fontId="1" type="noConversion"/>
  </si>
  <si>
    <t>序号由23改为22</t>
    <phoneticPr fontId="1" type="noConversion"/>
  </si>
  <si>
    <t>序号由24改为23</t>
    <phoneticPr fontId="1" type="noConversion"/>
  </si>
  <si>
    <t>序号由25改为24</t>
    <phoneticPr fontId="1" type="noConversion"/>
  </si>
  <si>
    <t>序号由26改为25</t>
    <phoneticPr fontId="1" type="noConversion"/>
  </si>
  <si>
    <t>序号由27改为26</t>
    <phoneticPr fontId="1" type="noConversion"/>
  </si>
  <si>
    <t>序号由28改为27</t>
    <phoneticPr fontId="1" type="noConversion"/>
  </si>
  <si>
    <t>单面镭雕改为双面镭雕，序号由29改为28</t>
    <phoneticPr fontId="1" type="noConversion"/>
  </si>
  <si>
    <t>序号由32改为31</t>
    <phoneticPr fontId="1" type="noConversion"/>
  </si>
  <si>
    <t>序号由33改为32</t>
    <phoneticPr fontId="1" type="noConversion"/>
  </si>
  <si>
    <t>序号由34改为33</t>
    <phoneticPr fontId="1" type="noConversion"/>
  </si>
  <si>
    <t>序号由35改为34</t>
    <phoneticPr fontId="1" type="noConversion"/>
  </si>
  <si>
    <t>序号由52改为47</t>
    <phoneticPr fontId="1" type="noConversion"/>
  </si>
  <si>
    <t>序号由53改为48</t>
    <phoneticPr fontId="1" type="noConversion"/>
  </si>
  <si>
    <t>序号由46改为42</t>
    <phoneticPr fontId="1" type="noConversion"/>
  </si>
  <si>
    <t>序号由49改为45</t>
    <phoneticPr fontId="1" type="noConversion"/>
  </si>
  <si>
    <t>Y（双面镭雕）</t>
    <phoneticPr fontId="1" type="noConversion"/>
  </si>
  <si>
    <t>(以RC19S组件图纸为准)平行Y</t>
    <phoneticPr fontId="1" type="noConversion"/>
  </si>
  <si>
    <t>(以RC19S组件图纸为准)平行X</t>
    <phoneticPr fontId="1" type="noConversion"/>
  </si>
  <si>
    <t>05486-05554-序号15</t>
    <phoneticPr fontId="1" type="noConversion"/>
  </si>
  <si>
    <t>05487-05555-序号16</t>
    <phoneticPr fontId="1" type="noConversion"/>
  </si>
  <si>
    <t>05503-05570-序号31</t>
    <phoneticPr fontId="1" type="noConversion"/>
  </si>
  <si>
    <t>05520-05583-序号46</t>
    <phoneticPr fontId="1" type="noConversion"/>
  </si>
  <si>
    <t>05521-05584-序号47</t>
    <phoneticPr fontId="1" type="noConversion"/>
  </si>
  <si>
    <t>05522-05585-序号48</t>
    <phoneticPr fontId="1" type="noConversion"/>
  </si>
  <si>
    <t>05523-05586-序号49</t>
    <phoneticPr fontId="1" type="noConversion"/>
  </si>
  <si>
    <t>05525-05587-序号50</t>
    <phoneticPr fontId="1" type="noConversion"/>
  </si>
  <si>
    <t>05528-05589-序号53</t>
    <phoneticPr fontId="1" type="noConversion"/>
  </si>
  <si>
    <t>05529-05590-序号54</t>
    <phoneticPr fontId="1" type="noConversion"/>
  </si>
  <si>
    <t>05531-05592-序号56</t>
    <phoneticPr fontId="1" type="noConversion"/>
  </si>
  <si>
    <t>05532-05593-序号57</t>
    <phoneticPr fontId="1" type="noConversion"/>
  </si>
  <si>
    <t>05489-05557-序号18</t>
    <phoneticPr fontId="1" type="noConversion"/>
  </si>
  <si>
    <t>06662-05841-序号28</t>
    <phoneticPr fontId="1" type="noConversion"/>
  </si>
  <si>
    <t>06373-05750-序号42</t>
    <phoneticPr fontId="1" type="noConversion"/>
  </si>
  <si>
    <t>06375-05752-序号45</t>
    <phoneticPr fontId="1" type="noConversion"/>
  </si>
  <si>
    <t>06650-05842-序号17</t>
    <phoneticPr fontId="1" type="noConversion"/>
  </si>
  <si>
    <t>06651-05843-序号18</t>
    <phoneticPr fontId="1" type="noConversion"/>
  </si>
  <si>
    <t>06370-05748-序号31</t>
    <phoneticPr fontId="1" type="noConversion"/>
  </si>
  <si>
    <t>06371-05744-序号32</t>
    <phoneticPr fontId="1" type="noConversion"/>
  </si>
  <si>
    <t>07920-06672-序号33</t>
    <phoneticPr fontId="1" type="noConversion"/>
  </si>
  <si>
    <t>07921-06671-序号34</t>
    <phoneticPr fontId="1" type="noConversion"/>
  </si>
  <si>
    <t>06376-05755-序号47</t>
    <phoneticPr fontId="1" type="noConversion"/>
  </si>
  <si>
    <t>06377-05756-序号48</t>
    <phoneticPr fontId="1" type="noConversion"/>
  </si>
  <si>
    <t>06652-05861-序号19</t>
    <phoneticPr fontId="1" type="noConversion"/>
  </si>
  <si>
    <t>06653-05857-序号20</t>
    <phoneticPr fontId="1" type="noConversion"/>
  </si>
  <si>
    <t>06655-05858-序号21</t>
    <phoneticPr fontId="1" type="noConversion"/>
  </si>
  <si>
    <t>06656-05859-序号22</t>
    <phoneticPr fontId="1" type="noConversion"/>
  </si>
  <si>
    <t>06657-05860-序号23</t>
    <phoneticPr fontId="1" type="noConversion"/>
  </si>
  <si>
    <t>06658-05855-序号24</t>
    <phoneticPr fontId="1" type="noConversion"/>
  </si>
  <si>
    <t>06659-05856-序号25</t>
    <phoneticPr fontId="1" type="noConversion"/>
  </si>
  <si>
    <t>06660-05853-序号26</t>
    <phoneticPr fontId="1" type="noConversion"/>
  </si>
  <si>
    <t>06661-05854-序号27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</si>
</sst>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$-409]d\-mmm;@"/>
    <numFmt numFmtId="177" formatCode="0.0"/>
    <numFmt numFmtId="178" formatCode="0_ "/>
  </numFmts>
  <fonts count="2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theme="0"/>
      <name val="微软雅黑"/>
      <family val="2"/>
      <charset val="134"/>
    </font>
    <font>
      <sz val="9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11"/>
      <color indexed="8"/>
      <name val="宋体"/>
      <family val="2"/>
    </font>
    <font>
      <sz val="11"/>
      <name val="宋体"/>
      <family val="3"/>
      <charset val="134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黑体"/>
      <family val="3"/>
      <charset val="134"/>
    </font>
    <font>
      <sz val="12"/>
      <color theme="1"/>
      <name val="等线"/>
      <family val="2"/>
      <charset val="134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b/>
      <sz val="16"/>
      <color theme="1"/>
      <name val="Arial"/>
      <family val="2"/>
    </font>
    <font>
      <sz val="9"/>
      <name val="宋体"/>
      <family val="2"/>
      <charset val="134"/>
      <scheme val="minor"/>
    </font>
    <font>
      <sz val="12"/>
      <color theme="1"/>
      <name val="Arial"/>
      <family val="3"/>
      <charset val="134"/>
    </font>
    <font>
      <sz val="16"/>
      <color theme="1"/>
      <name val="Arial"/>
      <family val="2"/>
    </font>
    <font>
      <sz val="11"/>
      <color theme="1"/>
      <name val="宋体"/>
      <family val="3"/>
      <charset val="134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76" fontId="2" fillId="0" borderId="0">
      <alignment vertical="center"/>
    </xf>
    <xf numFmtId="0" fontId="2" fillId="0" borderId="0"/>
  </cellStyleXfs>
  <cellXfs count="106">
    <xf numFmtId="0" fontId="0" fillId="0" borderId="0" xfId="0"/>
    <xf numFmtId="176" fontId="3" fillId="2" borderId="2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/>
    <xf numFmtId="0" fontId="4" fillId="0" borderId="0" xfId="0" applyFont="1" applyFill="1" applyBorder="1" applyAlignment="1">
      <alignment horizontal="center" vertical="center"/>
    </xf>
    <xf numFmtId="176" fontId="3" fillId="2" borderId="4" xfId="1" applyFont="1" applyFill="1" applyBorder="1" applyAlignment="1">
      <alignment horizontal="center" vertical="center"/>
    </xf>
    <xf numFmtId="176" fontId="3" fillId="2" borderId="4" xfId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12" fillId="5" borderId="1" xfId="2" applyNumberFormat="1" applyFont="1" applyFill="1" applyBorder="1" applyAlignment="1">
      <alignment horizontal="center" vertical="center"/>
    </xf>
    <xf numFmtId="0" fontId="12" fillId="0" borderId="11" xfId="2" applyNumberFormat="1" applyFont="1" applyBorder="1" applyAlignment="1">
      <alignment horizontal="center" vertical="center"/>
    </xf>
    <xf numFmtId="0" fontId="15" fillId="0" borderId="11" xfId="2" applyFont="1" applyBorder="1" applyAlignment="1">
      <alignment horizontal="center" vertical="center"/>
    </xf>
    <xf numFmtId="0" fontId="15" fillId="0" borderId="11" xfId="2" applyFont="1" applyBorder="1" applyAlignment="1">
      <alignment horizontal="center" vertical="center" wrapText="1"/>
    </xf>
    <xf numFmtId="0" fontId="16" fillId="0" borderId="1" xfId="2" quotePrefix="1" applyNumberFormat="1" applyFont="1" applyFill="1" applyBorder="1" applyAlignment="1">
      <alignment horizontal="center" vertical="center"/>
    </xf>
    <xf numFmtId="0" fontId="12" fillId="0" borderId="1" xfId="2" applyNumberFormat="1" applyFont="1" applyBorder="1" applyAlignment="1">
      <alignment horizontal="center" vertical="center"/>
    </xf>
    <xf numFmtId="0" fontId="12" fillId="0" borderId="1" xfId="2" applyNumberFormat="1" applyFont="1" applyBorder="1" applyAlignment="1">
      <alignment horizontal="center" vertical="center" wrapText="1"/>
    </xf>
    <xf numFmtId="10" fontId="12" fillId="0" borderId="1" xfId="2" applyNumberFormat="1" applyFont="1" applyBorder="1" applyAlignment="1">
      <alignment horizontal="center" vertical="center"/>
    </xf>
    <xf numFmtId="0" fontId="15" fillId="0" borderId="12" xfId="2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12" fillId="0" borderId="12" xfId="2" applyNumberFormat="1" applyFont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12" fillId="0" borderId="11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7" fillId="0" borderId="1" xfId="0" quotePrefix="1" applyNumberFormat="1" applyFont="1" applyFill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quotePrefix="1" applyNumberFormat="1" applyFont="1" applyFill="1" applyBorder="1" applyAlignment="1">
      <alignment horizontal="center" vertical="center" wrapText="1"/>
    </xf>
    <xf numFmtId="0" fontId="20" fillId="0" borderId="1" xfId="0" applyNumberFormat="1" applyFont="1" applyBorder="1" applyAlignment="1">
      <alignment horizontal="center" vertical="center" wrapText="1"/>
    </xf>
    <xf numFmtId="10" fontId="21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9" fontId="10" fillId="7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0" fontId="12" fillId="0" borderId="12" xfId="0" applyNumberFormat="1" applyFont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1" fontId="8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 wrapText="1"/>
    </xf>
    <xf numFmtId="49" fontId="10" fillId="7" borderId="1" xfId="0" applyNumberFormat="1" applyFont="1" applyFill="1" applyBorder="1" applyAlignment="1">
      <alignment vertical="center" wrapText="1"/>
    </xf>
    <xf numFmtId="0" fontId="12" fillId="5" borderId="1" xfId="2" applyFont="1" applyFill="1" applyBorder="1" applyAlignment="1">
      <alignment horizontal="center" vertical="center"/>
    </xf>
    <xf numFmtId="0" fontId="12" fillId="5" borderId="1" xfId="2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0" fontId="12" fillId="5" borderId="8" xfId="2" applyNumberFormat="1" applyFont="1" applyFill="1" applyBorder="1" applyAlignment="1">
      <alignment horizontal="center" vertical="center"/>
    </xf>
    <xf numFmtId="10" fontId="12" fillId="5" borderId="9" xfId="2" applyNumberFormat="1" applyFont="1" applyFill="1" applyBorder="1" applyAlignment="1">
      <alignment horizontal="center" vertical="center"/>
    </xf>
    <xf numFmtId="10" fontId="12" fillId="5" borderId="10" xfId="2" applyNumberFormat="1" applyFont="1" applyFill="1" applyBorder="1" applyAlignment="1">
      <alignment horizontal="center" vertical="center"/>
    </xf>
    <xf numFmtId="10" fontId="12" fillId="5" borderId="3" xfId="2" applyNumberFormat="1" applyFont="1" applyFill="1" applyBorder="1" applyAlignment="1">
      <alignment horizontal="center" vertical="center"/>
    </xf>
    <xf numFmtId="0" fontId="12" fillId="6" borderId="1" xfId="2" applyNumberFormat="1" applyFont="1" applyFill="1" applyBorder="1" applyAlignment="1">
      <alignment horizontal="center" vertical="center" wrapText="1"/>
    </xf>
    <xf numFmtId="10" fontId="12" fillId="0" borderId="11" xfId="2" applyNumberFormat="1" applyFont="1" applyBorder="1" applyAlignment="1">
      <alignment horizontal="center" vertical="center"/>
    </xf>
    <xf numFmtId="10" fontId="12" fillId="0" borderId="12" xfId="2" applyNumberFormat="1" applyFont="1" applyBorder="1" applyAlignment="1">
      <alignment horizontal="center" vertical="center"/>
    </xf>
    <xf numFmtId="0" fontId="11" fillId="4" borderId="5" xfId="2" applyFont="1" applyFill="1" applyBorder="1" applyAlignment="1">
      <alignment horizontal="center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7" xfId="2" applyFont="1" applyFill="1" applyBorder="1" applyAlignment="1">
      <alignment horizontal="center" vertical="center"/>
    </xf>
    <xf numFmtId="0" fontId="12" fillId="5" borderId="1" xfId="2" applyFont="1" applyFill="1" applyBorder="1" applyAlignment="1">
      <alignment horizontal="center" vertical="center"/>
    </xf>
    <xf numFmtId="0" fontId="12" fillId="5" borderId="1" xfId="2" applyFont="1" applyFill="1" applyBorder="1" applyAlignment="1">
      <alignment horizontal="center" vertical="center" wrapText="1"/>
    </xf>
    <xf numFmtId="178" fontId="12" fillId="5" borderId="5" xfId="2" applyNumberFormat="1" applyFont="1" applyFill="1" applyBorder="1" applyAlignment="1">
      <alignment horizontal="center" vertical="center"/>
    </xf>
    <xf numFmtId="10" fontId="12" fillId="5" borderId="8" xfId="0" applyNumberFormat="1" applyFont="1" applyFill="1" applyBorder="1" applyAlignment="1">
      <alignment horizontal="center" vertical="center"/>
    </xf>
    <xf numFmtId="10" fontId="12" fillId="5" borderId="9" xfId="0" applyNumberFormat="1" applyFont="1" applyFill="1" applyBorder="1" applyAlignment="1">
      <alignment horizontal="center" vertical="center"/>
    </xf>
    <xf numFmtId="10" fontId="12" fillId="5" borderId="10" xfId="0" applyNumberFormat="1" applyFont="1" applyFill="1" applyBorder="1" applyAlignment="1">
      <alignment horizontal="center" vertical="center"/>
    </xf>
    <xf numFmtId="10" fontId="12" fillId="5" borderId="3" xfId="0" applyNumberFormat="1" applyFont="1" applyFill="1" applyBorder="1" applyAlignment="1">
      <alignment horizontal="center" vertical="center"/>
    </xf>
    <xf numFmtId="0" fontId="12" fillId="6" borderId="1" xfId="0" applyNumberFormat="1" applyFont="1" applyFill="1" applyBorder="1" applyAlignment="1">
      <alignment horizontal="center" vertical="center" wrapText="1"/>
    </xf>
    <xf numFmtId="10" fontId="12" fillId="0" borderId="11" xfId="0" applyNumberFormat="1" applyFont="1" applyBorder="1" applyAlignment="1">
      <alignment horizontal="center" vertical="center"/>
    </xf>
    <xf numFmtId="10" fontId="12" fillId="0" borderId="13" xfId="0" applyNumberFormat="1" applyFont="1" applyBorder="1" applyAlignment="1">
      <alignment horizontal="center" vertical="center"/>
    </xf>
    <xf numFmtId="10" fontId="12" fillId="0" borderId="12" xfId="0" applyNumberFormat="1" applyFont="1" applyBorder="1" applyAlignment="1">
      <alignment horizontal="center" vertical="center"/>
    </xf>
    <xf numFmtId="0" fontId="22" fillId="0" borderId="11" xfId="0" applyNumberFormat="1" applyFont="1" applyBorder="1" applyAlignment="1">
      <alignment horizontal="center" vertical="center" wrapText="1"/>
    </xf>
    <xf numFmtId="0" fontId="23" fillId="0" borderId="12" xfId="0" applyNumberFormat="1" applyFont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178" fontId="12" fillId="5" borderId="5" xfId="0" applyNumberFormat="1" applyFont="1" applyFill="1" applyBorder="1" applyAlignment="1">
      <alignment horizontal="center" vertical="center"/>
    </xf>
    <xf numFmtId="10" fontId="12" fillId="5" borderId="14" xfId="0" applyNumberFormat="1" applyFont="1" applyFill="1" applyBorder="1" applyAlignment="1">
      <alignment horizontal="center" vertical="center"/>
    </xf>
    <xf numFmtId="10" fontId="12" fillId="5" borderId="15" xfId="0" applyNumberFormat="1" applyFont="1" applyFill="1" applyBorder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 wrapText="1"/>
    </xf>
    <xf numFmtId="178" fontId="12" fillId="5" borderId="10" xfId="0" applyNumberFormat="1" applyFont="1" applyFill="1" applyBorder="1" applyAlignment="1">
      <alignment horizontal="center" vertical="center"/>
    </xf>
  </cellXfs>
  <cellStyles count="3">
    <cellStyle name="常规" xfId="0" builtinId="0"/>
    <cellStyle name="常规 2" xfId="2"/>
    <cellStyle name="普通 2" xfId="1"/>
  </cellStyles>
  <dxfs count="57">
    <dxf>
      <fill>
        <patternFill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Views>
    <sheetView tabSelected="1" topLeftCell="A10" workbookViewId="0">
      <selection activeCell="E8" sqref="E8"/>
    </sheetView>
  </sheetViews>
  <sheetFormatPr defaultColWidth="8.875" defaultRowHeight="16.5" x14ac:dyDescent="0.3"/>
  <cols>
    <col min="1" max="1" width="7" style="3" customWidth="1"/>
    <col min="2" max="2" width="13.5" style="3" bestFit="1" customWidth="1"/>
    <col min="3" max="3" width="27.375" style="3" bestFit="1" customWidth="1"/>
    <col min="4" max="4" width="13.5" style="3" customWidth="1"/>
    <col min="5" max="5" width="18.75" style="3" customWidth="1"/>
    <col min="6" max="6" width="11.875" style="3" bestFit="1" customWidth="1"/>
    <col min="7" max="7" width="12.625" style="3" customWidth="1"/>
    <col min="8" max="8" width="11.375" style="3" bestFit="1" customWidth="1"/>
    <col min="9" max="10" width="11.25" style="3" bestFit="1" customWidth="1"/>
    <col min="11" max="11" width="25.625" style="3" customWidth="1"/>
    <col min="12" max="12" width="7" style="3" customWidth="1"/>
    <col min="13" max="13" width="13.625" style="3" customWidth="1"/>
    <col min="14" max="14" width="14.25" style="3" customWidth="1"/>
    <col min="15" max="15" width="25.75" style="3" customWidth="1"/>
    <col min="16" max="16384" width="8.875" style="3"/>
  </cols>
  <sheetData>
    <row r="1" spans="1:15" ht="29.25" x14ac:dyDescent="0.3">
      <c r="C1" s="69" t="s">
        <v>220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5" x14ac:dyDescent="0.3">
      <c r="A2" s="1" t="s">
        <v>62</v>
      </c>
      <c r="B2" s="1" t="s">
        <v>58</v>
      </c>
      <c r="C2" s="1" t="s">
        <v>10</v>
      </c>
      <c r="D2" s="1" t="s">
        <v>13</v>
      </c>
      <c r="E2" s="6" t="s">
        <v>4</v>
      </c>
      <c r="F2" s="1" t="s">
        <v>11</v>
      </c>
      <c r="G2" s="6" t="s">
        <v>0</v>
      </c>
      <c r="H2" s="7" t="s">
        <v>7</v>
      </c>
      <c r="I2" s="6" t="s">
        <v>8</v>
      </c>
      <c r="J2" s="6" t="s">
        <v>9</v>
      </c>
      <c r="K2" s="6" t="s">
        <v>5</v>
      </c>
      <c r="L2" s="6" t="s">
        <v>1</v>
      </c>
      <c r="M2" s="1" t="s">
        <v>2</v>
      </c>
      <c r="N2" s="1" t="s">
        <v>3</v>
      </c>
      <c r="O2" s="6" t="s">
        <v>12</v>
      </c>
    </row>
    <row r="3" spans="1:15" x14ac:dyDescent="0.3">
      <c r="A3" s="10">
        <v>1</v>
      </c>
      <c r="B3" s="58">
        <v>1</v>
      </c>
      <c r="C3" s="59" t="s">
        <v>57</v>
      </c>
      <c r="D3" s="60" t="s">
        <v>125</v>
      </c>
      <c r="E3" s="61" t="s">
        <v>127</v>
      </c>
      <c r="F3" s="60" t="s">
        <v>49</v>
      </c>
      <c r="G3" s="60" t="s">
        <v>67</v>
      </c>
      <c r="H3" s="62">
        <v>10.17</v>
      </c>
      <c r="I3" s="62">
        <v>4.55</v>
      </c>
      <c r="J3" s="62">
        <v>0.9</v>
      </c>
      <c r="K3" s="60" t="s">
        <v>196</v>
      </c>
      <c r="L3" s="58">
        <v>1</v>
      </c>
      <c r="M3" s="60" t="s">
        <v>41</v>
      </c>
      <c r="N3" s="60" t="s">
        <v>66</v>
      </c>
      <c r="O3" s="20"/>
    </row>
    <row r="4" spans="1:15" x14ac:dyDescent="0.3">
      <c r="A4" s="10">
        <v>2</v>
      </c>
      <c r="B4" s="58">
        <v>2</v>
      </c>
      <c r="C4" s="59" t="s">
        <v>57</v>
      </c>
      <c r="D4" s="60" t="s">
        <v>68</v>
      </c>
      <c r="E4" s="61" t="s">
        <v>128</v>
      </c>
      <c r="F4" s="60" t="s">
        <v>49</v>
      </c>
      <c r="G4" s="60" t="s">
        <v>65</v>
      </c>
      <c r="H4" s="62">
        <v>5.69</v>
      </c>
      <c r="I4" s="62">
        <v>5.8</v>
      </c>
      <c r="J4" s="62">
        <v>0.9</v>
      </c>
      <c r="K4" s="60" t="s">
        <v>197</v>
      </c>
      <c r="L4" s="58">
        <v>1</v>
      </c>
      <c r="M4" s="60" t="s">
        <v>41</v>
      </c>
      <c r="N4" s="8" t="s">
        <v>41</v>
      </c>
      <c r="O4" s="20"/>
    </row>
    <row r="5" spans="1:15" x14ac:dyDescent="0.3">
      <c r="A5" s="10">
        <v>3</v>
      </c>
      <c r="B5" s="58">
        <v>3</v>
      </c>
      <c r="C5" s="59" t="s">
        <v>63</v>
      </c>
      <c r="D5" s="60" t="s">
        <v>70</v>
      </c>
      <c r="E5" s="61" t="s">
        <v>129</v>
      </c>
      <c r="F5" s="60" t="s">
        <v>49</v>
      </c>
      <c r="G5" s="60" t="s">
        <v>69</v>
      </c>
      <c r="H5" s="62">
        <v>5.96</v>
      </c>
      <c r="I5" s="62">
        <v>4.55</v>
      </c>
      <c r="J5" s="62">
        <v>0.9</v>
      </c>
      <c r="K5" s="60" t="s">
        <v>198</v>
      </c>
      <c r="L5" s="58">
        <v>1</v>
      </c>
      <c r="M5" s="60" t="s">
        <v>41</v>
      </c>
      <c r="N5" s="8" t="s">
        <v>66</v>
      </c>
      <c r="O5" s="20"/>
    </row>
    <row r="6" spans="1:15" x14ac:dyDescent="0.3">
      <c r="A6" s="10">
        <v>4</v>
      </c>
      <c r="B6" s="58">
        <v>4</v>
      </c>
      <c r="C6" s="59" t="s">
        <v>63</v>
      </c>
      <c r="D6" s="60" t="s">
        <v>71</v>
      </c>
      <c r="E6" s="61" t="s">
        <v>130</v>
      </c>
      <c r="F6" s="60" t="s">
        <v>49</v>
      </c>
      <c r="G6" s="60" t="s">
        <v>69</v>
      </c>
      <c r="H6" s="62">
        <v>12.38</v>
      </c>
      <c r="I6" s="62">
        <v>4.55</v>
      </c>
      <c r="J6" s="62">
        <v>0.9</v>
      </c>
      <c r="K6" s="60" t="s">
        <v>198</v>
      </c>
      <c r="L6" s="58">
        <v>1</v>
      </c>
      <c r="M6" s="60" t="s">
        <v>41</v>
      </c>
      <c r="N6" s="8" t="s">
        <v>41</v>
      </c>
      <c r="O6" s="20"/>
    </row>
    <row r="7" spans="1:15" s="4" customFormat="1" x14ac:dyDescent="0.3">
      <c r="A7" s="10">
        <v>5</v>
      </c>
      <c r="B7" s="58">
        <v>5</v>
      </c>
      <c r="C7" s="59" t="s">
        <v>63</v>
      </c>
      <c r="D7" s="60" t="s">
        <v>72</v>
      </c>
      <c r="E7" s="61" t="s">
        <v>131</v>
      </c>
      <c r="F7" s="60" t="s">
        <v>64</v>
      </c>
      <c r="G7" s="60" t="s">
        <v>67</v>
      </c>
      <c r="H7" s="62">
        <v>5.18</v>
      </c>
      <c r="I7" s="62">
        <v>5.8</v>
      </c>
      <c r="J7" s="62">
        <v>0.9</v>
      </c>
      <c r="K7" s="60" t="s">
        <v>199</v>
      </c>
      <c r="L7" s="58">
        <v>1</v>
      </c>
      <c r="M7" s="60" t="s">
        <v>66</v>
      </c>
      <c r="N7" s="8" t="s">
        <v>41</v>
      </c>
      <c r="O7" s="20"/>
    </row>
    <row r="8" spans="1:15" s="4" customFormat="1" x14ac:dyDescent="0.3">
      <c r="A8" s="10">
        <v>6</v>
      </c>
      <c r="B8" s="58">
        <v>6</v>
      </c>
      <c r="C8" s="59" t="s">
        <v>63</v>
      </c>
      <c r="D8" s="60" t="s">
        <v>73</v>
      </c>
      <c r="E8" s="61" t="s">
        <v>132</v>
      </c>
      <c r="F8" s="60" t="s">
        <v>49</v>
      </c>
      <c r="G8" s="60" t="s">
        <v>65</v>
      </c>
      <c r="H8" s="62">
        <v>4.7</v>
      </c>
      <c r="I8" s="62">
        <v>5.8</v>
      </c>
      <c r="J8" s="62">
        <v>0.9</v>
      </c>
      <c r="K8" s="60" t="s">
        <v>200</v>
      </c>
      <c r="L8" s="58">
        <v>1</v>
      </c>
      <c r="M8" s="60" t="s">
        <v>41</v>
      </c>
      <c r="N8" s="8" t="s">
        <v>66</v>
      </c>
      <c r="O8" s="20"/>
    </row>
    <row r="9" spans="1:15" s="4" customFormat="1" x14ac:dyDescent="0.3">
      <c r="A9" s="10">
        <v>7</v>
      </c>
      <c r="B9" s="58">
        <v>7</v>
      </c>
      <c r="C9" s="59" t="s">
        <v>57</v>
      </c>
      <c r="D9" s="60" t="s">
        <v>75</v>
      </c>
      <c r="E9" s="61" t="s">
        <v>133</v>
      </c>
      <c r="F9" s="60" t="s">
        <v>49</v>
      </c>
      <c r="G9" s="60" t="s">
        <v>65</v>
      </c>
      <c r="H9" s="62">
        <v>11.2</v>
      </c>
      <c r="I9" s="62">
        <v>5.8</v>
      </c>
      <c r="J9" s="62">
        <v>0.9</v>
      </c>
      <c r="K9" s="60" t="s">
        <v>198</v>
      </c>
      <c r="L9" s="58">
        <v>1</v>
      </c>
      <c r="M9" s="60" t="s">
        <v>66</v>
      </c>
      <c r="N9" s="8" t="s">
        <v>74</v>
      </c>
      <c r="O9" s="20"/>
    </row>
    <row r="10" spans="1:15" s="4" customFormat="1" x14ac:dyDescent="0.3">
      <c r="A10" s="10">
        <v>8</v>
      </c>
      <c r="B10" s="58">
        <v>8</v>
      </c>
      <c r="C10" s="59" t="s">
        <v>77</v>
      </c>
      <c r="D10" s="60" t="s">
        <v>76</v>
      </c>
      <c r="E10" s="61" t="s">
        <v>134</v>
      </c>
      <c r="F10" s="60" t="s">
        <v>64</v>
      </c>
      <c r="G10" s="60" t="s">
        <v>69</v>
      </c>
      <c r="H10" s="62">
        <v>12.56</v>
      </c>
      <c r="I10" s="62">
        <v>4.55</v>
      </c>
      <c r="J10" s="62">
        <v>0.9</v>
      </c>
      <c r="K10" s="60" t="s">
        <v>198</v>
      </c>
      <c r="L10" s="58">
        <v>1</v>
      </c>
      <c r="M10" s="60" t="s">
        <v>66</v>
      </c>
      <c r="N10" s="19" t="s">
        <v>95</v>
      </c>
      <c r="O10" s="20"/>
    </row>
    <row r="11" spans="1:15" s="4" customFormat="1" x14ac:dyDescent="0.3">
      <c r="A11" s="10">
        <v>9</v>
      </c>
      <c r="B11" s="58">
        <v>9</v>
      </c>
      <c r="C11" s="59" t="s">
        <v>77</v>
      </c>
      <c r="D11" s="60" t="s">
        <v>87</v>
      </c>
      <c r="E11" s="61" t="s">
        <v>135</v>
      </c>
      <c r="F11" s="60" t="s">
        <v>64</v>
      </c>
      <c r="G11" s="60" t="s">
        <v>78</v>
      </c>
      <c r="H11" s="62">
        <v>11.41</v>
      </c>
      <c r="I11" s="62">
        <v>4.55</v>
      </c>
      <c r="J11" s="62">
        <v>0.9</v>
      </c>
      <c r="K11" s="60" t="s">
        <v>197</v>
      </c>
      <c r="L11" s="58">
        <v>1</v>
      </c>
      <c r="M11" s="60" t="s">
        <v>79</v>
      </c>
      <c r="N11" s="8" t="s">
        <v>41</v>
      </c>
      <c r="O11" s="20"/>
    </row>
    <row r="12" spans="1:15" s="4" customFormat="1" x14ac:dyDescent="0.3">
      <c r="A12" s="10">
        <v>10</v>
      </c>
      <c r="B12" s="10">
        <v>19</v>
      </c>
      <c r="C12" s="2" t="s">
        <v>85</v>
      </c>
      <c r="D12" s="8" t="s">
        <v>92</v>
      </c>
      <c r="E12" s="24" t="s">
        <v>269</v>
      </c>
      <c r="F12" s="8" t="s">
        <v>89</v>
      </c>
      <c r="G12" s="8" t="s">
        <v>88</v>
      </c>
      <c r="H12" s="9">
        <v>9.15</v>
      </c>
      <c r="I12" s="9">
        <v>6.2</v>
      </c>
      <c r="J12" s="9">
        <v>1.1499999999999999</v>
      </c>
      <c r="K12" s="8" t="s">
        <v>86</v>
      </c>
      <c r="L12" s="10">
        <v>1</v>
      </c>
      <c r="M12" s="8" t="s">
        <v>90</v>
      </c>
      <c r="N12" s="8" t="s">
        <v>91</v>
      </c>
      <c r="O12" s="53" t="s">
        <v>224</v>
      </c>
    </row>
    <row r="13" spans="1:15" s="4" customFormat="1" x14ac:dyDescent="0.3">
      <c r="A13" s="10">
        <v>11</v>
      </c>
      <c r="B13" s="10">
        <v>20</v>
      </c>
      <c r="C13" s="2" t="s">
        <v>93</v>
      </c>
      <c r="D13" s="8" t="s">
        <v>99</v>
      </c>
      <c r="E13" s="24" t="s">
        <v>270</v>
      </c>
      <c r="F13" s="8" t="s">
        <v>97</v>
      </c>
      <c r="G13" s="8" t="s">
        <v>88</v>
      </c>
      <c r="H13" s="9">
        <v>5.69</v>
      </c>
      <c r="I13" s="9">
        <v>6.2</v>
      </c>
      <c r="J13" s="9">
        <v>1.1499999999999999</v>
      </c>
      <c r="K13" s="8" t="s">
        <v>86</v>
      </c>
      <c r="L13" s="10">
        <v>1</v>
      </c>
      <c r="M13" s="8" t="s">
        <v>91</v>
      </c>
      <c r="N13" s="19" t="s">
        <v>112</v>
      </c>
      <c r="O13" s="53" t="s">
        <v>225</v>
      </c>
    </row>
    <row r="14" spans="1:15" s="4" customFormat="1" x14ac:dyDescent="0.3">
      <c r="A14" s="10">
        <v>12</v>
      </c>
      <c r="B14" s="10">
        <v>21</v>
      </c>
      <c r="C14" s="2" t="s">
        <v>93</v>
      </c>
      <c r="D14" s="8" t="s">
        <v>100</v>
      </c>
      <c r="E14" s="24" t="s">
        <v>271</v>
      </c>
      <c r="F14" s="8" t="s">
        <v>97</v>
      </c>
      <c r="G14" s="8" t="s">
        <v>88</v>
      </c>
      <c r="H14" s="9">
        <v>5.95</v>
      </c>
      <c r="I14" s="9">
        <v>6.2</v>
      </c>
      <c r="J14" s="9">
        <v>1.1499999999999999</v>
      </c>
      <c r="K14" s="8" t="s">
        <v>98</v>
      </c>
      <c r="L14" s="10">
        <v>1</v>
      </c>
      <c r="M14" s="8" t="s">
        <v>91</v>
      </c>
      <c r="N14" s="8" t="s">
        <v>90</v>
      </c>
      <c r="O14" s="53" t="s">
        <v>226</v>
      </c>
    </row>
    <row r="15" spans="1:15" s="4" customFormat="1" x14ac:dyDescent="0.3">
      <c r="A15" s="10">
        <v>13</v>
      </c>
      <c r="B15" s="10">
        <v>22</v>
      </c>
      <c r="C15" s="2" t="s">
        <v>93</v>
      </c>
      <c r="D15" s="8" t="s">
        <v>101</v>
      </c>
      <c r="E15" s="24" t="s">
        <v>272</v>
      </c>
      <c r="F15" s="8" t="s">
        <v>89</v>
      </c>
      <c r="G15" s="8" t="s">
        <v>88</v>
      </c>
      <c r="H15" s="9">
        <v>12.38</v>
      </c>
      <c r="I15" s="9">
        <v>6.2</v>
      </c>
      <c r="J15" s="9">
        <v>1.1499999999999999</v>
      </c>
      <c r="K15" s="8" t="s">
        <v>86</v>
      </c>
      <c r="L15" s="10">
        <v>1</v>
      </c>
      <c r="M15" s="8" t="s">
        <v>90</v>
      </c>
      <c r="N15" s="8" t="s">
        <v>90</v>
      </c>
      <c r="O15" s="53" t="s">
        <v>227</v>
      </c>
    </row>
    <row r="16" spans="1:15" s="4" customFormat="1" x14ac:dyDescent="0.3">
      <c r="A16" s="10">
        <v>14</v>
      </c>
      <c r="B16" s="10">
        <v>23</v>
      </c>
      <c r="C16" s="2" t="s">
        <v>102</v>
      </c>
      <c r="D16" s="8" t="s">
        <v>105</v>
      </c>
      <c r="E16" s="24" t="s">
        <v>273</v>
      </c>
      <c r="F16" s="8" t="s">
        <v>97</v>
      </c>
      <c r="G16" s="8" t="s">
        <v>88</v>
      </c>
      <c r="H16" s="9">
        <v>5.18</v>
      </c>
      <c r="I16" s="9">
        <v>6.2</v>
      </c>
      <c r="J16" s="9">
        <v>1.1499999999999999</v>
      </c>
      <c r="K16" s="8" t="s">
        <v>103</v>
      </c>
      <c r="L16" s="10">
        <v>1</v>
      </c>
      <c r="M16" s="8" t="s">
        <v>90</v>
      </c>
      <c r="N16" s="8" t="s">
        <v>104</v>
      </c>
      <c r="O16" s="53" t="s">
        <v>228</v>
      </c>
    </row>
    <row r="17" spans="1:15" s="4" customFormat="1" x14ac:dyDescent="0.3">
      <c r="A17" s="10">
        <v>15</v>
      </c>
      <c r="B17" s="10">
        <v>24</v>
      </c>
      <c r="C17" s="2" t="s">
        <v>93</v>
      </c>
      <c r="D17" s="8" t="s">
        <v>106</v>
      </c>
      <c r="E17" s="24" t="s">
        <v>274</v>
      </c>
      <c r="F17" s="8" t="s">
        <v>89</v>
      </c>
      <c r="G17" s="8" t="s">
        <v>88</v>
      </c>
      <c r="H17" s="9">
        <v>4.7</v>
      </c>
      <c r="I17" s="9">
        <v>6.2</v>
      </c>
      <c r="J17" s="9">
        <v>1.1499999999999999</v>
      </c>
      <c r="K17" s="8" t="s">
        <v>107</v>
      </c>
      <c r="L17" s="10">
        <v>1</v>
      </c>
      <c r="M17" s="8" t="s">
        <v>91</v>
      </c>
      <c r="N17" s="8" t="s">
        <v>91</v>
      </c>
      <c r="O17" s="53" t="s">
        <v>229</v>
      </c>
    </row>
    <row r="18" spans="1:15" s="4" customFormat="1" x14ac:dyDescent="0.3">
      <c r="A18" s="10">
        <v>16</v>
      </c>
      <c r="B18" s="10">
        <v>25</v>
      </c>
      <c r="C18" s="2" t="s">
        <v>102</v>
      </c>
      <c r="D18" s="8" t="s">
        <v>109</v>
      </c>
      <c r="E18" s="24" t="s">
        <v>275</v>
      </c>
      <c r="F18" s="8" t="s">
        <v>89</v>
      </c>
      <c r="G18" s="8" t="s">
        <v>94</v>
      </c>
      <c r="H18" s="9">
        <v>11.2</v>
      </c>
      <c r="I18" s="9">
        <v>6.2</v>
      </c>
      <c r="J18" s="9">
        <v>1.1499999999999999</v>
      </c>
      <c r="K18" s="8" t="s">
        <v>108</v>
      </c>
      <c r="L18" s="10">
        <v>1</v>
      </c>
      <c r="M18" s="8" t="s">
        <v>90</v>
      </c>
      <c r="N18" s="8" t="s">
        <v>91</v>
      </c>
      <c r="O18" s="53" t="s">
        <v>230</v>
      </c>
    </row>
    <row r="19" spans="1:15" s="4" customFormat="1" x14ac:dyDescent="0.3">
      <c r="A19" s="10">
        <v>17</v>
      </c>
      <c r="B19" s="10">
        <v>26</v>
      </c>
      <c r="C19" s="2" t="s">
        <v>93</v>
      </c>
      <c r="D19" s="8" t="s">
        <v>110</v>
      </c>
      <c r="E19" s="24" t="s">
        <v>276</v>
      </c>
      <c r="F19" s="8" t="s">
        <v>111</v>
      </c>
      <c r="G19" s="8" t="s">
        <v>88</v>
      </c>
      <c r="H19" s="9">
        <v>12.56</v>
      </c>
      <c r="I19" s="9">
        <v>6.2</v>
      </c>
      <c r="J19" s="9">
        <v>1.1499999999999999</v>
      </c>
      <c r="K19" s="8" t="s">
        <v>86</v>
      </c>
      <c r="L19" s="10">
        <v>1</v>
      </c>
      <c r="M19" s="8" t="s">
        <v>91</v>
      </c>
      <c r="N19" s="19" t="s">
        <v>96</v>
      </c>
      <c r="O19" s="53" t="s">
        <v>231</v>
      </c>
    </row>
    <row r="20" spans="1:15" s="4" customFormat="1" x14ac:dyDescent="0.3">
      <c r="A20" s="10">
        <v>18</v>
      </c>
      <c r="B20" s="10">
        <v>27</v>
      </c>
      <c r="C20" s="2" t="s">
        <v>102</v>
      </c>
      <c r="D20" s="8" t="s">
        <v>113</v>
      </c>
      <c r="E20" s="24" t="s">
        <v>277</v>
      </c>
      <c r="F20" s="8" t="s">
        <v>89</v>
      </c>
      <c r="G20" s="8" t="s">
        <v>88</v>
      </c>
      <c r="H20" s="9">
        <v>11.41</v>
      </c>
      <c r="I20" s="9">
        <v>3.67</v>
      </c>
      <c r="J20" s="9">
        <v>1.1499999999999999</v>
      </c>
      <c r="K20" s="8" t="s">
        <v>86</v>
      </c>
      <c r="L20" s="10">
        <v>1</v>
      </c>
      <c r="M20" s="8" t="s">
        <v>90</v>
      </c>
      <c r="N20" s="8" t="s">
        <v>90</v>
      </c>
      <c r="O20" s="53" t="s">
        <v>232</v>
      </c>
    </row>
    <row r="21" spans="1:15" s="4" customFormat="1" x14ac:dyDescent="0.3">
      <c r="A21" s="10">
        <v>19</v>
      </c>
      <c r="B21" s="16">
        <v>10</v>
      </c>
      <c r="C21" s="13" t="s">
        <v>56</v>
      </c>
      <c r="D21" s="14" t="s">
        <v>15</v>
      </c>
      <c r="E21" s="14" t="s">
        <v>126</v>
      </c>
      <c r="F21" s="14" t="s">
        <v>50</v>
      </c>
      <c r="G21" s="14" t="s">
        <v>39</v>
      </c>
      <c r="H21" s="15">
        <v>8.6999999999999993</v>
      </c>
      <c r="I21" s="15">
        <v>8.85</v>
      </c>
      <c r="J21" s="15">
        <v>0.8</v>
      </c>
      <c r="K21" s="14" t="s">
        <v>46</v>
      </c>
      <c r="L21" s="16">
        <v>2</v>
      </c>
      <c r="M21" s="14" t="s">
        <v>42</v>
      </c>
      <c r="N21" s="17" t="s">
        <v>42</v>
      </c>
      <c r="O21" s="54" t="s">
        <v>59</v>
      </c>
    </row>
    <row r="22" spans="1:15" s="4" customFormat="1" x14ac:dyDescent="0.3">
      <c r="A22" s="10">
        <v>20</v>
      </c>
      <c r="B22" s="16">
        <v>11</v>
      </c>
      <c r="C22" s="13" t="s">
        <v>56</v>
      </c>
      <c r="D22" s="14" t="s">
        <v>14</v>
      </c>
      <c r="E22" s="14" t="s">
        <v>51</v>
      </c>
      <c r="F22" s="14" t="s">
        <v>50</v>
      </c>
      <c r="G22" s="16">
        <v>8</v>
      </c>
      <c r="H22" s="15">
        <v>9</v>
      </c>
      <c r="I22" s="15">
        <v>20.28</v>
      </c>
      <c r="J22" s="15">
        <v>0.8</v>
      </c>
      <c r="K22" s="14" t="s">
        <v>46</v>
      </c>
      <c r="L22" s="16">
        <v>2</v>
      </c>
      <c r="M22" s="14" t="s">
        <v>43</v>
      </c>
      <c r="N22" s="17" t="s">
        <v>42</v>
      </c>
      <c r="O22" s="54" t="s">
        <v>59</v>
      </c>
    </row>
    <row r="23" spans="1:15" s="4" customFormat="1" x14ac:dyDescent="0.3">
      <c r="A23" s="10">
        <v>21</v>
      </c>
      <c r="B23" s="16">
        <v>12</v>
      </c>
      <c r="C23" s="13" t="s">
        <v>56</v>
      </c>
      <c r="D23" s="14" t="s">
        <v>16</v>
      </c>
      <c r="E23" s="14" t="s">
        <v>52</v>
      </c>
      <c r="F23" s="14" t="s">
        <v>50</v>
      </c>
      <c r="G23" s="14" t="s">
        <v>39</v>
      </c>
      <c r="H23" s="15">
        <v>6.86</v>
      </c>
      <c r="I23" s="15">
        <v>8.85</v>
      </c>
      <c r="J23" s="15">
        <v>0.8</v>
      </c>
      <c r="K23" s="14" t="s">
        <v>46</v>
      </c>
      <c r="L23" s="16">
        <v>2</v>
      </c>
      <c r="M23" s="14" t="s">
        <v>44</v>
      </c>
      <c r="N23" s="17" t="s">
        <v>42</v>
      </c>
      <c r="O23" s="54" t="s">
        <v>59</v>
      </c>
    </row>
    <row r="24" spans="1:15" s="4" customFormat="1" x14ac:dyDescent="0.3">
      <c r="A24" s="10">
        <v>22</v>
      </c>
      <c r="B24" s="16">
        <v>13</v>
      </c>
      <c r="C24" s="13" t="s">
        <v>56</v>
      </c>
      <c r="D24" s="14" t="s">
        <v>17</v>
      </c>
      <c r="E24" s="14" t="s">
        <v>53</v>
      </c>
      <c r="F24" s="14" t="s">
        <v>50</v>
      </c>
      <c r="G24" s="14" t="s">
        <v>39</v>
      </c>
      <c r="H24" s="15">
        <v>4.0599999999999996</v>
      </c>
      <c r="I24" s="15">
        <v>8.85</v>
      </c>
      <c r="J24" s="15">
        <v>0.8</v>
      </c>
      <c r="K24" s="14" t="s">
        <v>46</v>
      </c>
      <c r="L24" s="16">
        <v>2</v>
      </c>
      <c r="M24" s="14" t="s">
        <v>42</v>
      </c>
      <c r="N24" s="17" t="s">
        <v>42</v>
      </c>
      <c r="O24" s="54" t="s">
        <v>60</v>
      </c>
    </row>
    <row r="25" spans="1:15" x14ac:dyDescent="0.3">
      <c r="A25" s="10">
        <v>23</v>
      </c>
      <c r="B25" s="16">
        <v>16</v>
      </c>
      <c r="C25" s="13" t="s">
        <v>56</v>
      </c>
      <c r="D25" s="14" t="s">
        <v>20</v>
      </c>
      <c r="E25" s="14" t="s">
        <v>54</v>
      </c>
      <c r="F25" s="14" t="s">
        <v>50</v>
      </c>
      <c r="G25" s="14" t="s">
        <v>39</v>
      </c>
      <c r="H25" s="15">
        <v>5.46</v>
      </c>
      <c r="I25" s="15">
        <v>8.85</v>
      </c>
      <c r="J25" s="15">
        <v>0.8</v>
      </c>
      <c r="K25" s="14" t="s">
        <v>46</v>
      </c>
      <c r="L25" s="16">
        <v>2</v>
      </c>
      <c r="M25" s="14" t="s">
        <v>43</v>
      </c>
      <c r="N25" s="17" t="s">
        <v>42</v>
      </c>
      <c r="O25" s="54" t="s">
        <v>59</v>
      </c>
    </row>
    <row r="26" spans="1:15" x14ac:dyDescent="0.3">
      <c r="A26" s="10">
        <v>24</v>
      </c>
      <c r="B26" s="16">
        <v>17</v>
      </c>
      <c r="C26" s="13" t="s">
        <v>56</v>
      </c>
      <c r="D26" s="14" t="s">
        <v>82</v>
      </c>
      <c r="E26" s="21" t="s">
        <v>261</v>
      </c>
      <c r="F26" s="14" t="s">
        <v>50</v>
      </c>
      <c r="G26" s="14" t="s">
        <v>80</v>
      </c>
      <c r="H26" s="15">
        <v>15.58</v>
      </c>
      <c r="I26" s="18">
        <v>5.8</v>
      </c>
      <c r="J26" s="18">
        <v>0.7</v>
      </c>
      <c r="K26" s="14" t="s">
        <v>81</v>
      </c>
      <c r="L26" s="16">
        <v>1</v>
      </c>
      <c r="M26" s="14" t="s">
        <v>42</v>
      </c>
      <c r="N26" s="17" t="s">
        <v>42</v>
      </c>
      <c r="O26" s="53" t="s">
        <v>222</v>
      </c>
    </row>
    <row r="27" spans="1:15" x14ac:dyDescent="0.3">
      <c r="A27" s="10">
        <v>25</v>
      </c>
      <c r="B27" s="16">
        <v>18</v>
      </c>
      <c r="C27" s="13" t="s">
        <v>56</v>
      </c>
      <c r="D27" s="14" t="s">
        <v>83</v>
      </c>
      <c r="E27" s="21" t="s">
        <v>262</v>
      </c>
      <c r="F27" s="14" t="s">
        <v>50</v>
      </c>
      <c r="G27" s="14" t="s">
        <v>84</v>
      </c>
      <c r="H27" s="15">
        <v>20.79</v>
      </c>
      <c r="I27" s="18">
        <v>5.8</v>
      </c>
      <c r="J27" s="18">
        <v>0.7</v>
      </c>
      <c r="K27" s="14" t="s">
        <v>81</v>
      </c>
      <c r="L27" s="16">
        <v>1</v>
      </c>
      <c r="M27" s="14" t="s">
        <v>42</v>
      </c>
      <c r="N27" s="17" t="s">
        <v>42</v>
      </c>
      <c r="O27" s="53" t="s">
        <v>223</v>
      </c>
    </row>
    <row r="28" spans="1:15" s="4" customFormat="1" x14ac:dyDescent="0.3">
      <c r="A28" s="10">
        <v>26</v>
      </c>
      <c r="B28" s="16">
        <v>30</v>
      </c>
      <c r="C28" s="13" t="s">
        <v>56</v>
      </c>
      <c r="D28" s="14" t="s">
        <v>21</v>
      </c>
      <c r="E28" s="14" t="s">
        <v>55</v>
      </c>
      <c r="F28" s="14" t="s">
        <v>50</v>
      </c>
      <c r="G28" s="14" t="s">
        <v>39</v>
      </c>
      <c r="H28" s="15">
        <v>12</v>
      </c>
      <c r="I28" s="15">
        <v>11</v>
      </c>
      <c r="J28" s="15">
        <v>0.8</v>
      </c>
      <c r="K28" s="14" t="s">
        <v>47</v>
      </c>
      <c r="L28" s="16">
        <v>1</v>
      </c>
      <c r="M28" s="14" t="s">
        <v>43</v>
      </c>
      <c r="N28" s="17" t="s">
        <v>43</v>
      </c>
      <c r="O28" s="54" t="s">
        <v>59</v>
      </c>
    </row>
    <row r="29" spans="1:15" x14ac:dyDescent="0.3">
      <c r="A29" s="10">
        <v>27</v>
      </c>
      <c r="B29" s="16">
        <v>31</v>
      </c>
      <c r="C29" s="13" t="s">
        <v>56</v>
      </c>
      <c r="D29" s="14" t="s">
        <v>22</v>
      </c>
      <c r="E29" s="21" t="s">
        <v>263</v>
      </c>
      <c r="F29" s="14" t="s">
        <v>121</v>
      </c>
      <c r="G29" s="14" t="s">
        <v>39</v>
      </c>
      <c r="H29" s="18">
        <v>3.5</v>
      </c>
      <c r="I29" s="15">
        <v>12.85</v>
      </c>
      <c r="J29" s="18">
        <v>1.1000000000000001</v>
      </c>
      <c r="K29" s="14" t="s">
        <v>47</v>
      </c>
      <c r="L29" s="16">
        <v>1</v>
      </c>
      <c r="M29" s="14" t="s">
        <v>43</v>
      </c>
      <c r="N29" s="17" t="s">
        <v>43</v>
      </c>
      <c r="O29" s="53" t="s">
        <v>234</v>
      </c>
    </row>
    <row r="30" spans="1:15" x14ac:dyDescent="0.3">
      <c r="A30" s="10">
        <v>28</v>
      </c>
      <c r="B30" s="16">
        <v>32</v>
      </c>
      <c r="C30" s="13" t="s">
        <v>56</v>
      </c>
      <c r="D30" s="14" t="s">
        <v>23</v>
      </c>
      <c r="E30" s="21" t="s">
        <v>264</v>
      </c>
      <c r="F30" s="14" t="s">
        <v>50</v>
      </c>
      <c r="G30" s="14" t="s">
        <v>39</v>
      </c>
      <c r="H30" s="15">
        <v>9.35</v>
      </c>
      <c r="I30" s="18">
        <v>5.5</v>
      </c>
      <c r="J30" s="18">
        <v>1.1000000000000001</v>
      </c>
      <c r="K30" s="14" t="s">
        <v>47</v>
      </c>
      <c r="L30" s="16">
        <v>1</v>
      </c>
      <c r="M30" s="14" t="s">
        <v>42</v>
      </c>
      <c r="N30" s="17" t="s">
        <v>43</v>
      </c>
      <c r="O30" s="53" t="s">
        <v>235</v>
      </c>
    </row>
    <row r="31" spans="1:15" s="4" customFormat="1" x14ac:dyDescent="0.3">
      <c r="A31" s="10">
        <v>29</v>
      </c>
      <c r="B31" s="16">
        <v>33</v>
      </c>
      <c r="C31" s="13" t="s">
        <v>120</v>
      </c>
      <c r="D31" s="14" t="s">
        <v>202</v>
      </c>
      <c r="E31" s="21" t="s">
        <v>265</v>
      </c>
      <c r="F31" s="14" t="s">
        <v>122</v>
      </c>
      <c r="G31" s="14">
        <v>8</v>
      </c>
      <c r="H31" s="15">
        <v>9</v>
      </c>
      <c r="I31" s="15">
        <v>10.15</v>
      </c>
      <c r="J31" s="15">
        <v>0.8</v>
      </c>
      <c r="K31" s="14" t="s">
        <v>123</v>
      </c>
      <c r="L31" s="16">
        <v>2</v>
      </c>
      <c r="M31" s="14" t="s">
        <v>118</v>
      </c>
      <c r="N31" s="22" t="s">
        <v>42</v>
      </c>
      <c r="O31" s="53" t="s">
        <v>236</v>
      </c>
    </row>
    <row r="32" spans="1:15" s="4" customFormat="1" x14ac:dyDescent="0.3">
      <c r="A32" s="10">
        <v>30</v>
      </c>
      <c r="B32" s="16">
        <v>34</v>
      </c>
      <c r="C32" s="13" t="s">
        <v>56</v>
      </c>
      <c r="D32" s="14" t="s">
        <v>203</v>
      </c>
      <c r="E32" s="22" t="s">
        <v>266</v>
      </c>
      <c r="F32" s="14" t="s">
        <v>50</v>
      </c>
      <c r="G32" s="16">
        <v>8</v>
      </c>
      <c r="H32" s="15">
        <v>9</v>
      </c>
      <c r="I32" s="15">
        <v>18.28</v>
      </c>
      <c r="J32" s="15">
        <v>0.8</v>
      </c>
      <c r="K32" s="14" t="s">
        <v>46</v>
      </c>
      <c r="L32" s="16">
        <v>6</v>
      </c>
      <c r="M32" s="14" t="s">
        <v>42</v>
      </c>
      <c r="N32" s="17" t="s">
        <v>42</v>
      </c>
      <c r="O32" s="53" t="s">
        <v>237</v>
      </c>
    </row>
    <row r="33" spans="1:15" s="4" customFormat="1" x14ac:dyDescent="0.3">
      <c r="A33" s="10">
        <v>31</v>
      </c>
      <c r="B33" s="16">
        <v>47</v>
      </c>
      <c r="C33" s="13" t="s">
        <v>56</v>
      </c>
      <c r="D33" s="14" t="s">
        <v>36</v>
      </c>
      <c r="E33" s="21" t="s">
        <v>267</v>
      </c>
      <c r="F33" s="14" t="s">
        <v>50</v>
      </c>
      <c r="G33" s="14" t="s">
        <v>39</v>
      </c>
      <c r="H33" s="18">
        <v>3.5</v>
      </c>
      <c r="I33" s="15">
        <v>12.85</v>
      </c>
      <c r="J33" s="18">
        <v>0.8</v>
      </c>
      <c r="K33" s="14" t="s">
        <v>48</v>
      </c>
      <c r="L33" s="16">
        <v>1</v>
      </c>
      <c r="M33" s="14" t="s">
        <v>45</v>
      </c>
      <c r="N33" s="17" t="s">
        <v>43</v>
      </c>
      <c r="O33" s="53" t="s">
        <v>238</v>
      </c>
    </row>
    <row r="34" spans="1:15" s="4" customFormat="1" x14ac:dyDescent="0.3">
      <c r="A34" s="10">
        <v>32</v>
      </c>
      <c r="B34" s="16">
        <v>48</v>
      </c>
      <c r="C34" s="13" t="s">
        <v>56</v>
      </c>
      <c r="D34" s="14" t="s">
        <v>37</v>
      </c>
      <c r="E34" s="21" t="s">
        <v>268</v>
      </c>
      <c r="F34" s="14" t="s">
        <v>50</v>
      </c>
      <c r="G34" s="14" t="s">
        <v>39</v>
      </c>
      <c r="H34" s="15">
        <v>9.35</v>
      </c>
      <c r="I34" s="15">
        <v>5.5</v>
      </c>
      <c r="J34" s="18">
        <v>0.8</v>
      </c>
      <c r="K34" s="14" t="s">
        <v>47</v>
      </c>
      <c r="L34" s="16">
        <v>1</v>
      </c>
      <c r="M34" s="14" t="s">
        <v>42</v>
      </c>
      <c r="N34" s="17" t="s">
        <v>43</v>
      </c>
      <c r="O34" s="53" t="s">
        <v>239</v>
      </c>
    </row>
    <row r="35" spans="1:15" s="4" customFormat="1" x14ac:dyDescent="0.3">
      <c r="A35" s="10">
        <v>33</v>
      </c>
      <c r="B35" s="10">
        <v>14</v>
      </c>
      <c r="C35" s="2" t="s">
        <v>57</v>
      </c>
      <c r="D35" s="8" t="s">
        <v>18</v>
      </c>
      <c r="E35" s="8" t="s">
        <v>245</v>
      </c>
      <c r="F35" s="8" t="s">
        <v>49</v>
      </c>
      <c r="G35" s="8" t="s">
        <v>6</v>
      </c>
      <c r="H35" s="9">
        <v>12</v>
      </c>
      <c r="I35" s="9">
        <v>10.050000000000001</v>
      </c>
      <c r="J35" s="9">
        <v>0.7</v>
      </c>
      <c r="K35" s="8" t="s">
        <v>38</v>
      </c>
      <c r="L35" s="10">
        <v>1</v>
      </c>
      <c r="M35" s="8" t="s">
        <v>42</v>
      </c>
      <c r="N35" s="12" t="s">
        <v>42</v>
      </c>
      <c r="O35" s="11" t="s">
        <v>61</v>
      </c>
    </row>
    <row r="36" spans="1:15" s="4" customFormat="1" x14ac:dyDescent="0.3">
      <c r="A36" s="10">
        <v>34</v>
      </c>
      <c r="B36" s="10">
        <v>15</v>
      </c>
      <c r="C36" s="2" t="s">
        <v>57</v>
      </c>
      <c r="D36" s="8" t="s">
        <v>19</v>
      </c>
      <c r="E36" s="8" t="s">
        <v>246</v>
      </c>
      <c r="F36" s="8" t="s">
        <v>49</v>
      </c>
      <c r="G36" s="8" t="s">
        <v>6</v>
      </c>
      <c r="H36" s="9">
        <v>8</v>
      </c>
      <c r="I36" s="9">
        <v>10</v>
      </c>
      <c r="J36" s="9">
        <v>0.8</v>
      </c>
      <c r="K36" s="8" t="s">
        <v>38</v>
      </c>
      <c r="L36" s="10">
        <v>1</v>
      </c>
      <c r="M36" s="8" t="s">
        <v>42</v>
      </c>
      <c r="N36" s="12" t="s">
        <v>42</v>
      </c>
      <c r="O36" s="11" t="s">
        <v>59</v>
      </c>
    </row>
    <row r="37" spans="1:15" s="4" customFormat="1" ht="27" x14ac:dyDescent="0.3">
      <c r="A37" s="10">
        <v>35</v>
      </c>
      <c r="B37" s="55">
        <v>28</v>
      </c>
      <c r="C37" s="2" t="s">
        <v>114</v>
      </c>
      <c r="D37" s="19" t="s">
        <v>124</v>
      </c>
      <c r="E37" s="24" t="s">
        <v>258</v>
      </c>
      <c r="F37" s="19" t="s">
        <v>117</v>
      </c>
      <c r="G37" s="19" t="s">
        <v>115</v>
      </c>
      <c r="H37" s="23">
        <v>11.85</v>
      </c>
      <c r="I37" s="23">
        <v>3.8</v>
      </c>
      <c r="J37" s="23">
        <v>0.8</v>
      </c>
      <c r="K37" s="19" t="s">
        <v>116</v>
      </c>
      <c r="L37" s="55">
        <v>8</v>
      </c>
      <c r="M37" s="19" t="s">
        <v>201</v>
      </c>
      <c r="N37" s="2" t="s">
        <v>242</v>
      </c>
      <c r="O37" s="63" t="s">
        <v>233</v>
      </c>
    </row>
    <row r="38" spans="1:15" s="4" customFormat="1" x14ac:dyDescent="0.3">
      <c r="A38" s="10">
        <v>36</v>
      </c>
      <c r="B38" s="10">
        <v>29</v>
      </c>
      <c r="C38" s="2" t="s">
        <v>57</v>
      </c>
      <c r="D38" s="8" t="s">
        <v>119</v>
      </c>
      <c r="E38" s="8" t="s">
        <v>247</v>
      </c>
      <c r="F38" s="8" t="s">
        <v>49</v>
      </c>
      <c r="G38" s="8" t="s">
        <v>6</v>
      </c>
      <c r="H38" s="9">
        <v>7</v>
      </c>
      <c r="I38" s="9">
        <v>4</v>
      </c>
      <c r="J38" s="9">
        <v>0.8</v>
      </c>
      <c r="K38" s="8" t="s">
        <v>38</v>
      </c>
      <c r="L38" s="10">
        <v>1</v>
      </c>
      <c r="M38" s="8" t="s">
        <v>42</v>
      </c>
      <c r="N38" s="12" t="s">
        <v>43</v>
      </c>
      <c r="O38" s="11" t="s">
        <v>61</v>
      </c>
    </row>
    <row r="39" spans="1:15" s="4" customFormat="1" x14ac:dyDescent="0.3">
      <c r="A39" s="10">
        <v>37</v>
      </c>
      <c r="B39" s="10">
        <v>35</v>
      </c>
      <c r="C39" s="2" t="s">
        <v>57</v>
      </c>
      <c r="D39" s="8" t="s">
        <v>24</v>
      </c>
      <c r="E39" s="8" t="s">
        <v>248</v>
      </c>
      <c r="F39" s="8" t="s">
        <v>49</v>
      </c>
      <c r="G39" s="8" t="s">
        <v>6</v>
      </c>
      <c r="H39" s="9">
        <v>8.6999999999999993</v>
      </c>
      <c r="I39" s="9">
        <v>3.5</v>
      </c>
      <c r="J39" s="9">
        <v>0.8</v>
      </c>
      <c r="K39" s="8" t="s">
        <v>38</v>
      </c>
      <c r="L39" s="10">
        <v>6</v>
      </c>
      <c r="M39" s="8" t="s">
        <v>43</v>
      </c>
      <c r="N39" s="12" t="s">
        <v>43</v>
      </c>
      <c r="O39" s="11" t="s">
        <v>136</v>
      </c>
    </row>
    <row r="40" spans="1:15" s="4" customFormat="1" x14ac:dyDescent="0.3">
      <c r="A40" s="10">
        <v>38</v>
      </c>
      <c r="B40" s="10">
        <v>36</v>
      </c>
      <c r="C40" s="2" t="s">
        <v>57</v>
      </c>
      <c r="D40" s="8" t="s">
        <v>25</v>
      </c>
      <c r="E40" s="8" t="s">
        <v>249</v>
      </c>
      <c r="F40" s="8" t="s">
        <v>49</v>
      </c>
      <c r="G40" s="8" t="s">
        <v>6</v>
      </c>
      <c r="H40" s="9">
        <v>6.86</v>
      </c>
      <c r="I40" s="9">
        <v>3.5</v>
      </c>
      <c r="J40" s="9">
        <v>0.8</v>
      </c>
      <c r="K40" s="8" t="s">
        <v>38</v>
      </c>
      <c r="L40" s="10">
        <v>8</v>
      </c>
      <c r="M40" s="8" t="s">
        <v>42</v>
      </c>
      <c r="N40" s="12" t="s">
        <v>43</v>
      </c>
      <c r="O40" s="11" t="s">
        <v>59</v>
      </c>
    </row>
    <row r="41" spans="1:15" s="4" customFormat="1" x14ac:dyDescent="0.3">
      <c r="A41" s="10">
        <v>39</v>
      </c>
      <c r="B41" s="10">
        <v>37</v>
      </c>
      <c r="C41" s="2" t="s">
        <v>57</v>
      </c>
      <c r="D41" s="8" t="s">
        <v>26</v>
      </c>
      <c r="E41" s="8" t="s">
        <v>250</v>
      </c>
      <c r="F41" s="8" t="s">
        <v>49</v>
      </c>
      <c r="G41" s="8" t="s">
        <v>6</v>
      </c>
      <c r="H41" s="9">
        <v>4.0599999999999996</v>
      </c>
      <c r="I41" s="9">
        <v>3.5</v>
      </c>
      <c r="J41" s="9">
        <v>0.8</v>
      </c>
      <c r="K41" s="8" t="s">
        <v>38</v>
      </c>
      <c r="L41" s="10">
        <v>6</v>
      </c>
      <c r="M41" s="8" t="s">
        <v>42</v>
      </c>
      <c r="N41" s="12" t="s">
        <v>43</v>
      </c>
      <c r="O41" s="11" t="s">
        <v>137</v>
      </c>
    </row>
    <row r="42" spans="1:15" s="4" customFormat="1" x14ac:dyDescent="0.3">
      <c r="A42" s="10">
        <v>40</v>
      </c>
      <c r="B42" s="10">
        <v>38</v>
      </c>
      <c r="C42" s="2" t="s">
        <v>57</v>
      </c>
      <c r="D42" s="8" t="s">
        <v>27</v>
      </c>
      <c r="E42" s="8" t="s">
        <v>251</v>
      </c>
      <c r="F42" s="8" t="s">
        <v>49</v>
      </c>
      <c r="G42" s="8" t="s">
        <v>6</v>
      </c>
      <c r="H42" s="9">
        <v>2.2999999999999998</v>
      </c>
      <c r="I42" s="9">
        <v>3.5</v>
      </c>
      <c r="J42" s="9">
        <v>0.8</v>
      </c>
      <c r="K42" s="8" t="s">
        <v>38</v>
      </c>
      <c r="L42" s="10">
        <v>1</v>
      </c>
      <c r="M42" s="8" t="s">
        <v>43</v>
      </c>
      <c r="N42" s="12" t="s">
        <v>43</v>
      </c>
      <c r="O42" s="11" t="s">
        <v>59</v>
      </c>
    </row>
    <row r="43" spans="1:15" s="4" customFormat="1" x14ac:dyDescent="0.3">
      <c r="A43" s="10">
        <v>41</v>
      </c>
      <c r="B43" s="10">
        <v>39</v>
      </c>
      <c r="C43" s="2" t="s">
        <v>57</v>
      </c>
      <c r="D43" s="8" t="s">
        <v>28</v>
      </c>
      <c r="E43" s="8" t="s">
        <v>252</v>
      </c>
      <c r="F43" s="8" t="s">
        <v>49</v>
      </c>
      <c r="G43" s="8" t="s">
        <v>6</v>
      </c>
      <c r="H43" s="9">
        <v>5.46</v>
      </c>
      <c r="I43" s="9">
        <v>3.5</v>
      </c>
      <c r="J43" s="9">
        <v>0.8</v>
      </c>
      <c r="K43" s="8" t="s">
        <v>38</v>
      </c>
      <c r="L43" s="10">
        <v>5</v>
      </c>
      <c r="M43" s="8" t="s">
        <v>43</v>
      </c>
      <c r="N43" s="12" t="s">
        <v>43</v>
      </c>
      <c r="O43" s="11" t="s">
        <v>136</v>
      </c>
    </row>
    <row r="44" spans="1:15" s="4" customFormat="1" x14ac:dyDescent="0.3">
      <c r="A44" s="10">
        <v>42</v>
      </c>
      <c r="B44" s="10">
        <v>40</v>
      </c>
      <c r="C44" s="2" t="s">
        <v>57</v>
      </c>
      <c r="D44" s="8" t="s">
        <v>29</v>
      </c>
      <c r="E44" s="8" t="s">
        <v>253</v>
      </c>
      <c r="F44" s="8" t="s">
        <v>49</v>
      </c>
      <c r="G44" s="8" t="s">
        <v>40</v>
      </c>
      <c r="H44" s="9">
        <v>8</v>
      </c>
      <c r="I44" s="9">
        <v>5.8</v>
      </c>
      <c r="J44" s="9">
        <v>0.8</v>
      </c>
      <c r="K44" s="8" t="s">
        <v>38</v>
      </c>
      <c r="L44" s="10">
        <v>1</v>
      </c>
      <c r="M44" s="8" t="s">
        <v>43</v>
      </c>
      <c r="N44" s="12" t="s">
        <v>43</v>
      </c>
      <c r="O44" s="11" t="s">
        <v>59</v>
      </c>
    </row>
    <row r="45" spans="1:15" s="4" customFormat="1" x14ac:dyDescent="0.3">
      <c r="A45" s="10">
        <v>43</v>
      </c>
      <c r="B45" s="10">
        <v>41</v>
      </c>
      <c r="C45" s="2" t="s">
        <v>57</v>
      </c>
      <c r="D45" s="8" t="s">
        <v>30</v>
      </c>
      <c r="E45" s="8" t="s">
        <v>254</v>
      </c>
      <c r="F45" s="8" t="s">
        <v>49</v>
      </c>
      <c r="G45" s="8" t="s">
        <v>40</v>
      </c>
      <c r="H45" s="9">
        <v>4.5</v>
      </c>
      <c r="I45" s="9">
        <v>5.8</v>
      </c>
      <c r="J45" s="9">
        <v>0.8</v>
      </c>
      <c r="K45" s="8" t="s">
        <v>38</v>
      </c>
      <c r="L45" s="10">
        <v>2</v>
      </c>
      <c r="M45" s="8" t="s">
        <v>43</v>
      </c>
      <c r="N45" s="12" t="s">
        <v>43</v>
      </c>
      <c r="O45" s="11" t="s">
        <v>136</v>
      </c>
    </row>
    <row r="46" spans="1:15" s="4" customFormat="1" x14ac:dyDescent="0.3">
      <c r="A46" s="10">
        <v>44</v>
      </c>
      <c r="B46" s="10">
        <v>42</v>
      </c>
      <c r="C46" s="2" t="s">
        <v>57</v>
      </c>
      <c r="D46" s="8" t="s">
        <v>31</v>
      </c>
      <c r="E46" s="8" t="s">
        <v>259</v>
      </c>
      <c r="F46" s="8" t="s">
        <v>49</v>
      </c>
      <c r="G46" s="8" t="s">
        <v>40</v>
      </c>
      <c r="H46" s="9">
        <v>7</v>
      </c>
      <c r="I46" s="9">
        <v>5.8</v>
      </c>
      <c r="J46" s="9">
        <v>0.8</v>
      </c>
      <c r="K46" s="8" t="s">
        <v>38</v>
      </c>
      <c r="L46" s="10">
        <v>1</v>
      </c>
      <c r="M46" s="8" t="s">
        <v>43</v>
      </c>
      <c r="N46" s="12" t="s">
        <v>43</v>
      </c>
      <c r="O46" s="57" t="s">
        <v>240</v>
      </c>
    </row>
    <row r="47" spans="1:15" s="4" customFormat="1" x14ac:dyDescent="0.3">
      <c r="A47" s="10">
        <v>45</v>
      </c>
      <c r="B47" s="10">
        <v>43</v>
      </c>
      <c r="C47" s="2" t="s">
        <v>57</v>
      </c>
      <c r="D47" s="8" t="s">
        <v>32</v>
      </c>
      <c r="E47" s="8" t="s">
        <v>255</v>
      </c>
      <c r="F47" s="8" t="s">
        <v>49</v>
      </c>
      <c r="G47" s="8" t="s">
        <v>40</v>
      </c>
      <c r="H47" s="9">
        <v>2.8</v>
      </c>
      <c r="I47" s="9">
        <v>5.8</v>
      </c>
      <c r="J47" s="9">
        <v>0.8</v>
      </c>
      <c r="K47" s="8" t="s">
        <v>38</v>
      </c>
      <c r="L47" s="10">
        <v>1</v>
      </c>
      <c r="M47" s="8" t="s">
        <v>43</v>
      </c>
      <c r="N47" s="12" t="s">
        <v>43</v>
      </c>
      <c r="O47" s="11" t="s">
        <v>59</v>
      </c>
    </row>
    <row r="48" spans="1:15" s="4" customFormat="1" x14ac:dyDescent="0.3">
      <c r="A48" s="10">
        <v>46</v>
      </c>
      <c r="B48" s="10">
        <v>44</v>
      </c>
      <c r="C48" s="2" t="s">
        <v>57</v>
      </c>
      <c r="D48" s="8" t="s">
        <v>33</v>
      </c>
      <c r="E48" s="8" t="s">
        <v>256</v>
      </c>
      <c r="F48" s="8" t="s">
        <v>49</v>
      </c>
      <c r="G48" s="8" t="s">
        <v>40</v>
      </c>
      <c r="H48" s="9">
        <v>10.5</v>
      </c>
      <c r="I48" s="9">
        <v>5.8</v>
      </c>
      <c r="J48" s="9">
        <v>0.8</v>
      </c>
      <c r="K48" s="8" t="s">
        <v>38</v>
      </c>
      <c r="L48" s="10">
        <v>1</v>
      </c>
      <c r="M48" s="8" t="s">
        <v>43</v>
      </c>
      <c r="N48" s="12" t="s">
        <v>43</v>
      </c>
      <c r="O48" s="11" t="s">
        <v>136</v>
      </c>
    </row>
    <row r="49" spans="1:16" s="4" customFormat="1" x14ac:dyDescent="0.3">
      <c r="A49" s="10">
        <v>47</v>
      </c>
      <c r="B49" s="10">
        <v>45</v>
      </c>
      <c r="C49" s="2" t="s">
        <v>57</v>
      </c>
      <c r="D49" s="8" t="s">
        <v>34</v>
      </c>
      <c r="E49" s="8" t="s">
        <v>260</v>
      </c>
      <c r="F49" s="8" t="s">
        <v>49</v>
      </c>
      <c r="G49" s="8" t="s">
        <v>40</v>
      </c>
      <c r="H49" s="9">
        <v>11</v>
      </c>
      <c r="I49" s="9">
        <v>5.8</v>
      </c>
      <c r="J49" s="9">
        <v>0.8</v>
      </c>
      <c r="K49" s="8" t="s">
        <v>38</v>
      </c>
      <c r="L49" s="10">
        <v>2</v>
      </c>
      <c r="M49" s="8" t="s">
        <v>43</v>
      </c>
      <c r="N49" s="12" t="s">
        <v>43</v>
      </c>
      <c r="O49" s="57" t="s">
        <v>241</v>
      </c>
    </row>
    <row r="50" spans="1:16" s="4" customFormat="1" x14ac:dyDescent="0.3">
      <c r="A50" s="10">
        <v>48</v>
      </c>
      <c r="B50" s="10">
        <v>46</v>
      </c>
      <c r="C50" s="2" t="s">
        <v>57</v>
      </c>
      <c r="D50" s="8" t="s">
        <v>35</v>
      </c>
      <c r="E50" s="8" t="s">
        <v>257</v>
      </c>
      <c r="F50" s="8" t="s">
        <v>49</v>
      </c>
      <c r="G50" s="8" t="s">
        <v>6</v>
      </c>
      <c r="H50" s="9">
        <v>3.5</v>
      </c>
      <c r="I50" s="9">
        <v>3.5</v>
      </c>
      <c r="J50" s="9">
        <v>0.8</v>
      </c>
      <c r="K50" s="8" t="s">
        <v>38</v>
      </c>
      <c r="L50" s="10">
        <v>2</v>
      </c>
      <c r="M50" s="8" t="s">
        <v>42</v>
      </c>
      <c r="N50" s="12" t="s">
        <v>43</v>
      </c>
      <c r="O50" s="11" t="s">
        <v>136</v>
      </c>
    </row>
    <row r="51" spans="1:16" s="4" customFormat="1" x14ac:dyDescent="0.3">
      <c r="A51" s="10">
        <v>49</v>
      </c>
      <c r="B51" s="10">
        <v>49</v>
      </c>
      <c r="C51" s="2" t="s">
        <v>204</v>
      </c>
      <c r="D51" s="8" t="s">
        <v>206</v>
      </c>
      <c r="E51" s="8" t="s">
        <v>214</v>
      </c>
      <c r="F51" s="8" t="s">
        <v>212</v>
      </c>
      <c r="G51" s="8" t="s">
        <v>208</v>
      </c>
      <c r="H51" s="9">
        <v>3.71</v>
      </c>
      <c r="I51" s="9">
        <v>0.62</v>
      </c>
      <c r="J51" s="9">
        <v>3.9</v>
      </c>
      <c r="K51" s="8" t="s">
        <v>38</v>
      </c>
      <c r="L51" s="10">
        <v>4</v>
      </c>
      <c r="M51" s="8" t="s">
        <v>209</v>
      </c>
      <c r="N51" s="12" t="s">
        <v>210</v>
      </c>
      <c r="O51" s="11" t="s">
        <v>243</v>
      </c>
    </row>
    <row r="52" spans="1:16" s="4" customFormat="1" x14ac:dyDescent="0.3">
      <c r="A52" s="10">
        <v>50</v>
      </c>
      <c r="B52" s="10">
        <v>50</v>
      </c>
      <c r="C52" s="2" t="s">
        <v>205</v>
      </c>
      <c r="D52" s="8" t="s">
        <v>207</v>
      </c>
      <c r="E52" s="8" t="s">
        <v>215</v>
      </c>
      <c r="F52" s="8" t="s">
        <v>212</v>
      </c>
      <c r="G52" s="8" t="s">
        <v>213</v>
      </c>
      <c r="H52" s="9">
        <v>3.71</v>
      </c>
      <c r="I52" s="9">
        <v>0.62</v>
      </c>
      <c r="J52" s="9">
        <v>3.9</v>
      </c>
      <c r="K52" s="8" t="s">
        <v>38</v>
      </c>
      <c r="L52" s="10">
        <v>4</v>
      </c>
      <c r="M52" s="8" t="s">
        <v>210</v>
      </c>
      <c r="N52" s="12" t="s">
        <v>211</v>
      </c>
      <c r="O52" s="11" t="s">
        <v>244</v>
      </c>
    </row>
    <row r="53" spans="1:16" x14ac:dyDescent="0.3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4"/>
      <c r="P53" s="4"/>
    </row>
    <row r="54" spans="1:16" x14ac:dyDescent="0.3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4"/>
      <c r="P54" s="4"/>
    </row>
    <row r="55" spans="1:16" x14ac:dyDescent="0.3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4"/>
      <c r="P55" s="4"/>
    </row>
    <row r="56" spans="1:16" x14ac:dyDescent="0.3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4"/>
      <c r="P56" s="4"/>
    </row>
    <row r="57" spans="1:16" x14ac:dyDescent="0.3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4"/>
      <c r="P57" s="4"/>
    </row>
    <row r="58" spans="1:16" x14ac:dyDescent="0.3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4"/>
      <c r="P58" s="4"/>
    </row>
    <row r="59" spans="1:16" x14ac:dyDescent="0.3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4"/>
      <c r="P59" s="4"/>
    </row>
    <row r="60" spans="1:16" x14ac:dyDescent="0.3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4"/>
      <c r="P60" s="4"/>
    </row>
    <row r="61" spans="1:16" x14ac:dyDescent="0.3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4"/>
      <c r="P61" s="4"/>
    </row>
    <row r="62" spans="1:16" x14ac:dyDescent="0.3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4"/>
      <c r="P62" s="4"/>
    </row>
    <row r="63" spans="1:16" x14ac:dyDescent="0.3">
      <c r="C63" s="4"/>
      <c r="D63" s="4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3:16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3:16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3:16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3:16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3:16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3:16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3:16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3:16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3:16" x14ac:dyDescent="0.3">
      <c r="E73" s="4"/>
    </row>
  </sheetData>
  <autoFilter ref="C2:O52"/>
  <mergeCells count="1">
    <mergeCell ref="C1:N1"/>
  </mergeCells>
  <phoneticPr fontId="1" type="noConversion"/>
  <conditionalFormatting sqref="D53:D1048576 D2">
    <cfRule type="duplicateValues" dxfId="56" priority="23"/>
  </conditionalFormatting>
  <conditionalFormatting sqref="E4">
    <cfRule type="duplicateValues" dxfId="55" priority="19"/>
  </conditionalFormatting>
  <conditionalFormatting sqref="E12">
    <cfRule type="duplicateValues" dxfId="54" priority="118"/>
  </conditionalFormatting>
  <conditionalFormatting sqref="E5">
    <cfRule type="duplicateValues" dxfId="53" priority="17"/>
  </conditionalFormatting>
  <conditionalFormatting sqref="E6">
    <cfRule type="duplicateValues" dxfId="52" priority="16"/>
  </conditionalFormatting>
  <conditionalFormatting sqref="E7">
    <cfRule type="duplicateValues" dxfId="51" priority="15"/>
  </conditionalFormatting>
  <conditionalFormatting sqref="E8">
    <cfRule type="duplicateValues" dxfId="50" priority="14"/>
  </conditionalFormatting>
  <conditionalFormatting sqref="E9">
    <cfRule type="duplicateValues" dxfId="49" priority="13"/>
  </conditionalFormatting>
  <conditionalFormatting sqref="E10">
    <cfRule type="duplicateValues" dxfId="48" priority="12"/>
  </conditionalFormatting>
  <conditionalFormatting sqref="E11">
    <cfRule type="duplicateValues" dxfId="47" priority="11"/>
  </conditionalFormatting>
  <conditionalFormatting sqref="E13">
    <cfRule type="duplicateValues" dxfId="46" priority="10"/>
  </conditionalFormatting>
  <conditionalFormatting sqref="E14">
    <cfRule type="duplicateValues" dxfId="45" priority="9"/>
  </conditionalFormatting>
  <conditionalFormatting sqref="E15">
    <cfRule type="duplicateValues" dxfId="44" priority="8"/>
  </conditionalFormatting>
  <conditionalFormatting sqref="E16">
    <cfRule type="duplicateValues" dxfId="43" priority="7"/>
  </conditionalFormatting>
  <conditionalFormatting sqref="E17">
    <cfRule type="duplicateValues" dxfId="42" priority="6"/>
  </conditionalFormatting>
  <conditionalFormatting sqref="E18">
    <cfRule type="duplicateValues" dxfId="41" priority="5"/>
  </conditionalFormatting>
  <conditionalFormatting sqref="E19">
    <cfRule type="duplicateValues" dxfId="40" priority="4"/>
  </conditionalFormatting>
  <conditionalFormatting sqref="E20">
    <cfRule type="duplicateValues" dxfId="39" priority="3"/>
  </conditionalFormatting>
  <conditionalFormatting sqref="E31">
    <cfRule type="duplicateValues" dxfId="38" priority="2"/>
  </conditionalFormatting>
  <conditionalFormatting sqref="E32">
    <cfRule type="duplicateValues" dxfId="37" priority="1"/>
  </conditionalFormatting>
  <conditionalFormatting sqref="E33:E52 E21:E30 E3">
    <cfRule type="duplicateValues" dxfId="36" priority="20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workbookViewId="0">
      <selection activeCell="E26" sqref="E26"/>
    </sheetView>
  </sheetViews>
  <sheetFormatPr defaultColWidth="8.875" defaultRowHeight="16.5" x14ac:dyDescent="0.3"/>
  <cols>
    <col min="1" max="1" width="7" style="3" customWidth="1"/>
    <col min="2" max="2" width="13.5" style="3" bestFit="1" customWidth="1"/>
    <col min="3" max="3" width="27.375" style="3" bestFit="1" customWidth="1"/>
    <col min="4" max="4" width="13.5" style="3" customWidth="1"/>
    <col min="5" max="5" width="18.75" style="3" customWidth="1"/>
    <col min="6" max="6" width="11.875" style="3" bestFit="1" customWidth="1"/>
    <col min="7" max="7" width="12.625" style="3" customWidth="1"/>
    <col min="8" max="8" width="11.375" style="3" bestFit="1" customWidth="1"/>
    <col min="9" max="10" width="11.25" style="3" bestFit="1" customWidth="1"/>
    <col min="11" max="11" width="25.625" style="3" customWidth="1"/>
    <col min="12" max="12" width="10" style="3" customWidth="1"/>
    <col min="13" max="13" width="13.625" style="3" customWidth="1"/>
    <col min="14" max="14" width="26.875" style="3" customWidth="1"/>
    <col min="15" max="15" width="25.75" style="3" customWidth="1"/>
    <col min="16" max="16384" width="8.875" style="3"/>
  </cols>
  <sheetData>
    <row r="1" spans="1:15" ht="29.25" x14ac:dyDescent="0.3">
      <c r="C1" s="69" t="s">
        <v>220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5" x14ac:dyDescent="0.3">
      <c r="A2" s="1" t="s">
        <v>62</v>
      </c>
      <c r="B2" s="1" t="s">
        <v>58</v>
      </c>
      <c r="C2" s="1" t="s">
        <v>10</v>
      </c>
      <c r="D2" s="1" t="s">
        <v>13</v>
      </c>
      <c r="E2" s="6" t="s">
        <v>4</v>
      </c>
      <c r="F2" s="1" t="s">
        <v>11</v>
      </c>
      <c r="G2" s="6" t="s">
        <v>0</v>
      </c>
      <c r="H2" s="7" t="s">
        <v>7</v>
      </c>
      <c r="I2" s="6" t="s">
        <v>8</v>
      </c>
      <c r="J2" s="6" t="s">
        <v>9</v>
      </c>
      <c r="K2" s="6" t="s">
        <v>5</v>
      </c>
      <c r="L2" s="6" t="s">
        <v>1</v>
      </c>
      <c r="M2" s="1" t="s">
        <v>2</v>
      </c>
      <c r="N2" s="1" t="s">
        <v>3</v>
      </c>
      <c r="O2" s="6" t="s">
        <v>12</v>
      </c>
    </row>
    <row r="3" spans="1:15" s="4" customFormat="1" x14ac:dyDescent="0.3">
      <c r="A3" s="10">
        <v>1</v>
      </c>
      <c r="B3" s="16">
        <v>10</v>
      </c>
      <c r="C3" s="13" t="s">
        <v>56</v>
      </c>
      <c r="D3" s="14" t="s">
        <v>15</v>
      </c>
      <c r="E3" s="14" t="s">
        <v>126</v>
      </c>
      <c r="F3" s="14" t="s">
        <v>50</v>
      </c>
      <c r="G3" s="14" t="s">
        <v>39</v>
      </c>
      <c r="H3" s="15">
        <v>8.6999999999999993</v>
      </c>
      <c r="I3" s="15">
        <v>8.85</v>
      </c>
      <c r="J3" s="15">
        <v>0.8</v>
      </c>
      <c r="K3" s="14" t="s">
        <v>46</v>
      </c>
      <c r="L3" s="16">
        <v>2</v>
      </c>
      <c r="M3" s="14" t="s">
        <v>42</v>
      </c>
      <c r="N3" s="17" t="s">
        <v>42</v>
      </c>
      <c r="O3" s="54" t="s">
        <v>59</v>
      </c>
    </row>
    <row r="4" spans="1:15" s="4" customFormat="1" x14ac:dyDescent="0.3">
      <c r="A4" s="10">
        <v>2</v>
      </c>
      <c r="B4" s="16">
        <v>11</v>
      </c>
      <c r="C4" s="13" t="s">
        <v>56</v>
      </c>
      <c r="D4" s="14" t="s">
        <v>14</v>
      </c>
      <c r="E4" s="14" t="s">
        <v>51</v>
      </c>
      <c r="F4" s="14" t="s">
        <v>50</v>
      </c>
      <c r="G4" s="16">
        <v>8</v>
      </c>
      <c r="H4" s="15">
        <v>9</v>
      </c>
      <c r="I4" s="15">
        <v>20.28</v>
      </c>
      <c r="J4" s="15">
        <v>0.8</v>
      </c>
      <c r="K4" s="14" t="s">
        <v>46</v>
      </c>
      <c r="L4" s="16">
        <v>2</v>
      </c>
      <c r="M4" s="14" t="s">
        <v>42</v>
      </c>
      <c r="N4" s="17" t="s">
        <v>42</v>
      </c>
      <c r="O4" s="54" t="s">
        <v>59</v>
      </c>
    </row>
    <row r="5" spans="1:15" s="4" customFormat="1" x14ac:dyDescent="0.3">
      <c r="A5" s="10">
        <v>3</v>
      </c>
      <c r="B5" s="16">
        <v>12</v>
      </c>
      <c r="C5" s="13" t="s">
        <v>56</v>
      </c>
      <c r="D5" s="14" t="s">
        <v>16</v>
      </c>
      <c r="E5" s="14" t="s">
        <v>52</v>
      </c>
      <c r="F5" s="14" t="s">
        <v>50</v>
      </c>
      <c r="G5" s="14" t="s">
        <v>39</v>
      </c>
      <c r="H5" s="15">
        <v>6.86</v>
      </c>
      <c r="I5" s="15">
        <v>8.85</v>
      </c>
      <c r="J5" s="15">
        <v>0.8</v>
      </c>
      <c r="K5" s="14" t="s">
        <v>46</v>
      </c>
      <c r="L5" s="16">
        <v>2</v>
      </c>
      <c r="M5" s="14" t="s">
        <v>42</v>
      </c>
      <c r="N5" s="17" t="s">
        <v>42</v>
      </c>
      <c r="O5" s="54" t="s">
        <v>59</v>
      </c>
    </row>
    <row r="6" spans="1:15" s="4" customFormat="1" x14ac:dyDescent="0.3">
      <c r="A6" s="10">
        <v>4</v>
      </c>
      <c r="B6" s="16">
        <v>13</v>
      </c>
      <c r="C6" s="13" t="s">
        <v>56</v>
      </c>
      <c r="D6" s="14" t="s">
        <v>17</v>
      </c>
      <c r="E6" s="14" t="s">
        <v>53</v>
      </c>
      <c r="F6" s="14" t="s">
        <v>50</v>
      </c>
      <c r="G6" s="14" t="s">
        <v>39</v>
      </c>
      <c r="H6" s="15">
        <v>4.0599999999999996</v>
      </c>
      <c r="I6" s="15">
        <v>8.85</v>
      </c>
      <c r="J6" s="15">
        <v>0.8</v>
      </c>
      <c r="K6" s="14" t="s">
        <v>46</v>
      </c>
      <c r="L6" s="16">
        <v>2</v>
      </c>
      <c r="M6" s="14" t="s">
        <v>42</v>
      </c>
      <c r="N6" s="17" t="s">
        <v>42</v>
      </c>
      <c r="O6" s="54" t="s">
        <v>59</v>
      </c>
    </row>
    <row r="7" spans="1:15" x14ac:dyDescent="0.3">
      <c r="A7" s="10">
        <v>5</v>
      </c>
      <c r="B7" s="16">
        <v>16</v>
      </c>
      <c r="C7" s="13" t="s">
        <v>56</v>
      </c>
      <c r="D7" s="14" t="s">
        <v>20</v>
      </c>
      <c r="E7" s="14" t="s">
        <v>54</v>
      </c>
      <c r="F7" s="14" t="s">
        <v>50</v>
      </c>
      <c r="G7" s="14" t="s">
        <v>39</v>
      </c>
      <c r="H7" s="15">
        <v>5.46</v>
      </c>
      <c r="I7" s="15">
        <v>8.85</v>
      </c>
      <c r="J7" s="15">
        <v>0.8</v>
      </c>
      <c r="K7" s="14" t="s">
        <v>46</v>
      </c>
      <c r="L7" s="16">
        <v>2</v>
      </c>
      <c r="M7" s="14" t="s">
        <v>42</v>
      </c>
      <c r="N7" s="17" t="s">
        <v>42</v>
      </c>
      <c r="O7" s="54" t="s">
        <v>59</v>
      </c>
    </row>
    <row r="8" spans="1:15" x14ac:dyDescent="0.3">
      <c r="A8" s="10">
        <v>6</v>
      </c>
      <c r="B8" s="16">
        <v>17</v>
      </c>
      <c r="C8" s="13" t="s">
        <v>56</v>
      </c>
      <c r="D8" s="14" t="s">
        <v>82</v>
      </c>
      <c r="E8" s="21" t="s">
        <v>261</v>
      </c>
      <c r="F8" s="14" t="s">
        <v>50</v>
      </c>
      <c r="G8" s="14" t="s">
        <v>80</v>
      </c>
      <c r="H8" s="15">
        <v>15.58</v>
      </c>
      <c r="I8" s="18">
        <v>5.8</v>
      </c>
      <c r="J8" s="18">
        <v>0.7</v>
      </c>
      <c r="K8" s="14" t="s">
        <v>46</v>
      </c>
      <c r="L8" s="16">
        <v>1</v>
      </c>
      <c r="M8" s="14" t="s">
        <v>42</v>
      </c>
      <c r="N8" s="17" t="s">
        <v>42</v>
      </c>
      <c r="O8" s="53" t="s">
        <v>222</v>
      </c>
    </row>
    <row r="9" spans="1:15" x14ac:dyDescent="0.3">
      <c r="A9" s="10">
        <v>7</v>
      </c>
      <c r="B9" s="16">
        <v>18</v>
      </c>
      <c r="C9" s="13" t="s">
        <v>56</v>
      </c>
      <c r="D9" s="14" t="s">
        <v>83</v>
      </c>
      <c r="E9" s="21" t="s">
        <v>262</v>
      </c>
      <c r="F9" s="14" t="s">
        <v>50</v>
      </c>
      <c r="G9" s="14" t="s">
        <v>80</v>
      </c>
      <c r="H9" s="15">
        <v>20.79</v>
      </c>
      <c r="I9" s="18">
        <v>5.8</v>
      </c>
      <c r="J9" s="18">
        <v>0.7</v>
      </c>
      <c r="K9" s="14" t="s">
        <v>46</v>
      </c>
      <c r="L9" s="16">
        <v>1</v>
      </c>
      <c r="M9" s="14" t="s">
        <v>42</v>
      </c>
      <c r="N9" s="17" t="s">
        <v>42</v>
      </c>
      <c r="O9" s="53" t="s">
        <v>223</v>
      </c>
    </row>
    <row r="10" spans="1:15" s="4" customFormat="1" x14ac:dyDescent="0.3">
      <c r="A10" s="10">
        <v>8</v>
      </c>
      <c r="B10" s="16">
        <v>30</v>
      </c>
      <c r="C10" s="13" t="s">
        <v>56</v>
      </c>
      <c r="D10" s="14" t="s">
        <v>21</v>
      </c>
      <c r="E10" s="14" t="s">
        <v>55</v>
      </c>
      <c r="F10" s="14" t="s">
        <v>50</v>
      </c>
      <c r="G10" s="14" t="s">
        <v>39</v>
      </c>
      <c r="H10" s="15">
        <v>12</v>
      </c>
      <c r="I10" s="15">
        <v>11</v>
      </c>
      <c r="J10" s="15">
        <v>0.8</v>
      </c>
      <c r="K10" s="14" t="s">
        <v>46</v>
      </c>
      <c r="L10" s="16">
        <v>1</v>
      </c>
      <c r="M10" s="14" t="s">
        <v>42</v>
      </c>
      <c r="N10" s="17" t="s">
        <v>42</v>
      </c>
      <c r="O10" s="54" t="s">
        <v>59</v>
      </c>
    </row>
    <row r="11" spans="1:15" x14ac:dyDescent="0.3">
      <c r="A11" s="10">
        <v>9</v>
      </c>
      <c r="B11" s="16">
        <v>31</v>
      </c>
      <c r="C11" s="13" t="s">
        <v>56</v>
      </c>
      <c r="D11" s="14" t="s">
        <v>22</v>
      </c>
      <c r="E11" s="21" t="s">
        <v>263</v>
      </c>
      <c r="F11" s="14" t="s">
        <v>50</v>
      </c>
      <c r="G11" s="14" t="s">
        <v>39</v>
      </c>
      <c r="H11" s="18">
        <v>3.5</v>
      </c>
      <c r="I11" s="15">
        <v>12.85</v>
      </c>
      <c r="J11" s="18">
        <v>1.1000000000000001</v>
      </c>
      <c r="K11" s="14" t="s">
        <v>46</v>
      </c>
      <c r="L11" s="16">
        <v>1</v>
      </c>
      <c r="M11" s="14" t="s">
        <v>42</v>
      </c>
      <c r="N11" s="17" t="s">
        <v>42</v>
      </c>
      <c r="O11" s="53" t="s">
        <v>234</v>
      </c>
    </row>
    <row r="12" spans="1:15" x14ac:dyDescent="0.3">
      <c r="A12" s="10">
        <v>10</v>
      </c>
      <c r="B12" s="16">
        <v>32</v>
      </c>
      <c r="C12" s="13" t="s">
        <v>56</v>
      </c>
      <c r="D12" s="14" t="s">
        <v>23</v>
      </c>
      <c r="E12" s="21" t="s">
        <v>264</v>
      </c>
      <c r="F12" s="14" t="s">
        <v>50</v>
      </c>
      <c r="G12" s="14" t="s">
        <v>39</v>
      </c>
      <c r="H12" s="15">
        <v>9.35</v>
      </c>
      <c r="I12" s="18">
        <v>5.5</v>
      </c>
      <c r="J12" s="18">
        <v>1.1000000000000001</v>
      </c>
      <c r="K12" s="14" t="s">
        <v>46</v>
      </c>
      <c r="L12" s="16">
        <v>1</v>
      </c>
      <c r="M12" s="14" t="s">
        <v>42</v>
      </c>
      <c r="N12" s="17" t="s">
        <v>42</v>
      </c>
      <c r="O12" s="53" t="s">
        <v>235</v>
      </c>
    </row>
    <row r="13" spans="1:15" s="4" customFormat="1" x14ac:dyDescent="0.3">
      <c r="A13" s="10">
        <v>11</v>
      </c>
      <c r="B13" s="16">
        <v>33</v>
      </c>
      <c r="C13" s="13" t="s">
        <v>56</v>
      </c>
      <c r="D13" s="14" t="s">
        <v>202</v>
      </c>
      <c r="E13" s="21" t="s">
        <v>265</v>
      </c>
      <c r="F13" s="14" t="s">
        <v>50</v>
      </c>
      <c r="G13" s="14">
        <v>8</v>
      </c>
      <c r="H13" s="15">
        <v>9</v>
      </c>
      <c r="I13" s="15">
        <v>10.15</v>
      </c>
      <c r="J13" s="15">
        <v>0.8</v>
      </c>
      <c r="K13" s="14" t="s">
        <v>46</v>
      </c>
      <c r="L13" s="16">
        <v>2</v>
      </c>
      <c r="M13" s="14" t="s">
        <v>42</v>
      </c>
      <c r="N13" s="22" t="s">
        <v>42</v>
      </c>
      <c r="O13" s="53" t="s">
        <v>236</v>
      </c>
    </row>
    <row r="14" spans="1:15" s="4" customFormat="1" x14ac:dyDescent="0.3">
      <c r="A14" s="10">
        <v>12</v>
      </c>
      <c r="B14" s="16">
        <v>34</v>
      </c>
      <c r="C14" s="13" t="s">
        <v>56</v>
      </c>
      <c r="D14" s="14" t="s">
        <v>203</v>
      </c>
      <c r="E14" s="22" t="s">
        <v>266</v>
      </c>
      <c r="F14" s="14" t="s">
        <v>50</v>
      </c>
      <c r="G14" s="16">
        <v>8</v>
      </c>
      <c r="H14" s="15">
        <v>9</v>
      </c>
      <c r="I14" s="15">
        <v>18.28</v>
      </c>
      <c r="J14" s="15">
        <v>0.8</v>
      </c>
      <c r="K14" s="14" t="s">
        <v>46</v>
      </c>
      <c r="L14" s="16">
        <v>6</v>
      </c>
      <c r="M14" s="14" t="s">
        <v>42</v>
      </c>
      <c r="N14" s="17" t="s">
        <v>42</v>
      </c>
      <c r="O14" s="53" t="s">
        <v>237</v>
      </c>
    </row>
    <row r="15" spans="1:15" s="4" customFormat="1" x14ac:dyDescent="0.3">
      <c r="A15" s="10">
        <v>13</v>
      </c>
      <c r="B15" s="16">
        <v>47</v>
      </c>
      <c r="C15" s="13" t="s">
        <v>56</v>
      </c>
      <c r="D15" s="14" t="s">
        <v>36</v>
      </c>
      <c r="E15" s="21" t="s">
        <v>267</v>
      </c>
      <c r="F15" s="14" t="s">
        <v>50</v>
      </c>
      <c r="G15" s="14" t="s">
        <v>39</v>
      </c>
      <c r="H15" s="18">
        <v>3.5</v>
      </c>
      <c r="I15" s="15">
        <v>12.85</v>
      </c>
      <c r="J15" s="18">
        <v>0.8</v>
      </c>
      <c r="K15" s="14" t="s">
        <v>46</v>
      </c>
      <c r="L15" s="16">
        <v>1</v>
      </c>
      <c r="M15" s="14" t="s">
        <v>42</v>
      </c>
      <c r="N15" s="17" t="s">
        <v>42</v>
      </c>
      <c r="O15" s="53" t="s">
        <v>238</v>
      </c>
    </row>
    <row r="16" spans="1:15" s="4" customFormat="1" x14ac:dyDescent="0.3">
      <c r="A16" s="10">
        <v>14</v>
      </c>
      <c r="B16" s="16">
        <v>48</v>
      </c>
      <c r="C16" s="13" t="s">
        <v>56</v>
      </c>
      <c r="D16" s="14" t="s">
        <v>37</v>
      </c>
      <c r="E16" s="21" t="s">
        <v>268</v>
      </c>
      <c r="F16" s="14" t="s">
        <v>50</v>
      </c>
      <c r="G16" s="14" t="s">
        <v>39</v>
      </c>
      <c r="H16" s="15">
        <v>9.35</v>
      </c>
      <c r="I16" s="15">
        <v>5.5</v>
      </c>
      <c r="J16" s="18">
        <v>0.8</v>
      </c>
      <c r="K16" s="14" t="s">
        <v>46</v>
      </c>
      <c r="L16" s="16">
        <v>1</v>
      </c>
      <c r="M16" s="14" t="s">
        <v>42</v>
      </c>
      <c r="N16" s="17" t="s">
        <v>42</v>
      </c>
      <c r="O16" s="53" t="s">
        <v>239</v>
      </c>
    </row>
    <row r="17" spans="1:16" x14ac:dyDescent="0.3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4"/>
      <c r="P17" s="4"/>
    </row>
    <row r="18" spans="1:16" x14ac:dyDescent="0.3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4"/>
      <c r="P18" s="4"/>
    </row>
    <row r="19" spans="1:16" x14ac:dyDescent="0.3">
      <c r="C19" s="4"/>
      <c r="D19" s="4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3">
      <c r="A20" s="77" t="s">
        <v>221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9"/>
      <c r="O20" s="4"/>
      <c r="P20" s="4"/>
    </row>
    <row r="21" spans="1:16" x14ac:dyDescent="0.3">
      <c r="A21" s="80" t="s">
        <v>138</v>
      </c>
      <c r="B21" s="81" t="s">
        <v>139</v>
      </c>
      <c r="C21" s="81" t="s">
        <v>140</v>
      </c>
      <c r="D21" s="80" t="s">
        <v>141</v>
      </c>
      <c r="E21" s="80"/>
      <c r="F21" s="80" t="s">
        <v>142</v>
      </c>
      <c r="G21" s="80"/>
      <c r="H21" s="80" t="s">
        <v>143</v>
      </c>
      <c r="I21" s="80"/>
      <c r="J21" s="81" t="s">
        <v>144</v>
      </c>
      <c r="K21" s="82" t="s">
        <v>145</v>
      </c>
      <c r="L21" s="70" t="s">
        <v>146</v>
      </c>
      <c r="M21" s="71"/>
      <c r="N21" s="74" t="s">
        <v>147</v>
      </c>
      <c r="O21" s="4"/>
      <c r="P21" s="4"/>
    </row>
    <row r="22" spans="1:16" x14ac:dyDescent="0.3">
      <c r="A22" s="80"/>
      <c r="B22" s="81"/>
      <c r="C22" s="81"/>
      <c r="D22" s="25" t="s">
        <v>148</v>
      </c>
      <c r="E22" s="64" t="s">
        <v>149</v>
      </c>
      <c r="F22" s="65" t="s">
        <v>150</v>
      </c>
      <c r="G22" s="64" t="s">
        <v>151</v>
      </c>
      <c r="H22" s="65" t="s">
        <v>150</v>
      </c>
      <c r="I22" s="64" t="s">
        <v>151</v>
      </c>
      <c r="J22" s="81"/>
      <c r="K22" s="82"/>
      <c r="L22" s="72"/>
      <c r="M22" s="73"/>
      <c r="N22" s="74"/>
      <c r="O22" s="4"/>
      <c r="P22" s="4"/>
    </row>
    <row r="23" spans="1:16" x14ac:dyDescent="0.3">
      <c r="A23" s="26">
        <v>10</v>
      </c>
      <c r="B23" s="27" t="s">
        <v>152</v>
      </c>
      <c r="C23" s="28" t="s">
        <v>153</v>
      </c>
      <c r="D23" s="29" t="s">
        <v>154</v>
      </c>
      <c r="E23" s="30" t="s">
        <v>155</v>
      </c>
      <c r="F23" s="30" t="s">
        <v>155</v>
      </c>
      <c r="G23" s="30" t="s">
        <v>155</v>
      </c>
      <c r="H23" s="30" t="s">
        <v>155</v>
      </c>
      <c r="I23" s="30" t="s">
        <v>155</v>
      </c>
      <c r="J23" s="31">
        <v>30000</v>
      </c>
      <c r="K23" s="30">
        <v>1</v>
      </c>
      <c r="L23" s="32">
        <v>0.94</v>
      </c>
      <c r="M23" s="75">
        <f>L23*L24</f>
        <v>0.8929999999999999</v>
      </c>
      <c r="N23" s="33" t="s">
        <v>156</v>
      </c>
      <c r="O23" s="4"/>
      <c r="P23" s="4"/>
    </row>
    <row r="24" spans="1:16" x14ac:dyDescent="0.3">
      <c r="A24" s="30">
        <v>20</v>
      </c>
      <c r="B24" s="34" t="s">
        <v>157</v>
      </c>
      <c r="C24" s="35" t="s">
        <v>157</v>
      </c>
      <c r="D24" s="29" t="s">
        <v>154</v>
      </c>
      <c r="E24" s="30" t="s">
        <v>155</v>
      </c>
      <c r="F24" s="30" t="s">
        <v>155</v>
      </c>
      <c r="G24" s="30" t="s">
        <v>155</v>
      </c>
      <c r="H24" s="30" t="s">
        <v>155</v>
      </c>
      <c r="I24" s="30" t="s">
        <v>155</v>
      </c>
      <c r="J24" s="31">
        <v>20000</v>
      </c>
      <c r="K24" s="36">
        <v>2</v>
      </c>
      <c r="L24" s="32">
        <v>0.95</v>
      </c>
      <c r="M24" s="76"/>
      <c r="N24" s="30"/>
      <c r="O24" s="4"/>
      <c r="P24" s="4"/>
    </row>
    <row r="25" spans="1:16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3">
      <c r="E29" s="4"/>
    </row>
  </sheetData>
  <autoFilter ref="C2:O16"/>
  <mergeCells count="13">
    <mergeCell ref="L21:M22"/>
    <mergeCell ref="N21:N22"/>
    <mergeCell ref="M23:M24"/>
    <mergeCell ref="C1:N1"/>
    <mergeCell ref="A20:N20"/>
    <mergeCell ref="A21:A22"/>
    <mergeCell ref="B21:B22"/>
    <mergeCell ref="C21:C22"/>
    <mergeCell ref="D21:E21"/>
    <mergeCell ref="F21:G21"/>
    <mergeCell ref="H21:I21"/>
    <mergeCell ref="J21:J22"/>
    <mergeCell ref="K21:K22"/>
  </mergeCells>
  <phoneticPr fontId="1" type="noConversion"/>
  <conditionalFormatting sqref="E13">
    <cfRule type="duplicateValues" dxfId="35" priority="3"/>
  </conditionalFormatting>
  <conditionalFormatting sqref="E14">
    <cfRule type="duplicateValues" dxfId="34" priority="2"/>
  </conditionalFormatting>
  <conditionalFormatting sqref="D17:D19 D2 D25:D1048576">
    <cfRule type="duplicateValues" dxfId="33" priority="233"/>
  </conditionalFormatting>
  <conditionalFormatting sqref="E15:E16 E3:E12">
    <cfRule type="duplicateValues" dxfId="32" priority="236"/>
  </conditionalFormatting>
  <conditionalFormatting sqref="C20:C24">
    <cfRule type="duplicateValues" dxfId="3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opLeftCell="A7" workbookViewId="0">
      <selection activeCell="F32" sqref="F32"/>
    </sheetView>
  </sheetViews>
  <sheetFormatPr defaultColWidth="8.875" defaultRowHeight="16.5" x14ac:dyDescent="0.3"/>
  <cols>
    <col min="1" max="1" width="7" style="3" customWidth="1"/>
    <col min="2" max="2" width="13.5" style="3" bestFit="1" customWidth="1"/>
    <col min="3" max="3" width="27.375" style="3" bestFit="1" customWidth="1"/>
    <col min="4" max="4" width="13.5" style="3" customWidth="1"/>
    <col min="5" max="5" width="18.75" style="3" customWidth="1"/>
    <col min="6" max="6" width="11.875" style="3" bestFit="1" customWidth="1"/>
    <col min="7" max="7" width="12.625" style="3" customWidth="1"/>
    <col min="8" max="8" width="11.375" style="3" bestFit="1" customWidth="1"/>
    <col min="9" max="10" width="11.25" style="3" bestFit="1" customWidth="1"/>
    <col min="11" max="11" width="25.625" style="3" customWidth="1"/>
    <col min="12" max="12" width="11" style="3" customWidth="1"/>
    <col min="13" max="13" width="13.625" style="3" customWidth="1"/>
    <col min="14" max="14" width="22.125" style="3" customWidth="1"/>
    <col min="15" max="15" width="25.75" style="3" customWidth="1"/>
    <col min="16" max="16384" width="8.875" style="3"/>
  </cols>
  <sheetData>
    <row r="1" spans="1:15" ht="29.25" x14ac:dyDescent="0.3">
      <c r="C1" s="69" t="s">
        <v>220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5" x14ac:dyDescent="0.3">
      <c r="A2" s="1" t="s">
        <v>62</v>
      </c>
      <c r="B2" s="1" t="s">
        <v>58</v>
      </c>
      <c r="C2" s="1" t="s">
        <v>10</v>
      </c>
      <c r="D2" s="1" t="s">
        <v>13</v>
      </c>
      <c r="E2" s="6" t="s">
        <v>4</v>
      </c>
      <c r="F2" s="1" t="s">
        <v>11</v>
      </c>
      <c r="G2" s="6" t="s">
        <v>0</v>
      </c>
      <c r="H2" s="7" t="s">
        <v>7</v>
      </c>
      <c r="I2" s="6" t="s">
        <v>8</v>
      </c>
      <c r="J2" s="6" t="s">
        <v>9</v>
      </c>
      <c r="K2" s="6" t="s">
        <v>5</v>
      </c>
      <c r="L2" s="6" t="s">
        <v>1</v>
      </c>
      <c r="M2" s="1" t="s">
        <v>2</v>
      </c>
      <c r="N2" s="1" t="s">
        <v>3</v>
      </c>
      <c r="O2" s="6" t="s">
        <v>12</v>
      </c>
    </row>
    <row r="3" spans="1:15" s="4" customFormat="1" x14ac:dyDescent="0.3">
      <c r="A3" s="10">
        <v>1</v>
      </c>
      <c r="B3" s="10">
        <v>14</v>
      </c>
      <c r="C3" s="2" t="s">
        <v>57</v>
      </c>
      <c r="D3" s="8" t="s">
        <v>18</v>
      </c>
      <c r="E3" s="8" t="s">
        <v>245</v>
      </c>
      <c r="F3" s="8" t="s">
        <v>49</v>
      </c>
      <c r="G3" s="8" t="s">
        <v>6</v>
      </c>
      <c r="H3" s="9">
        <v>12</v>
      </c>
      <c r="I3" s="9">
        <v>10.050000000000001</v>
      </c>
      <c r="J3" s="9">
        <v>0.7</v>
      </c>
      <c r="K3" s="8" t="s">
        <v>38</v>
      </c>
      <c r="L3" s="10">
        <v>1</v>
      </c>
      <c r="M3" s="8" t="s">
        <v>42</v>
      </c>
      <c r="N3" s="12" t="s">
        <v>42</v>
      </c>
      <c r="O3" s="11" t="s">
        <v>59</v>
      </c>
    </row>
    <row r="4" spans="1:15" s="4" customFormat="1" x14ac:dyDescent="0.3">
      <c r="A4" s="10">
        <v>2</v>
      </c>
      <c r="B4" s="10">
        <v>15</v>
      </c>
      <c r="C4" s="2" t="s">
        <v>57</v>
      </c>
      <c r="D4" s="8" t="s">
        <v>19</v>
      </c>
      <c r="E4" s="8" t="s">
        <v>246</v>
      </c>
      <c r="F4" s="8" t="s">
        <v>49</v>
      </c>
      <c r="G4" s="8" t="s">
        <v>6</v>
      </c>
      <c r="H4" s="9">
        <v>8</v>
      </c>
      <c r="I4" s="9">
        <v>10</v>
      </c>
      <c r="J4" s="9">
        <v>0.8</v>
      </c>
      <c r="K4" s="8" t="s">
        <v>38</v>
      </c>
      <c r="L4" s="10">
        <v>1</v>
      </c>
      <c r="M4" s="8" t="s">
        <v>42</v>
      </c>
      <c r="N4" s="12" t="s">
        <v>42</v>
      </c>
      <c r="O4" s="11" t="s">
        <v>59</v>
      </c>
    </row>
    <row r="5" spans="1:15" s="4" customFormat="1" x14ac:dyDescent="0.3">
      <c r="A5" s="10">
        <v>3</v>
      </c>
      <c r="B5" s="10">
        <v>29</v>
      </c>
      <c r="C5" s="2" t="s">
        <v>57</v>
      </c>
      <c r="D5" s="8" t="s">
        <v>119</v>
      </c>
      <c r="E5" s="8" t="s">
        <v>247</v>
      </c>
      <c r="F5" s="8" t="s">
        <v>49</v>
      </c>
      <c r="G5" s="8" t="s">
        <v>6</v>
      </c>
      <c r="H5" s="9">
        <v>7</v>
      </c>
      <c r="I5" s="9">
        <v>4</v>
      </c>
      <c r="J5" s="9">
        <v>0.8</v>
      </c>
      <c r="K5" s="8" t="s">
        <v>38</v>
      </c>
      <c r="L5" s="10">
        <v>1</v>
      </c>
      <c r="M5" s="8" t="s">
        <v>42</v>
      </c>
      <c r="N5" s="12" t="s">
        <v>42</v>
      </c>
      <c r="O5" s="11" t="s">
        <v>59</v>
      </c>
    </row>
    <row r="6" spans="1:15" s="4" customFormat="1" x14ac:dyDescent="0.3">
      <c r="A6" s="10">
        <v>4</v>
      </c>
      <c r="B6" s="10">
        <v>35</v>
      </c>
      <c r="C6" s="2" t="s">
        <v>57</v>
      </c>
      <c r="D6" s="8" t="s">
        <v>24</v>
      </c>
      <c r="E6" s="8" t="s">
        <v>248</v>
      </c>
      <c r="F6" s="8" t="s">
        <v>49</v>
      </c>
      <c r="G6" s="8" t="s">
        <v>6</v>
      </c>
      <c r="H6" s="9">
        <v>8.6999999999999993</v>
      </c>
      <c r="I6" s="9">
        <v>3.5</v>
      </c>
      <c r="J6" s="9">
        <v>0.8</v>
      </c>
      <c r="K6" s="8" t="s">
        <v>38</v>
      </c>
      <c r="L6" s="10">
        <v>6</v>
      </c>
      <c r="M6" s="8" t="s">
        <v>42</v>
      </c>
      <c r="N6" s="12" t="s">
        <v>42</v>
      </c>
      <c r="O6" s="11" t="s">
        <v>59</v>
      </c>
    </row>
    <row r="7" spans="1:15" s="4" customFormat="1" x14ac:dyDescent="0.3">
      <c r="A7" s="10">
        <v>5</v>
      </c>
      <c r="B7" s="10">
        <v>36</v>
      </c>
      <c r="C7" s="2" t="s">
        <v>57</v>
      </c>
      <c r="D7" s="8" t="s">
        <v>25</v>
      </c>
      <c r="E7" s="8" t="s">
        <v>249</v>
      </c>
      <c r="F7" s="8" t="s">
        <v>49</v>
      </c>
      <c r="G7" s="8" t="s">
        <v>6</v>
      </c>
      <c r="H7" s="9">
        <v>6.86</v>
      </c>
      <c r="I7" s="9">
        <v>3.5</v>
      </c>
      <c r="J7" s="9">
        <v>0.8</v>
      </c>
      <c r="K7" s="8" t="s">
        <v>38</v>
      </c>
      <c r="L7" s="10">
        <v>8</v>
      </c>
      <c r="M7" s="8" t="s">
        <v>42</v>
      </c>
      <c r="N7" s="12" t="s">
        <v>42</v>
      </c>
      <c r="O7" s="11" t="s">
        <v>59</v>
      </c>
    </row>
    <row r="8" spans="1:15" s="4" customFormat="1" x14ac:dyDescent="0.3">
      <c r="A8" s="10">
        <v>6</v>
      </c>
      <c r="B8" s="10">
        <v>37</v>
      </c>
      <c r="C8" s="2" t="s">
        <v>57</v>
      </c>
      <c r="D8" s="8" t="s">
        <v>26</v>
      </c>
      <c r="E8" s="8" t="s">
        <v>250</v>
      </c>
      <c r="F8" s="8" t="s">
        <v>49</v>
      </c>
      <c r="G8" s="8" t="s">
        <v>6</v>
      </c>
      <c r="H8" s="9">
        <v>4.0599999999999996</v>
      </c>
      <c r="I8" s="9">
        <v>3.5</v>
      </c>
      <c r="J8" s="9">
        <v>0.8</v>
      </c>
      <c r="K8" s="8" t="s">
        <v>38</v>
      </c>
      <c r="L8" s="10">
        <v>6</v>
      </c>
      <c r="M8" s="8" t="s">
        <v>42</v>
      </c>
      <c r="N8" s="12" t="s">
        <v>42</v>
      </c>
      <c r="O8" s="11" t="s">
        <v>59</v>
      </c>
    </row>
    <row r="9" spans="1:15" s="4" customFormat="1" x14ac:dyDescent="0.3">
      <c r="A9" s="10">
        <v>7</v>
      </c>
      <c r="B9" s="10">
        <v>38</v>
      </c>
      <c r="C9" s="2" t="s">
        <v>57</v>
      </c>
      <c r="D9" s="8" t="s">
        <v>27</v>
      </c>
      <c r="E9" s="8" t="s">
        <v>251</v>
      </c>
      <c r="F9" s="8" t="s">
        <v>49</v>
      </c>
      <c r="G9" s="8" t="s">
        <v>6</v>
      </c>
      <c r="H9" s="9">
        <v>2.2999999999999998</v>
      </c>
      <c r="I9" s="9">
        <v>3.5</v>
      </c>
      <c r="J9" s="9">
        <v>0.8</v>
      </c>
      <c r="K9" s="8" t="s">
        <v>38</v>
      </c>
      <c r="L9" s="10">
        <v>1</v>
      </c>
      <c r="M9" s="8" t="s">
        <v>42</v>
      </c>
      <c r="N9" s="12" t="s">
        <v>42</v>
      </c>
      <c r="O9" s="11" t="s">
        <v>59</v>
      </c>
    </row>
    <row r="10" spans="1:15" s="4" customFormat="1" x14ac:dyDescent="0.3">
      <c r="A10" s="10">
        <v>8</v>
      </c>
      <c r="B10" s="10">
        <v>39</v>
      </c>
      <c r="C10" s="2" t="s">
        <v>57</v>
      </c>
      <c r="D10" s="8" t="s">
        <v>28</v>
      </c>
      <c r="E10" s="8" t="s">
        <v>252</v>
      </c>
      <c r="F10" s="8" t="s">
        <v>49</v>
      </c>
      <c r="G10" s="8" t="s">
        <v>6</v>
      </c>
      <c r="H10" s="9">
        <v>5.46</v>
      </c>
      <c r="I10" s="9">
        <v>3.5</v>
      </c>
      <c r="J10" s="9">
        <v>0.8</v>
      </c>
      <c r="K10" s="8" t="s">
        <v>38</v>
      </c>
      <c r="L10" s="10">
        <v>5</v>
      </c>
      <c r="M10" s="8" t="s">
        <v>42</v>
      </c>
      <c r="N10" s="12" t="s">
        <v>42</v>
      </c>
      <c r="O10" s="11" t="s">
        <v>59</v>
      </c>
    </row>
    <row r="11" spans="1:15" s="4" customFormat="1" x14ac:dyDescent="0.3">
      <c r="A11" s="10">
        <v>9</v>
      </c>
      <c r="B11" s="10">
        <v>40</v>
      </c>
      <c r="C11" s="2" t="s">
        <v>57</v>
      </c>
      <c r="D11" s="8" t="s">
        <v>29</v>
      </c>
      <c r="E11" s="8" t="s">
        <v>253</v>
      </c>
      <c r="F11" s="8" t="s">
        <v>49</v>
      </c>
      <c r="G11" s="8" t="s">
        <v>40</v>
      </c>
      <c r="H11" s="9">
        <v>8</v>
      </c>
      <c r="I11" s="9">
        <v>5.8</v>
      </c>
      <c r="J11" s="9">
        <v>0.8</v>
      </c>
      <c r="K11" s="8" t="s">
        <v>38</v>
      </c>
      <c r="L11" s="10">
        <v>1</v>
      </c>
      <c r="M11" s="8" t="s">
        <v>42</v>
      </c>
      <c r="N11" s="12" t="s">
        <v>42</v>
      </c>
      <c r="O11" s="11" t="s">
        <v>59</v>
      </c>
    </row>
    <row r="12" spans="1:15" s="4" customFormat="1" x14ac:dyDescent="0.3">
      <c r="A12" s="10">
        <v>10</v>
      </c>
      <c r="B12" s="10">
        <v>41</v>
      </c>
      <c r="C12" s="2" t="s">
        <v>57</v>
      </c>
      <c r="D12" s="8" t="s">
        <v>30</v>
      </c>
      <c r="E12" s="8" t="s">
        <v>254</v>
      </c>
      <c r="F12" s="8" t="s">
        <v>49</v>
      </c>
      <c r="G12" s="8" t="s">
        <v>40</v>
      </c>
      <c r="H12" s="9">
        <v>4.5</v>
      </c>
      <c r="I12" s="9">
        <v>5.8</v>
      </c>
      <c r="J12" s="9">
        <v>0.8</v>
      </c>
      <c r="K12" s="8" t="s">
        <v>38</v>
      </c>
      <c r="L12" s="10">
        <v>2</v>
      </c>
      <c r="M12" s="8" t="s">
        <v>42</v>
      </c>
      <c r="N12" s="12" t="s">
        <v>42</v>
      </c>
      <c r="O12" s="11" t="s">
        <v>59</v>
      </c>
    </row>
    <row r="13" spans="1:15" s="4" customFormat="1" x14ac:dyDescent="0.3">
      <c r="A13" s="10">
        <v>11</v>
      </c>
      <c r="B13" s="10">
        <v>42</v>
      </c>
      <c r="C13" s="2" t="s">
        <v>57</v>
      </c>
      <c r="D13" s="8" t="s">
        <v>31</v>
      </c>
      <c r="E13" s="8" t="s">
        <v>259</v>
      </c>
      <c r="F13" s="8" t="s">
        <v>49</v>
      </c>
      <c r="G13" s="8" t="s">
        <v>40</v>
      </c>
      <c r="H13" s="9">
        <v>7</v>
      </c>
      <c r="I13" s="9">
        <v>5.8</v>
      </c>
      <c r="J13" s="9">
        <v>0.8</v>
      </c>
      <c r="K13" s="8" t="s">
        <v>38</v>
      </c>
      <c r="L13" s="10">
        <v>1</v>
      </c>
      <c r="M13" s="8" t="s">
        <v>42</v>
      </c>
      <c r="N13" s="12" t="s">
        <v>42</v>
      </c>
      <c r="O13" s="57" t="s">
        <v>240</v>
      </c>
    </row>
    <row r="14" spans="1:15" s="4" customFormat="1" x14ac:dyDescent="0.3">
      <c r="A14" s="10">
        <v>12</v>
      </c>
      <c r="B14" s="10">
        <v>43</v>
      </c>
      <c r="C14" s="2" t="s">
        <v>57</v>
      </c>
      <c r="D14" s="8" t="s">
        <v>32</v>
      </c>
      <c r="E14" s="8" t="s">
        <v>255</v>
      </c>
      <c r="F14" s="8" t="s">
        <v>49</v>
      </c>
      <c r="G14" s="8" t="s">
        <v>40</v>
      </c>
      <c r="H14" s="9">
        <v>2.8</v>
      </c>
      <c r="I14" s="9">
        <v>5.8</v>
      </c>
      <c r="J14" s="9">
        <v>0.8</v>
      </c>
      <c r="K14" s="8" t="s">
        <v>38</v>
      </c>
      <c r="L14" s="10">
        <v>1</v>
      </c>
      <c r="M14" s="8" t="s">
        <v>42</v>
      </c>
      <c r="N14" s="12" t="s">
        <v>42</v>
      </c>
      <c r="O14" s="11" t="s">
        <v>59</v>
      </c>
    </row>
    <row r="15" spans="1:15" s="4" customFormat="1" x14ac:dyDescent="0.3">
      <c r="A15" s="10">
        <v>13</v>
      </c>
      <c r="B15" s="10">
        <v>44</v>
      </c>
      <c r="C15" s="2" t="s">
        <v>57</v>
      </c>
      <c r="D15" s="8" t="s">
        <v>33</v>
      </c>
      <c r="E15" s="8" t="s">
        <v>256</v>
      </c>
      <c r="F15" s="8" t="s">
        <v>49</v>
      </c>
      <c r="G15" s="8" t="s">
        <v>40</v>
      </c>
      <c r="H15" s="9">
        <v>10.5</v>
      </c>
      <c r="I15" s="9">
        <v>5.8</v>
      </c>
      <c r="J15" s="9">
        <v>0.8</v>
      </c>
      <c r="K15" s="8" t="s">
        <v>38</v>
      </c>
      <c r="L15" s="10">
        <v>1</v>
      </c>
      <c r="M15" s="8" t="s">
        <v>42</v>
      </c>
      <c r="N15" s="12" t="s">
        <v>42</v>
      </c>
      <c r="O15" s="11" t="s">
        <v>59</v>
      </c>
    </row>
    <row r="16" spans="1:15" s="4" customFormat="1" x14ac:dyDescent="0.3">
      <c r="A16" s="10">
        <v>14</v>
      </c>
      <c r="B16" s="10">
        <v>45</v>
      </c>
      <c r="C16" s="2" t="s">
        <v>57</v>
      </c>
      <c r="D16" s="8" t="s">
        <v>34</v>
      </c>
      <c r="E16" s="8" t="s">
        <v>260</v>
      </c>
      <c r="F16" s="8" t="s">
        <v>49</v>
      </c>
      <c r="G16" s="8" t="s">
        <v>40</v>
      </c>
      <c r="H16" s="9">
        <v>11</v>
      </c>
      <c r="I16" s="9">
        <v>5.8</v>
      </c>
      <c r="J16" s="9">
        <v>0.8</v>
      </c>
      <c r="K16" s="8" t="s">
        <v>38</v>
      </c>
      <c r="L16" s="10">
        <v>2</v>
      </c>
      <c r="M16" s="8" t="s">
        <v>42</v>
      </c>
      <c r="N16" s="12" t="s">
        <v>42</v>
      </c>
      <c r="O16" s="57" t="s">
        <v>241</v>
      </c>
    </row>
    <row r="17" spans="1:16" s="4" customFormat="1" x14ac:dyDescent="0.3">
      <c r="A17" s="10">
        <v>15</v>
      </c>
      <c r="B17" s="10">
        <v>46</v>
      </c>
      <c r="C17" s="2" t="s">
        <v>57</v>
      </c>
      <c r="D17" s="8" t="s">
        <v>35</v>
      </c>
      <c r="E17" s="8" t="s">
        <v>257</v>
      </c>
      <c r="F17" s="8" t="s">
        <v>49</v>
      </c>
      <c r="G17" s="8" t="s">
        <v>6</v>
      </c>
      <c r="H17" s="9">
        <v>3.5</v>
      </c>
      <c r="I17" s="9">
        <v>3.5</v>
      </c>
      <c r="J17" s="9">
        <v>0.8</v>
      </c>
      <c r="K17" s="8" t="s">
        <v>38</v>
      </c>
      <c r="L17" s="10">
        <v>2</v>
      </c>
      <c r="M17" s="8" t="s">
        <v>42</v>
      </c>
      <c r="N17" s="12" t="s">
        <v>42</v>
      </c>
      <c r="O17" s="11" t="s">
        <v>59</v>
      </c>
    </row>
    <row r="18" spans="1:16" x14ac:dyDescent="0.3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4"/>
      <c r="P18" s="4"/>
    </row>
    <row r="19" spans="1:16" x14ac:dyDescent="0.3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4"/>
      <c r="P19" s="4"/>
    </row>
    <row r="20" spans="1:16" x14ac:dyDescent="0.3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4"/>
      <c r="P20" s="4"/>
    </row>
    <row r="21" spans="1:16" x14ac:dyDescent="0.3">
      <c r="A21" s="93" t="s">
        <v>221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5"/>
      <c r="O21" s="4"/>
      <c r="P21" s="4"/>
    </row>
    <row r="22" spans="1:16" x14ac:dyDescent="0.3">
      <c r="A22" s="96" t="s">
        <v>138</v>
      </c>
      <c r="B22" s="97" t="s">
        <v>139</v>
      </c>
      <c r="C22" s="97" t="s">
        <v>140</v>
      </c>
      <c r="D22" s="96" t="s">
        <v>141</v>
      </c>
      <c r="E22" s="96"/>
      <c r="F22" s="96" t="s">
        <v>142</v>
      </c>
      <c r="G22" s="96"/>
      <c r="H22" s="96" t="s">
        <v>143</v>
      </c>
      <c r="I22" s="96"/>
      <c r="J22" s="97" t="s">
        <v>144</v>
      </c>
      <c r="K22" s="98" t="s">
        <v>145</v>
      </c>
      <c r="L22" s="83" t="s">
        <v>146</v>
      </c>
      <c r="M22" s="84"/>
      <c r="N22" s="87" t="s">
        <v>147</v>
      </c>
      <c r="O22" s="4"/>
      <c r="P22" s="4"/>
    </row>
    <row r="23" spans="1:16" x14ac:dyDescent="0.3">
      <c r="A23" s="96"/>
      <c r="B23" s="97"/>
      <c r="C23" s="97"/>
      <c r="D23" s="37" t="s">
        <v>148</v>
      </c>
      <c r="E23" s="66" t="s">
        <v>149</v>
      </c>
      <c r="F23" s="67" t="s">
        <v>150</v>
      </c>
      <c r="G23" s="66" t="s">
        <v>151</v>
      </c>
      <c r="H23" s="67" t="s">
        <v>150</v>
      </c>
      <c r="I23" s="66" t="s">
        <v>151</v>
      </c>
      <c r="J23" s="97"/>
      <c r="K23" s="98"/>
      <c r="L23" s="85"/>
      <c r="M23" s="86"/>
      <c r="N23" s="87"/>
      <c r="O23" s="4"/>
      <c r="P23" s="4"/>
    </row>
    <row r="24" spans="1:16" x14ac:dyDescent="0.3">
      <c r="A24" s="38">
        <v>10</v>
      </c>
      <c r="B24" s="39" t="s">
        <v>158</v>
      </c>
      <c r="C24" s="40" t="s">
        <v>159</v>
      </c>
      <c r="D24" s="41" t="s">
        <v>160</v>
      </c>
      <c r="E24" s="42" t="s">
        <v>155</v>
      </c>
      <c r="F24" s="42" t="s">
        <v>155</v>
      </c>
      <c r="G24" s="42" t="s">
        <v>155</v>
      </c>
      <c r="H24" s="43" t="s">
        <v>161</v>
      </c>
      <c r="I24" s="42">
        <v>1</v>
      </c>
      <c r="J24" s="44">
        <v>70000</v>
      </c>
      <c r="K24" s="42">
        <v>1</v>
      </c>
      <c r="L24" s="68">
        <v>0.99</v>
      </c>
      <c r="M24" s="88">
        <f>L24*L25*L26</f>
        <v>0.89347499999999991</v>
      </c>
      <c r="N24" s="91" t="s">
        <v>162</v>
      </c>
      <c r="O24" s="4"/>
      <c r="P24" s="4"/>
    </row>
    <row r="25" spans="1:16" x14ac:dyDescent="0.3">
      <c r="A25" s="38">
        <v>20</v>
      </c>
      <c r="B25" s="39" t="s">
        <v>152</v>
      </c>
      <c r="C25" s="40" t="s">
        <v>153</v>
      </c>
      <c r="D25" s="41" t="s">
        <v>160</v>
      </c>
      <c r="E25" s="42" t="s">
        <v>155</v>
      </c>
      <c r="F25" s="42" t="s">
        <v>155</v>
      </c>
      <c r="G25" s="42" t="s">
        <v>155</v>
      </c>
      <c r="H25" s="43" t="s">
        <v>163</v>
      </c>
      <c r="I25" s="42">
        <v>1</v>
      </c>
      <c r="J25" s="44">
        <v>30000</v>
      </c>
      <c r="K25" s="56">
        <v>1</v>
      </c>
      <c r="L25" s="68">
        <v>0.95</v>
      </c>
      <c r="M25" s="89"/>
      <c r="N25" s="92"/>
      <c r="O25" s="4"/>
      <c r="P25" s="4"/>
    </row>
    <row r="26" spans="1:16" x14ac:dyDescent="0.3">
      <c r="A26" s="42">
        <v>30</v>
      </c>
      <c r="B26" s="45" t="s">
        <v>157</v>
      </c>
      <c r="C26" s="46" t="s">
        <v>157</v>
      </c>
      <c r="D26" s="41" t="s">
        <v>160</v>
      </c>
      <c r="E26" s="42" t="s">
        <v>155</v>
      </c>
      <c r="F26" s="42" t="s">
        <v>155</v>
      </c>
      <c r="G26" s="42" t="s">
        <v>155</v>
      </c>
      <c r="H26" s="42" t="s">
        <v>155</v>
      </c>
      <c r="I26" s="42" t="s">
        <v>155</v>
      </c>
      <c r="J26" s="44">
        <v>70000</v>
      </c>
      <c r="K26" s="56">
        <v>2</v>
      </c>
      <c r="L26" s="68">
        <v>0.95</v>
      </c>
      <c r="M26" s="90"/>
      <c r="N26" s="42"/>
      <c r="O26" s="4"/>
      <c r="P26" s="4"/>
    </row>
    <row r="27" spans="1:16" x14ac:dyDescent="0.3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4"/>
      <c r="P27" s="4"/>
    </row>
    <row r="28" spans="1:16" x14ac:dyDescent="0.3">
      <c r="C28" s="4"/>
      <c r="D28" s="4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3:16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3:16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3:16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3:16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3:16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3:16" x14ac:dyDescent="0.3">
      <c r="E38" s="4"/>
    </row>
  </sheetData>
  <autoFilter ref="C2:O17"/>
  <mergeCells count="14">
    <mergeCell ref="L22:M23"/>
    <mergeCell ref="N22:N23"/>
    <mergeCell ref="M24:M26"/>
    <mergeCell ref="N24:N25"/>
    <mergeCell ref="C1:N1"/>
    <mergeCell ref="A21:N21"/>
    <mergeCell ref="A22:A23"/>
    <mergeCell ref="B22:B23"/>
    <mergeCell ref="C22:C23"/>
    <mergeCell ref="D22:E22"/>
    <mergeCell ref="F22:G22"/>
    <mergeCell ref="H22:I22"/>
    <mergeCell ref="J22:J23"/>
    <mergeCell ref="K22:K23"/>
  </mergeCells>
  <phoneticPr fontId="1" type="noConversion"/>
  <conditionalFormatting sqref="D18:D20 D2 D27:D1048576">
    <cfRule type="duplicateValues" dxfId="30" priority="20"/>
  </conditionalFormatting>
  <conditionalFormatting sqref="E3:E17">
    <cfRule type="duplicateValues" dxfId="29" priority="243"/>
  </conditionalFormatting>
  <conditionalFormatting sqref="C21:C26">
    <cfRule type="duplicateValues" dxfId="28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16" workbookViewId="0">
      <selection activeCell="G34" sqref="G34"/>
    </sheetView>
  </sheetViews>
  <sheetFormatPr defaultColWidth="8.875" defaultRowHeight="16.5" x14ac:dyDescent="0.3"/>
  <cols>
    <col min="1" max="1" width="7" style="3" customWidth="1"/>
    <col min="2" max="2" width="13.5" style="3" bestFit="1" customWidth="1"/>
    <col min="3" max="3" width="27.375" style="3" bestFit="1" customWidth="1"/>
    <col min="4" max="4" width="13.5" style="3" customWidth="1"/>
    <col min="5" max="5" width="18.75" style="3" customWidth="1"/>
    <col min="6" max="6" width="11.875" style="3" bestFit="1" customWidth="1"/>
    <col min="7" max="7" width="12.625" style="3" customWidth="1"/>
    <col min="8" max="8" width="11.375" style="3" bestFit="1" customWidth="1"/>
    <col min="9" max="10" width="11.25" style="3" bestFit="1" customWidth="1"/>
    <col min="11" max="11" width="25.625" style="3" customWidth="1"/>
    <col min="12" max="12" width="12.125" style="3" customWidth="1"/>
    <col min="13" max="13" width="13.625" style="3" customWidth="1"/>
    <col min="14" max="14" width="14.25" style="3" customWidth="1"/>
    <col min="15" max="15" width="25.75" style="3" customWidth="1"/>
    <col min="16" max="16384" width="8.875" style="3"/>
  </cols>
  <sheetData>
    <row r="1" spans="1:15" ht="29.25" x14ac:dyDescent="0.3">
      <c r="C1" s="69" t="s">
        <v>220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5" x14ac:dyDescent="0.3">
      <c r="A2" s="1" t="s">
        <v>62</v>
      </c>
      <c r="B2" s="1" t="s">
        <v>58</v>
      </c>
      <c r="C2" s="1" t="s">
        <v>10</v>
      </c>
      <c r="D2" s="1" t="s">
        <v>13</v>
      </c>
      <c r="E2" s="6" t="s">
        <v>4</v>
      </c>
      <c r="F2" s="1" t="s">
        <v>11</v>
      </c>
      <c r="G2" s="6" t="s">
        <v>0</v>
      </c>
      <c r="H2" s="7" t="s">
        <v>7</v>
      </c>
      <c r="I2" s="6" t="s">
        <v>8</v>
      </c>
      <c r="J2" s="6" t="s">
        <v>9</v>
      </c>
      <c r="K2" s="6" t="s">
        <v>5</v>
      </c>
      <c r="L2" s="6" t="s">
        <v>1</v>
      </c>
      <c r="M2" s="1" t="s">
        <v>2</v>
      </c>
      <c r="N2" s="1" t="s">
        <v>3</v>
      </c>
      <c r="O2" s="6" t="s">
        <v>12</v>
      </c>
    </row>
    <row r="3" spans="1:15" x14ac:dyDescent="0.3">
      <c r="A3" s="10">
        <v>1</v>
      </c>
      <c r="B3" s="58">
        <v>1</v>
      </c>
      <c r="C3" s="59" t="s">
        <v>57</v>
      </c>
      <c r="D3" s="60" t="s">
        <v>125</v>
      </c>
      <c r="E3" s="61" t="s">
        <v>127</v>
      </c>
      <c r="F3" s="60" t="s">
        <v>49</v>
      </c>
      <c r="G3" s="60" t="s">
        <v>65</v>
      </c>
      <c r="H3" s="62">
        <v>10.17</v>
      </c>
      <c r="I3" s="62">
        <v>4.55</v>
      </c>
      <c r="J3" s="62">
        <v>0.9</v>
      </c>
      <c r="K3" s="60" t="s">
        <v>196</v>
      </c>
      <c r="L3" s="58">
        <v>1</v>
      </c>
      <c r="M3" s="60" t="s">
        <v>41</v>
      </c>
      <c r="N3" s="60" t="s">
        <v>41</v>
      </c>
      <c r="O3" s="20"/>
    </row>
    <row r="4" spans="1:15" x14ac:dyDescent="0.3">
      <c r="A4" s="10">
        <v>2</v>
      </c>
      <c r="B4" s="58">
        <v>2</v>
      </c>
      <c r="C4" s="59" t="s">
        <v>57</v>
      </c>
      <c r="D4" s="60" t="s">
        <v>68</v>
      </c>
      <c r="E4" s="61" t="s">
        <v>128</v>
      </c>
      <c r="F4" s="60" t="s">
        <v>49</v>
      </c>
      <c r="G4" s="60" t="s">
        <v>65</v>
      </c>
      <c r="H4" s="62">
        <v>5.69</v>
      </c>
      <c r="I4" s="62">
        <v>5.8</v>
      </c>
      <c r="J4" s="62">
        <v>0.9</v>
      </c>
      <c r="K4" s="60" t="s">
        <v>196</v>
      </c>
      <c r="L4" s="58">
        <v>1</v>
      </c>
      <c r="M4" s="60" t="s">
        <v>41</v>
      </c>
      <c r="N4" s="8" t="s">
        <v>41</v>
      </c>
      <c r="O4" s="20"/>
    </row>
    <row r="5" spans="1:15" x14ac:dyDescent="0.3">
      <c r="A5" s="10">
        <v>3</v>
      </c>
      <c r="B5" s="58">
        <v>3</v>
      </c>
      <c r="C5" s="59" t="s">
        <v>57</v>
      </c>
      <c r="D5" s="60" t="s">
        <v>70</v>
      </c>
      <c r="E5" s="61" t="s">
        <v>129</v>
      </c>
      <c r="F5" s="60" t="s">
        <v>49</v>
      </c>
      <c r="G5" s="60" t="s">
        <v>69</v>
      </c>
      <c r="H5" s="62">
        <v>5.96</v>
      </c>
      <c r="I5" s="62">
        <v>4.55</v>
      </c>
      <c r="J5" s="62">
        <v>0.9</v>
      </c>
      <c r="K5" s="60" t="s">
        <v>196</v>
      </c>
      <c r="L5" s="58">
        <v>1</v>
      </c>
      <c r="M5" s="60" t="s">
        <v>41</v>
      </c>
      <c r="N5" s="8" t="s">
        <v>41</v>
      </c>
      <c r="O5" s="20"/>
    </row>
    <row r="6" spans="1:15" x14ac:dyDescent="0.3">
      <c r="A6" s="10">
        <v>4</v>
      </c>
      <c r="B6" s="58">
        <v>4</v>
      </c>
      <c r="C6" s="59" t="s">
        <v>57</v>
      </c>
      <c r="D6" s="60" t="s">
        <v>71</v>
      </c>
      <c r="E6" s="61" t="s">
        <v>130</v>
      </c>
      <c r="F6" s="60" t="s">
        <v>49</v>
      </c>
      <c r="G6" s="60" t="s">
        <v>69</v>
      </c>
      <c r="H6" s="62">
        <v>12.38</v>
      </c>
      <c r="I6" s="62">
        <v>4.55</v>
      </c>
      <c r="J6" s="62">
        <v>0.9</v>
      </c>
      <c r="K6" s="60" t="s">
        <v>196</v>
      </c>
      <c r="L6" s="58">
        <v>1</v>
      </c>
      <c r="M6" s="60" t="s">
        <v>41</v>
      </c>
      <c r="N6" s="8" t="s">
        <v>41</v>
      </c>
      <c r="O6" s="20"/>
    </row>
    <row r="7" spans="1:15" s="4" customFormat="1" x14ac:dyDescent="0.3">
      <c r="A7" s="10">
        <v>5</v>
      </c>
      <c r="B7" s="58">
        <v>5</v>
      </c>
      <c r="C7" s="59" t="s">
        <v>57</v>
      </c>
      <c r="D7" s="60" t="s">
        <v>72</v>
      </c>
      <c r="E7" s="61" t="s">
        <v>131</v>
      </c>
      <c r="F7" s="60" t="s">
        <v>49</v>
      </c>
      <c r="G7" s="60" t="s">
        <v>65</v>
      </c>
      <c r="H7" s="62">
        <v>5.18</v>
      </c>
      <c r="I7" s="62">
        <v>5.8</v>
      </c>
      <c r="J7" s="62">
        <v>0.9</v>
      </c>
      <c r="K7" s="60" t="s">
        <v>196</v>
      </c>
      <c r="L7" s="58">
        <v>1</v>
      </c>
      <c r="M7" s="60" t="s">
        <v>41</v>
      </c>
      <c r="N7" s="8" t="s">
        <v>41</v>
      </c>
      <c r="O7" s="20"/>
    </row>
    <row r="8" spans="1:15" s="4" customFormat="1" x14ac:dyDescent="0.3">
      <c r="A8" s="10">
        <v>6</v>
      </c>
      <c r="B8" s="58">
        <v>6</v>
      </c>
      <c r="C8" s="59" t="s">
        <v>57</v>
      </c>
      <c r="D8" s="60" t="s">
        <v>73</v>
      </c>
      <c r="E8" s="61" t="s">
        <v>132</v>
      </c>
      <c r="F8" s="60" t="s">
        <v>49</v>
      </c>
      <c r="G8" s="60" t="s">
        <v>65</v>
      </c>
      <c r="H8" s="62">
        <v>4.7</v>
      </c>
      <c r="I8" s="62">
        <v>5.8</v>
      </c>
      <c r="J8" s="62">
        <v>0.9</v>
      </c>
      <c r="K8" s="60" t="s">
        <v>196</v>
      </c>
      <c r="L8" s="58">
        <v>1</v>
      </c>
      <c r="M8" s="60" t="s">
        <v>41</v>
      </c>
      <c r="N8" s="8" t="s">
        <v>41</v>
      </c>
      <c r="O8" s="20"/>
    </row>
    <row r="9" spans="1:15" s="4" customFormat="1" x14ac:dyDescent="0.3">
      <c r="A9" s="10">
        <v>7</v>
      </c>
      <c r="B9" s="58">
        <v>7</v>
      </c>
      <c r="C9" s="59" t="s">
        <v>57</v>
      </c>
      <c r="D9" s="60" t="s">
        <v>75</v>
      </c>
      <c r="E9" s="61" t="s">
        <v>133</v>
      </c>
      <c r="F9" s="60" t="s">
        <v>49</v>
      </c>
      <c r="G9" s="60" t="s">
        <v>65</v>
      </c>
      <c r="H9" s="62">
        <v>11.2</v>
      </c>
      <c r="I9" s="62">
        <v>5.8</v>
      </c>
      <c r="J9" s="62">
        <v>0.9</v>
      </c>
      <c r="K9" s="60" t="s">
        <v>196</v>
      </c>
      <c r="L9" s="58">
        <v>1</v>
      </c>
      <c r="M9" s="60" t="s">
        <v>41</v>
      </c>
      <c r="N9" s="8" t="s">
        <v>41</v>
      </c>
      <c r="O9" s="20"/>
    </row>
    <row r="10" spans="1:15" s="4" customFormat="1" x14ac:dyDescent="0.3">
      <c r="A10" s="10">
        <v>8</v>
      </c>
      <c r="B10" s="58">
        <v>8</v>
      </c>
      <c r="C10" s="59" t="s">
        <v>57</v>
      </c>
      <c r="D10" s="60" t="s">
        <v>76</v>
      </c>
      <c r="E10" s="61" t="s">
        <v>134</v>
      </c>
      <c r="F10" s="60" t="s">
        <v>49</v>
      </c>
      <c r="G10" s="60" t="s">
        <v>69</v>
      </c>
      <c r="H10" s="62">
        <v>12.56</v>
      </c>
      <c r="I10" s="62">
        <v>4.55</v>
      </c>
      <c r="J10" s="62">
        <v>0.9</v>
      </c>
      <c r="K10" s="60" t="s">
        <v>196</v>
      </c>
      <c r="L10" s="58">
        <v>1</v>
      </c>
      <c r="M10" s="60" t="s">
        <v>41</v>
      </c>
      <c r="N10" s="19" t="s">
        <v>95</v>
      </c>
      <c r="O10" s="20"/>
    </row>
    <row r="11" spans="1:15" s="4" customFormat="1" x14ac:dyDescent="0.3">
      <c r="A11" s="10">
        <v>9</v>
      </c>
      <c r="B11" s="58">
        <v>9</v>
      </c>
      <c r="C11" s="59" t="s">
        <v>57</v>
      </c>
      <c r="D11" s="60" t="s">
        <v>87</v>
      </c>
      <c r="E11" s="61" t="s">
        <v>135</v>
      </c>
      <c r="F11" s="60" t="s">
        <v>49</v>
      </c>
      <c r="G11" s="60" t="s">
        <v>69</v>
      </c>
      <c r="H11" s="62">
        <v>11.41</v>
      </c>
      <c r="I11" s="62">
        <v>4.55</v>
      </c>
      <c r="J11" s="62">
        <v>0.9</v>
      </c>
      <c r="K11" s="60" t="s">
        <v>196</v>
      </c>
      <c r="L11" s="58">
        <v>1</v>
      </c>
      <c r="M11" s="60" t="s">
        <v>41</v>
      </c>
      <c r="N11" s="8" t="s">
        <v>41</v>
      </c>
      <c r="O11" s="20"/>
    </row>
    <row r="12" spans="1:15" s="4" customFormat="1" x14ac:dyDescent="0.3">
      <c r="A12" s="10">
        <v>10</v>
      </c>
      <c r="B12" s="10">
        <v>19</v>
      </c>
      <c r="C12" s="2" t="s">
        <v>57</v>
      </c>
      <c r="D12" s="8" t="s">
        <v>92</v>
      </c>
      <c r="E12" s="24" t="s">
        <v>269</v>
      </c>
      <c r="F12" s="8" t="s">
        <v>49</v>
      </c>
      <c r="G12" s="8" t="s">
        <v>88</v>
      </c>
      <c r="H12" s="9">
        <v>9.15</v>
      </c>
      <c r="I12" s="9">
        <v>6.2</v>
      </c>
      <c r="J12" s="9">
        <v>1.1499999999999999</v>
      </c>
      <c r="K12" s="8" t="s">
        <v>86</v>
      </c>
      <c r="L12" s="10">
        <v>1</v>
      </c>
      <c r="M12" s="8" t="s">
        <v>41</v>
      </c>
      <c r="N12" s="8" t="s">
        <v>41</v>
      </c>
      <c r="O12" s="53" t="s">
        <v>224</v>
      </c>
    </row>
    <row r="13" spans="1:15" s="4" customFormat="1" x14ac:dyDescent="0.3">
      <c r="A13" s="10">
        <v>11</v>
      </c>
      <c r="B13" s="10">
        <v>20</v>
      </c>
      <c r="C13" s="2" t="s">
        <v>57</v>
      </c>
      <c r="D13" s="8" t="s">
        <v>99</v>
      </c>
      <c r="E13" s="24" t="s">
        <v>270</v>
      </c>
      <c r="F13" s="8" t="s">
        <v>49</v>
      </c>
      <c r="G13" s="8" t="s">
        <v>88</v>
      </c>
      <c r="H13" s="9">
        <v>5.69</v>
      </c>
      <c r="I13" s="9">
        <v>6.2</v>
      </c>
      <c r="J13" s="9">
        <v>1.1499999999999999</v>
      </c>
      <c r="K13" s="8" t="s">
        <v>86</v>
      </c>
      <c r="L13" s="10">
        <v>1</v>
      </c>
      <c r="M13" s="8" t="s">
        <v>41</v>
      </c>
      <c r="N13" s="19" t="s">
        <v>95</v>
      </c>
      <c r="O13" s="53" t="s">
        <v>225</v>
      </c>
    </row>
    <row r="14" spans="1:15" s="4" customFormat="1" x14ac:dyDescent="0.3">
      <c r="A14" s="10">
        <v>12</v>
      </c>
      <c r="B14" s="10">
        <v>21</v>
      </c>
      <c r="C14" s="2" t="s">
        <v>57</v>
      </c>
      <c r="D14" s="8" t="s">
        <v>100</v>
      </c>
      <c r="E14" s="24" t="s">
        <v>271</v>
      </c>
      <c r="F14" s="8" t="s">
        <v>49</v>
      </c>
      <c r="G14" s="8" t="s">
        <v>88</v>
      </c>
      <c r="H14" s="9">
        <v>5.95</v>
      </c>
      <c r="I14" s="9">
        <v>6.2</v>
      </c>
      <c r="J14" s="9">
        <v>1.1499999999999999</v>
      </c>
      <c r="K14" s="8" t="s">
        <v>86</v>
      </c>
      <c r="L14" s="10">
        <v>1</v>
      </c>
      <c r="M14" s="8" t="s">
        <v>41</v>
      </c>
      <c r="N14" s="8" t="s">
        <v>41</v>
      </c>
      <c r="O14" s="53" t="s">
        <v>226</v>
      </c>
    </row>
    <row r="15" spans="1:15" s="4" customFormat="1" x14ac:dyDescent="0.3">
      <c r="A15" s="10">
        <v>13</v>
      </c>
      <c r="B15" s="10">
        <v>22</v>
      </c>
      <c r="C15" s="2" t="s">
        <v>57</v>
      </c>
      <c r="D15" s="8" t="s">
        <v>101</v>
      </c>
      <c r="E15" s="24" t="s">
        <v>272</v>
      </c>
      <c r="F15" s="8" t="s">
        <v>49</v>
      </c>
      <c r="G15" s="8" t="s">
        <v>88</v>
      </c>
      <c r="H15" s="9">
        <v>12.38</v>
      </c>
      <c r="I15" s="9">
        <v>6.2</v>
      </c>
      <c r="J15" s="9">
        <v>1.1499999999999999</v>
      </c>
      <c r="K15" s="8" t="s">
        <v>86</v>
      </c>
      <c r="L15" s="10">
        <v>1</v>
      </c>
      <c r="M15" s="8" t="s">
        <v>41</v>
      </c>
      <c r="N15" s="8" t="s">
        <v>41</v>
      </c>
      <c r="O15" s="53" t="s">
        <v>227</v>
      </c>
    </row>
    <row r="16" spans="1:15" s="4" customFormat="1" x14ac:dyDescent="0.3">
      <c r="A16" s="10">
        <v>14</v>
      </c>
      <c r="B16" s="10">
        <v>23</v>
      </c>
      <c r="C16" s="2" t="s">
        <v>57</v>
      </c>
      <c r="D16" s="8" t="s">
        <v>105</v>
      </c>
      <c r="E16" s="24" t="s">
        <v>273</v>
      </c>
      <c r="F16" s="8" t="s">
        <v>49</v>
      </c>
      <c r="G16" s="8" t="s">
        <v>88</v>
      </c>
      <c r="H16" s="9">
        <v>5.18</v>
      </c>
      <c r="I16" s="9">
        <v>6.2</v>
      </c>
      <c r="J16" s="9">
        <v>1.1499999999999999</v>
      </c>
      <c r="K16" s="8" t="s">
        <v>86</v>
      </c>
      <c r="L16" s="10">
        <v>1</v>
      </c>
      <c r="M16" s="8" t="s">
        <v>41</v>
      </c>
      <c r="N16" s="8" t="s">
        <v>41</v>
      </c>
      <c r="O16" s="53" t="s">
        <v>228</v>
      </c>
    </row>
    <row r="17" spans="1:16" s="4" customFormat="1" x14ac:dyDescent="0.3">
      <c r="A17" s="10">
        <v>15</v>
      </c>
      <c r="B17" s="10">
        <v>24</v>
      </c>
      <c r="C17" s="2" t="s">
        <v>57</v>
      </c>
      <c r="D17" s="8" t="s">
        <v>106</v>
      </c>
      <c r="E17" s="24" t="s">
        <v>274</v>
      </c>
      <c r="F17" s="8" t="s">
        <v>49</v>
      </c>
      <c r="G17" s="8" t="s">
        <v>88</v>
      </c>
      <c r="H17" s="9">
        <v>4.7</v>
      </c>
      <c r="I17" s="9">
        <v>6.2</v>
      </c>
      <c r="J17" s="9">
        <v>1.1499999999999999</v>
      </c>
      <c r="K17" s="8" t="s">
        <v>107</v>
      </c>
      <c r="L17" s="10">
        <v>1</v>
      </c>
      <c r="M17" s="8" t="s">
        <v>41</v>
      </c>
      <c r="N17" s="8" t="s">
        <v>41</v>
      </c>
      <c r="O17" s="53" t="s">
        <v>229</v>
      </c>
    </row>
    <row r="18" spans="1:16" s="4" customFormat="1" x14ac:dyDescent="0.3">
      <c r="A18" s="10">
        <v>16</v>
      </c>
      <c r="B18" s="10">
        <v>25</v>
      </c>
      <c r="C18" s="2" t="s">
        <v>57</v>
      </c>
      <c r="D18" s="8" t="s">
        <v>109</v>
      </c>
      <c r="E18" s="24" t="s">
        <v>275</v>
      </c>
      <c r="F18" s="8" t="s">
        <v>49</v>
      </c>
      <c r="G18" s="8" t="s">
        <v>88</v>
      </c>
      <c r="H18" s="9">
        <v>11.2</v>
      </c>
      <c r="I18" s="9">
        <v>6.2</v>
      </c>
      <c r="J18" s="9">
        <v>1.1499999999999999</v>
      </c>
      <c r="K18" s="8" t="s">
        <v>107</v>
      </c>
      <c r="L18" s="10">
        <v>1</v>
      </c>
      <c r="M18" s="8" t="s">
        <v>41</v>
      </c>
      <c r="N18" s="8" t="s">
        <v>41</v>
      </c>
      <c r="O18" s="53" t="s">
        <v>230</v>
      </c>
    </row>
    <row r="19" spans="1:16" s="4" customFormat="1" x14ac:dyDescent="0.3">
      <c r="A19" s="10">
        <v>17</v>
      </c>
      <c r="B19" s="10">
        <v>26</v>
      </c>
      <c r="C19" s="2" t="s">
        <v>57</v>
      </c>
      <c r="D19" s="8" t="s">
        <v>110</v>
      </c>
      <c r="E19" s="24" t="s">
        <v>276</v>
      </c>
      <c r="F19" s="8" t="s">
        <v>49</v>
      </c>
      <c r="G19" s="8" t="s">
        <v>88</v>
      </c>
      <c r="H19" s="9">
        <v>12.56</v>
      </c>
      <c r="I19" s="9">
        <v>6.2</v>
      </c>
      <c r="J19" s="9">
        <v>1.1499999999999999</v>
      </c>
      <c r="K19" s="8" t="s">
        <v>86</v>
      </c>
      <c r="L19" s="10">
        <v>1</v>
      </c>
      <c r="M19" s="8" t="s">
        <v>41</v>
      </c>
      <c r="N19" s="19" t="s">
        <v>95</v>
      </c>
      <c r="O19" s="53" t="s">
        <v>231</v>
      </c>
    </row>
    <row r="20" spans="1:16" s="4" customFormat="1" x14ac:dyDescent="0.3">
      <c r="A20" s="10">
        <v>18</v>
      </c>
      <c r="B20" s="10">
        <v>27</v>
      </c>
      <c r="C20" s="2" t="s">
        <v>57</v>
      </c>
      <c r="D20" s="8" t="s">
        <v>113</v>
      </c>
      <c r="E20" s="24" t="s">
        <v>277</v>
      </c>
      <c r="F20" s="8" t="s">
        <v>49</v>
      </c>
      <c r="G20" s="8" t="s">
        <v>88</v>
      </c>
      <c r="H20" s="9">
        <v>11.41</v>
      </c>
      <c r="I20" s="9">
        <v>3.67</v>
      </c>
      <c r="J20" s="9">
        <v>1.1499999999999999</v>
      </c>
      <c r="K20" s="8" t="s">
        <v>86</v>
      </c>
      <c r="L20" s="10">
        <v>1</v>
      </c>
      <c r="M20" s="8" t="s">
        <v>41</v>
      </c>
      <c r="N20" s="8" t="s">
        <v>41</v>
      </c>
      <c r="O20" s="53" t="s">
        <v>232</v>
      </c>
    </row>
    <row r="21" spans="1:16" s="4" customFormat="1" ht="27" x14ac:dyDescent="0.3">
      <c r="A21" s="10">
        <v>19</v>
      </c>
      <c r="B21" s="55">
        <v>28</v>
      </c>
      <c r="C21" s="2" t="s">
        <v>57</v>
      </c>
      <c r="D21" s="19" t="s">
        <v>124</v>
      </c>
      <c r="E21" s="24" t="s">
        <v>258</v>
      </c>
      <c r="F21" s="19" t="s">
        <v>49</v>
      </c>
      <c r="G21" s="19" t="s">
        <v>69</v>
      </c>
      <c r="H21" s="23">
        <v>11.85</v>
      </c>
      <c r="I21" s="23">
        <v>3.8</v>
      </c>
      <c r="J21" s="23">
        <v>0.8</v>
      </c>
      <c r="K21" s="19" t="s">
        <v>116</v>
      </c>
      <c r="L21" s="55">
        <v>8</v>
      </c>
      <c r="M21" s="19" t="s">
        <v>41</v>
      </c>
      <c r="N21" s="2" t="s">
        <v>242</v>
      </c>
      <c r="O21" s="63" t="s">
        <v>233</v>
      </c>
    </row>
    <row r="22" spans="1:16" x14ac:dyDescent="0.3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4"/>
      <c r="P22" s="4"/>
    </row>
    <row r="23" spans="1:16" x14ac:dyDescent="0.3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4"/>
      <c r="P23" s="4"/>
    </row>
    <row r="24" spans="1:16" x14ac:dyDescent="0.3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4"/>
      <c r="P24" s="4"/>
    </row>
    <row r="25" spans="1:16" ht="20.25" x14ac:dyDescent="0.3">
      <c r="A25" s="102" t="s">
        <v>221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4"/>
      <c r="P25" s="4"/>
    </row>
    <row r="26" spans="1:16" x14ac:dyDescent="0.3">
      <c r="A26" s="103" t="s">
        <v>164</v>
      </c>
      <c r="B26" s="104" t="s">
        <v>165</v>
      </c>
      <c r="C26" s="104" t="s">
        <v>166</v>
      </c>
      <c r="D26" s="103" t="s">
        <v>167</v>
      </c>
      <c r="E26" s="103"/>
      <c r="F26" s="103" t="s">
        <v>168</v>
      </c>
      <c r="G26" s="103"/>
      <c r="H26" s="103" t="s">
        <v>169</v>
      </c>
      <c r="I26" s="103"/>
      <c r="J26" s="104" t="s">
        <v>170</v>
      </c>
      <c r="K26" s="105" t="s">
        <v>171</v>
      </c>
      <c r="L26" s="83" t="s">
        <v>172</v>
      </c>
      <c r="M26" s="99"/>
      <c r="N26" s="87" t="s">
        <v>173</v>
      </c>
      <c r="O26" s="4"/>
      <c r="P26" s="4"/>
    </row>
    <row r="27" spans="1:16" x14ac:dyDescent="0.3">
      <c r="A27" s="96"/>
      <c r="B27" s="97"/>
      <c r="C27" s="97"/>
      <c r="D27" s="37" t="s">
        <v>174</v>
      </c>
      <c r="E27" s="66" t="s">
        <v>175</v>
      </c>
      <c r="F27" s="67" t="s">
        <v>176</v>
      </c>
      <c r="G27" s="66" t="s">
        <v>177</v>
      </c>
      <c r="H27" s="67" t="s">
        <v>176</v>
      </c>
      <c r="I27" s="66" t="s">
        <v>177</v>
      </c>
      <c r="J27" s="97"/>
      <c r="K27" s="98"/>
      <c r="L27" s="85"/>
      <c r="M27" s="100"/>
      <c r="N27" s="87"/>
      <c r="O27" s="4"/>
      <c r="P27" s="4"/>
    </row>
    <row r="28" spans="1:16" ht="28.5" x14ac:dyDescent="0.3">
      <c r="A28" s="42">
        <v>10</v>
      </c>
      <c r="B28" s="47" t="s">
        <v>178</v>
      </c>
      <c r="C28" s="48" t="s">
        <v>178</v>
      </c>
      <c r="D28" s="49" t="s">
        <v>179</v>
      </c>
      <c r="E28" s="42" t="s">
        <v>180</v>
      </c>
      <c r="F28" s="42" t="s">
        <v>181</v>
      </c>
      <c r="G28" s="50" t="s">
        <v>181</v>
      </c>
      <c r="H28" s="48" t="s">
        <v>182</v>
      </c>
      <c r="I28" s="42">
        <v>1</v>
      </c>
      <c r="J28" s="44">
        <v>150000</v>
      </c>
      <c r="K28" s="42">
        <v>1</v>
      </c>
      <c r="L28" s="68">
        <v>0.97</v>
      </c>
      <c r="M28" s="101">
        <f>L28*L29*L30*L31*L32</f>
        <v>0.80438905304999986</v>
      </c>
      <c r="N28" s="51"/>
      <c r="O28" s="4"/>
      <c r="P28" s="4"/>
    </row>
    <row r="29" spans="1:16" ht="28.5" x14ac:dyDescent="0.3">
      <c r="A29" s="42">
        <v>20</v>
      </c>
      <c r="B29" s="47" t="s">
        <v>183</v>
      </c>
      <c r="C29" s="48" t="s">
        <v>184</v>
      </c>
      <c r="D29" s="49" t="s">
        <v>185</v>
      </c>
      <c r="E29" s="42" t="s">
        <v>181</v>
      </c>
      <c r="F29" s="42" t="s">
        <v>181</v>
      </c>
      <c r="G29" s="50" t="s">
        <v>181</v>
      </c>
      <c r="H29" s="50" t="s">
        <v>181</v>
      </c>
      <c r="I29" s="42" t="s">
        <v>181</v>
      </c>
      <c r="J29" s="44">
        <v>30000</v>
      </c>
      <c r="K29" s="42">
        <v>2</v>
      </c>
      <c r="L29" s="68">
        <v>0.99990000000000001</v>
      </c>
      <c r="M29" s="101"/>
      <c r="N29" s="51"/>
      <c r="O29" s="4"/>
      <c r="P29" s="4"/>
    </row>
    <row r="30" spans="1:16" ht="28.5" x14ac:dyDescent="0.3">
      <c r="A30" s="42">
        <v>30</v>
      </c>
      <c r="B30" s="45" t="s">
        <v>186</v>
      </c>
      <c r="C30" s="46" t="s">
        <v>187</v>
      </c>
      <c r="D30" s="49" t="s">
        <v>179</v>
      </c>
      <c r="E30" s="42" t="s">
        <v>180</v>
      </c>
      <c r="F30" s="42" t="s">
        <v>181</v>
      </c>
      <c r="G30" s="50" t="s">
        <v>181</v>
      </c>
      <c r="H30" s="52" t="s">
        <v>188</v>
      </c>
      <c r="I30" s="42">
        <v>1</v>
      </c>
      <c r="J30" s="44">
        <v>30000</v>
      </c>
      <c r="K30" s="42">
        <v>2</v>
      </c>
      <c r="L30" s="68">
        <v>0.97</v>
      </c>
      <c r="M30" s="101"/>
      <c r="N30" s="51"/>
      <c r="O30" s="4"/>
      <c r="P30" s="4"/>
    </row>
    <row r="31" spans="1:16" ht="28.5" x14ac:dyDescent="0.3">
      <c r="A31" s="42">
        <v>40</v>
      </c>
      <c r="B31" s="45" t="s">
        <v>189</v>
      </c>
      <c r="C31" s="46" t="s">
        <v>190</v>
      </c>
      <c r="D31" s="49" t="s">
        <v>179</v>
      </c>
      <c r="E31" s="42" t="s">
        <v>180</v>
      </c>
      <c r="F31" s="46" t="s">
        <v>191</v>
      </c>
      <c r="G31" s="43" t="s">
        <v>192</v>
      </c>
      <c r="H31" s="48" t="s">
        <v>193</v>
      </c>
      <c r="I31" s="42">
        <v>1</v>
      </c>
      <c r="J31" s="44">
        <v>15200</v>
      </c>
      <c r="K31" s="42">
        <v>3</v>
      </c>
      <c r="L31" s="68">
        <v>0.9</v>
      </c>
      <c r="M31" s="101"/>
      <c r="N31" s="51"/>
      <c r="O31" s="4"/>
      <c r="P31" s="4"/>
    </row>
    <row r="32" spans="1:16" ht="28.5" x14ac:dyDescent="0.3">
      <c r="A32" s="42">
        <v>50</v>
      </c>
      <c r="B32" s="47" t="s">
        <v>194</v>
      </c>
      <c r="C32" s="48" t="s">
        <v>195</v>
      </c>
      <c r="D32" s="49" t="s">
        <v>179</v>
      </c>
      <c r="E32" s="42" t="s">
        <v>180</v>
      </c>
      <c r="F32" s="46" t="s">
        <v>181</v>
      </c>
      <c r="G32" s="42" t="s">
        <v>181</v>
      </c>
      <c r="H32" s="46" t="s">
        <v>181</v>
      </c>
      <c r="I32" s="42" t="s">
        <v>181</v>
      </c>
      <c r="J32" s="44">
        <v>4500</v>
      </c>
      <c r="K32" s="42">
        <v>3</v>
      </c>
      <c r="L32" s="68">
        <v>0.95</v>
      </c>
      <c r="M32" s="101"/>
      <c r="N32" s="51"/>
      <c r="O32" s="4"/>
      <c r="P32" s="4"/>
    </row>
    <row r="33" spans="3:16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3:16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3:16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3:16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3:16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3:16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3:16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3:1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3:16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3:16" x14ac:dyDescent="0.3">
      <c r="E42" s="4"/>
    </row>
  </sheetData>
  <autoFilter ref="C2:O21"/>
  <mergeCells count="13">
    <mergeCell ref="L26:M27"/>
    <mergeCell ref="N26:N27"/>
    <mergeCell ref="M28:M32"/>
    <mergeCell ref="C1:N1"/>
    <mergeCell ref="A25:N25"/>
    <mergeCell ref="A26:A27"/>
    <mergeCell ref="B26:B27"/>
    <mergeCell ref="C26:C27"/>
    <mergeCell ref="D26:E26"/>
    <mergeCell ref="F26:G26"/>
    <mergeCell ref="H26:I26"/>
    <mergeCell ref="J26:J27"/>
    <mergeCell ref="K26:K27"/>
  </mergeCells>
  <phoneticPr fontId="1" type="noConversion"/>
  <conditionalFormatting sqref="D22:D24 D2 D33:D1048576">
    <cfRule type="duplicateValues" dxfId="27" priority="20"/>
  </conditionalFormatting>
  <conditionalFormatting sqref="E4">
    <cfRule type="duplicateValues" dxfId="26" priority="19"/>
  </conditionalFormatting>
  <conditionalFormatting sqref="E12">
    <cfRule type="duplicateValues" dxfId="25" priority="21"/>
  </conditionalFormatting>
  <conditionalFormatting sqref="E5">
    <cfRule type="duplicateValues" dxfId="24" priority="18"/>
  </conditionalFormatting>
  <conditionalFormatting sqref="E6">
    <cfRule type="duplicateValues" dxfId="23" priority="17"/>
  </conditionalFormatting>
  <conditionalFormatting sqref="E7">
    <cfRule type="duplicateValues" dxfId="22" priority="16"/>
  </conditionalFormatting>
  <conditionalFormatting sqref="E8">
    <cfRule type="duplicateValues" dxfId="21" priority="15"/>
  </conditionalFormatting>
  <conditionalFormatting sqref="E9">
    <cfRule type="duplicateValues" dxfId="20" priority="14"/>
  </conditionalFormatting>
  <conditionalFormatting sqref="E10">
    <cfRule type="duplicateValues" dxfId="19" priority="13"/>
  </conditionalFormatting>
  <conditionalFormatting sqref="E11">
    <cfRule type="duplicateValues" dxfId="18" priority="12"/>
  </conditionalFormatting>
  <conditionalFormatting sqref="E13">
    <cfRule type="duplicateValues" dxfId="17" priority="11"/>
  </conditionalFormatting>
  <conditionalFormatting sqref="E14">
    <cfRule type="duplicateValues" dxfId="16" priority="10"/>
  </conditionalFormatting>
  <conditionalFormatting sqref="E15">
    <cfRule type="duplicateValues" dxfId="15" priority="9"/>
  </conditionalFormatting>
  <conditionalFormatting sqref="E16">
    <cfRule type="duplicateValues" dxfId="14" priority="8"/>
  </conditionalFormatting>
  <conditionalFormatting sqref="E17">
    <cfRule type="duplicateValues" dxfId="13" priority="7"/>
  </conditionalFormatting>
  <conditionalFormatting sqref="E18">
    <cfRule type="duplicateValues" dxfId="12" priority="6"/>
  </conditionalFormatting>
  <conditionalFormatting sqref="E19">
    <cfRule type="duplicateValues" dxfId="11" priority="5"/>
  </conditionalFormatting>
  <conditionalFormatting sqref="E20">
    <cfRule type="duplicateValues" dxfId="10" priority="4"/>
  </conditionalFormatting>
  <conditionalFormatting sqref="E21 E3">
    <cfRule type="duplicateValues" dxfId="9" priority="250"/>
  </conditionalFormatting>
  <conditionalFormatting sqref="B26:B32">
    <cfRule type="duplicateValues" dxfId="8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E19" sqref="E19"/>
    </sheetView>
  </sheetViews>
  <sheetFormatPr defaultColWidth="8.875" defaultRowHeight="16.5" x14ac:dyDescent="0.3"/>
  <cols>
    <col min="1" max="1" width="7" style="3" customWidth="1"/>
    <col min="2" max="2" width="13.5" style="3" bestFit="1" customWidth="1"/>
    <col min="3" max="3" width="27.375" style="3" bestFit="1" customWidth="1"/>
    <col min="4" max="4" width="13.5" style="3" customWidth="1"/>
    <col min="5" max="5" width="18.75" style="3" customWidth="1"/>
    <col min="6" max="6" width="11.875" style="3" bestFit="1" customWidth="1"/>
    <col min="7" max="7" width="12.625" style="3" customWidth="1"/>
    <col min="8" max="8" width="11.375" style="3" bestFit="1" customWidth="1"/>
    <col min="9" max="10" width="11.25" style="3" bestFit="1" customWidth="1"/>
    <col min="11" max="11" width="25.625" style="3" customWidth="1"/>
    <col min="12" max="12" width="14.25" style="3" customWidth="1"/>
    <col min="13" max="13" width="13.625" style="3" customWidth="1"/>
    <col min="14" max="14" width="14.25" style="3" customWidth="1"/>
    <col min="15" max="15" width="25.75" style="3" customWidth="1"/>
    <col min="16" max="16384" width="8.875" style="3"/>
  </cols>
  <sheetData>
    <row r="1" spans="1:16" ht="29.25" x14ac:dyDescent="0.3">
      <c r="C1" s="69" t="s">
        <v>220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6" x14ac:dyDescent="0.3">
      <c r="A2" s="1" t="s">
        <v>62</v>
      </c>
      <c r="B2" s="1" t="s">
        <v>58</v>
      </c>
      <c r="C2" s="1" t="s">
        <v>10</v>
      </c>
      <c r="D2" s="1" t="s">
        <v>13</v>
      </c>
      <c r="E2" s="6" t="s">
        <v>4</v>
      </c>
      <c r="F2" s="1" t="s">
        <v>11</v>
      </c>
      <c r="G2" s="6" t="s">
        <v>0</v>
      </c>
      <c r="H2" s="7" t="s">
        <v>7</v>
      </c>
      <c r="I2" s="6" t="s">
        <v>8</v>
      </c>
      <c r="J2" s="6" t="s">
        <v>9</v>
      </c>
      <c r="K2" s="6" t="s">
        <v>5</v>
      </c>
      <c r="L2" s="6" t="s">
        <v>1</v>
      </c>
      <c r="M2" s="1" t="s">
        <v>2</v>
      </c>
      <c r="N2" s="1" t="s">
        <v>3</v>
      </c>
      <c r="O2" s="6" t="s">
        <v>12</v>
      </c>
    </row>
    <row r="3" spans="1:16" s="4" customFormat="1" x14ac:dyDescent="0.3">
      <c r="A3" s="10">
        <v>1</v>
      </c>
      <c r="B3" s="10">
        <v>50</v>
      </c>
      <c r="C3" s="2" t="s">
        <v>205</v>
      </c>
      <c r="D3" s="8" t="s">
        <v>207</v>
      </c>
      <c r="E3" s="8" t="s">
        <v>215</v>
      </c>
      <c r="F3" s="8" t="s">
        <v>212</v>
      </c>
      <c r="G3" s="8" t="s">
        <v>213</v>
      </c>
      <c r="H3" s="9">
        <v>3.71</v>
      </c>
      <c r="I3" s="9">
        <v>0.62</v>
      </c>
      <c r="J3" s="9">
        <v>3.9</v>
      </c>
      <c r="K3" s="8" t="s">
        <v>38</v>
      </c>
      <c r="L3" s="10">
        <v>4</v>
      </c>
      <c r="M3" s="8" t="s">
        <v>41</v>
      </c>
      <c r="N3" s="12" t="s">
        <v>42</v>
      </c>
      <c r="O3" s="11" t="s">
        <v>244</v>
      </c>
    </row>
    <row r="4" spans="1:16" x14ac:dyDescent="0.3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</row>
    <row r="5" spans="1:16" x14ac:dyDescent="0.3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4"/>
      <c r="P5" s="4"/>
    </row>
    <row r="6" spans="1:16" x14ac:dyDescent="0.3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</row>
    <row r="7" spans="1:16" ht="20.25" x14ac:dyDescent="0.3">
      <c r="A7" s="102" t="s">
        <v>221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4"/>
      <c r="P7" s="4"/>
    </row>
    <row r="8" spans="1:16" x14ac:dyDescent="0.3">
      <c r="A8" s="103" t="s">
        <v>164</v>
      </c>
      <c r="B8" s="104" t="s">
        <v>165</v>
      </c>
      <c r="C8" s="104" t="s">
        <v>166</v>
      </c>
      <c r="D8" s="103" t="s">
        <v>167</v>
      </c>
      <c r="E8" s="103"/>
      <c r="F8" s="103" t="s">
        <v>168</v>
      </c>
      <c r="G8" s="103"/>
      <c r="H8" s="103" t="s">
        <v>169</v>
      </c>
      <c r="I8" s="103"/>
      <c r="J8" s="104" t="s">
        <v>170</v>
      </c>
      <c r="K8" s="105" t="s">
        <v>171</v>
      </c>
      <c r="L8" s="83" t="s">
        <v>172</v>
      </c>
      <c r="M8" s="99"/>
      <c r="N8" s="87" t="s">
        <v>173</v>
      </c>
      <c r="O8" s="4"/>
      <c r="P8" s="4"/>
    </row>
    <row r="9" spans="1:16" x14ac:dyDescent="0.3">
      <c r="A9" s="96"/>
      <c r="B9" s="97"/>
      <c r="C9" s="97"/>
      <c r="D9" s="37" t="s">
        <v>174</v>
      </c>
      <c r="E9" s="66" t="s">
        <v>175</v>
      </c>
      <c r="F9" s="67" t="s">
        <v>176</v>
      </c>
      <c r="G9" s="66" t="s">
        <v>177</v>
      </c>
      <c r="H9" s="67" t="s">
        <v>176</v>
      </c>
      <c r="I9" s="66" t="s">
        <v>177</v>
      </c>
      <c r="J9" s="97"/>
      <c r="K9" s="98"/>
      <c r="L9" s="85"/>
      <c r="M9" s="100"/>
      <c r="N9" s="87"/>
      <c r="O9" s="4"/>
      <c r="P9" s="4"/>
    </row>
    <row r="10" spans="1:16" ht="28.5" x14ac:dyDescent="0.3">
      <c r="A10" s="42">
        <v>10</v>
      </c>
      <c r="B10" s="47" t="s">
        <v>178</v>
      </c>
      <c r="C10" s="48" t="s">
        <v>178</v>
      </c>
      <c r="D10" s="49" t="s">
        <v>216</v>
      </c>
      <c r="E10" s="42" t="s">
        <v>180</v>
      </c>
      <c r="F10" s="42" t="s">
        <v>181</v>
      </c>
      <c r="G10" s="50" t="s">
        <v>181</v>
      </c>
      <c r="H10" s="48" t="s">
        <v>182</v>
      </c>
      <c r="I10" s="42">
        <v>1</v>
      </c>
      <c r="J10" s="44">
        <v>150000</v>
      </c>
      <c r="K10" s="42">
        <v>1</v>
      </c>
      <c r="L10" s="68">
        <v>0.97</v>
      </c>
      <c r="M10" s="101">
        <f>L10*L11*L12*L13</f>
        <v>0.89376561449999992</v>
      </c>
      <c r="N10" s="51"/>
      <c r="O10" s="4"/>
      <c r="P10" s="4"/>
    </row>
    <row r="11" spans="1:16" ht="28.5" x14ac:dyDescent="0.3">
      <c r="A11" s="42">
        <v>20</v>
      </c>
      <c r="B11" s="47" t="s">
        <v>183</v>
      </c>
      <c r="C11" s="48" t="s">
        <v>184</v>
      </c>
      <c r="D11" s="49" t="s">
        <v>215</v>
      </c>
      <c r="E11" s="42" t="s">
        <v>181</v>
      </c>
      <c r="F11" s="42" t="s">
        <v>181</v>
      </c>
      <c r="G11" s="50" t="s">
        <v>181</v>
      </c>
      <c r="H11" s="50" t="s">
        <v>181</v>
      </c>
      <c r="I11" s="42" t="s">
        <v>181</v>
      </c>
      <c r="J11" s="44">
        <v>30000</v>
      </c>
      <c r="K11" s="42">
        <v>2</v>
      </c>
      <c r="L11" s="68">
        <v>0.99990000000000001</v>
      </c>
      <c r="M11" s="101"/>
      <c r="N11" s="51"/>
      <c r="O11" s="4"/>
      <c r="P11" s="4"/>
    </row>
    <row r="12" spans="1:16" ht="28.5" x14ac:dyDescent="0.3">
      <c r="A12" s="42">
        <v>30</v>
      </c>
      <c r="B12" s="45" t="s">
        <v>186</v>
      </c>
      <c r="C12" s="46" t="s">
        <v>187</v>
      </c>
      <c r="D12" s="49" t="s">
        <v>216</v>
      </c>
      <c r="E12" s="42" t="s">
        <v>180</v>
      </c>
      <c r="F12" s="42" t="s">
        <v>181</v>
      </c>
      <c r="G12" s="50" t="s">
        <v>181</v>
      </c>
      <c r="H12" s="52" t="s">
        <v>188</v>
      </c>
      <c r="I12" s="42">
        <v>1</v>
      </c>
      <c r="J12" s="44">
        <v>30000</v>
      </c>
      <c r="K12" s="42">
        <v>2</v>
      </c>
      <c r="L12" s="68">
        <v>0.97</v>
      </c>
      <c r="M12" s="101"/>
      <c r="N12" s="51"/>
      <c r="O12" s="4"/>
      <c r="P12" s="4"/>
    </row>
    <row r="13" spans="1:16" ht="28.5" x14ac:dyDescent="0.3">
      <c r="A13" s="42">
        <v>40</v>
      </c>
      <c r="B13" s="47" t="s">
        <v>194</v>
      </c>
      <c r="C13" s="48" t="s">
        <v>195</v>
      </c>
      <c r="D13" s="49" t="s">
        <v>216</v>
      </c>
      <c r="E13" s="42" t="s">
        <v>180</v>
      </c>
      <c r="F13" s="46" t="s">
        <v>181</v>
      </c>
      <c r="G13" s="42" t="s">
        <v>181</v>
      </c>
      <c r="H13" s="46" t="s">
        <v>181</v>
      </c>
      <c r="I13" s="42" t="s">
        <v>181</v>
      </c>
      <c r="J13" s="44">
        <v>4500</v>
      </c>
      <c r="K13" s="42">
        <v>3</v>
      </c>
      <c r="L13" s="68">
        <v>0.95</v>
      </c>
      <c r="M13" s="101"/>
      <c r="N13" s="51"/>
      <c r="O13" s="4"/>
      <c r="P13" s="4"/>
    </row>
    <row r="14" spans="1:16" x14ac:dyDescent="0.3">
      <c r="C14" s="4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3:16" x14ac:dyDescent="0.3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3:16" x14ac:dyDescent="0.3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3:16" x14ac:dyDescent="0.3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3:16" x14ac:dyDescent="0.3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3:16" x14ac:dyDescent="0.3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3:16" x14ac:dyDescent="0.3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3:16" x14ac:dyDescent="0.3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3:16" x14ac:dyDescent="0.3">
      <c r="E24" s="4"/>
    </row>
  </sheetData>
  <autoFilter ref="C2:O3"/>
  <mergeCells count="13">
    <mergeCell ref="L8:M9"/>
    <mergeCell ref="N8:N9"/>
    <mergeCell ref="M10:M13"/>
    <mergeCell ref="C1:N1"/>
    <mergeCell ref="A7:N7"/>
    <mergeCell ref="A8:A9"/>
    <mergeCell ref="B8:B9"/>
    <mergeCell ref="C8:C9"/>
    <mergeCell ref="D8:E8"/>
    <mergeCell ref="F8:G8"/>
    <mergeCell ref="H8:I8"/>
    <mergeCell ref="J8:J9"/>
    <mergeCell ref="K8:K9"/>
  </mergeCells>
  <phoneticPr fontId="1" type="noConversion"/>
  <conditionalFormatting sqref="D4:D6 D2 D14:D1048576">
    <cfRule type="duplicateValues" dxfId="7" priority="20"/>
  </conditionalFormatting>
  <conditionalFormatting sqref="E3">
    <cfRule type="duplicateValues" dxfId="6" priority="257"/>
  </conditionalFormatting>
  <conditionalFormatting sqref="B8:B13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E19" sqref="E19"/>
    </sheetView>
  </sheetViews>
  <sheetFormatPr defaultColWidth="8.875" defaultRowHeight="16.5" x14ac:dyDescent="0.3"/>
  <cols>
    <col min="1" max="1" width="7" style="3" customWidth="1"/>
    <col min="2" max="2" width="13.5" style="3" bestFit="1" customWidth="1"/>
    <col min="3" max="3" width="27.375" style="3" bestFit="1" customWidth="1"/>
    <col min="4" max="4" width="13.5" style="3" customWidth="1"/>
    <col min="5" max="5" width="18.75" style="3" customWidth="1"/>
    <col min="6" max="6" width="11.875" style="3" bestFit="1" customWidth="1"/>
    <col min="7" max="7" width="12.625" style="3" customWidth="1"/>
    <col min="8" max="8" width="11.375" style="3" bestFit="1" customWidth="1"/>
    <col min="9" max="10" width="11.25" style="3" bestFit="1" customWidth="1"/>
    <col min="11" max="11" width="25.625" style="3" customWidth="1"/>
    <col min="12" max="12" width="10.625" style="3" customWidth="1"/>
    <col min="13" max="13" width="13.625" style="3" customWidth="1"/>
    <col min="14" max="14" width="14.25" style="3" customWidth="1"/>
    <col min="15" max="15" width="25.75" style="3" customWidth="1"/>
    <col min="16" max="16384" width="8.875" style="3"/>
  </cols>
  <sheetData>
    <row r="1" spans="1:16" ht="29.25" x14ac:dyDescent="0.3">
      <c r="C1" s="69" t="s">
        <v>220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6" x14ac:dyDescent="0.3">
      <c r="A2" s="1" t="s">
        <v>62</v>
      </c>
      <c r="B2" s="1" t="s">
        <v>58</v>
      </c>
      <c r="C2" s="1" t="s">
        <v>10</v>
      </c>
      <c r="D2" s="1" t="s">
        <v>13</v>
      </c>
      <c r="E2" s="6" t="s">
        <v>4</v>
      </c>
      <c r="F2" s="1" t="s">
        <v>11</v>
      </c>
      <c r="G2" s="6" t="s">
        <v>0</v>
      </c>
      <c r="H2" s="7" t="s">
        <v>7</v>
      </c>
      <c r="I2" s="6" t="s">
        <v>8</v>
      </c>
      <c r="J2" s="6" t="s">
        <v>9</v>
      </c>
      <c r="K2" s="6" t="s">
        <v>5</v>
      </c>
      <c r="L2" s="6" t="s">
        <v>1</v>
      </c>
      <c r="M2" s="1" t="s">
        <v>2</v>
      </c>
      <c r="N2" s="1" t="s">
        <v>3</v>
      </c>
      <c r="O2" s="6" t="s">
        <v>12</v>
      </c>
    </row>
    <row r="3" spans="1:16" s="4" customFormat="1" x14ac:dyDescent="0.3">
      <c r="A3" s="10">
        <v>1</v>
      </c>
      <c r="B3" s="10">
        <v>49</v>
      </c>
      <c r="C3" s="2" t="s">
        <v>204</v>
      </c>
      <c r="D3" s="8" t="s">
        <v>206</v>
      </c>
      <c r="E3" s="8" t="s">
        <v>214</v>
      </c>
      <c r="F3" s="8" t="s">
        <v>212</v>
      </c>
      <c r="G3" s="8" t="s">
        <v>208</v>
      </c>
      <c r="H3" s="9">
        <v>3.71</v>
      </c>
      <c r="I3" s="9">
        <v>0.62</v>
      </c>
      <c r="J3" s="9">
        <v>3.9</v>
      </c>
      <c r="K3" s="8" t="s">
        <v>38</v>
      </c>
      <c r="L3" s="10">
        <v>4</v>
      </c>
      <c r="M3" s="8" t="s">
        <v>42</v>
      </c>
      <c r="N3" s="12" t="s">
        <v>41</v>
      </c>
      <c r="O3" s="11" t="s">
        <v>243</v>
      </c>
    </row>
    <row r="4" spans="1:16" x14ac:dyDescent="0.3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</row>
    <row r="5" spans="1:16" x14ac:dyDescent="0.3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4"/>
      <c r="P5" s="4"/>
    </row>
    <row r="6" spans="1:16" x14ac:dyDescent="0.3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</row>
    <row r="7" spans="1:16" ht="20.25" x14ac:dyDescent="0.3">
      <c r="A7" s="102" t="s">
        <v>221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4"/>
      <c r="P7" s="4"/>
    </row>
    <row r="8" spans="1:16" x14ac:dyDescent="0.3">
      <c r="A8" s="103" t="s">
        <v>164</v>
      </c>
      <c r="B8" s="104" t="s">
        <v>165</v>
      </c>
      <c r="C8" s="104" t="s">
        <v>166</v>
      </c>
      <c r="D8" s="103" t="s">
        <v>167</v>
      </c>
      <c r="E8" s="103"/>
      <c r="F8" s="103" t="s">
        <v>168</v>
      </c>
      <c r="G8" s="103"/>
      <c r="H8" s="103" t="s">
        <v>169</v>
      </c>
      <c r="I8" s="103"/>
      <c r="J8" s="104" t="s">
        <v>170</v>
      </c>
      <c r="K8" s="105" t="s">
        <v>171</v>
      </c>
      <c r="L8" s="83" t="s">
        <v>172</v>
      </c>
      <c r="M8" s="99"/>
      <c r="N8" s="87" t="s">
        <v>173</v>
      </c>
      <c r="O8" s="4"/>
      <c r="P8" s="4"/>
    </row>
    <row r="9" spans="1:16" x14ac:dyDescent="0.3">
      <c r="A9" s="96"/>
      <c r="B9" s="97"/>
      <c r="C9" s="97"/>
      <c r="D9" s="37" t="s">
        <v>174</v>
      </c>
      <c r="E9" s="66" t="s">
        <v>175</v>
      </c>
      <c r="F9" s="67" t="s">
        <v>176</v>
      </c>
      <c r="G9" s="66" t="s">
        <v>177</v>
      </c>
      <c r="H9" s="67" t="s">
        <v>176</v>
      </c>
      <c r="I9" s="66" t="s">
        <v>177</v>
      </c>
      <c r="J9" s="97"/>
      <c r="K9" s="98"/>
      <c r="L9" s="85"/>
      <c r="M9" s="100"/>
      <c r="N9" s="87"/>
      <c r="O9" s="4"/>
      <c r="P9" s="4"/>
    </row>
    <row r="10" spans="1:16" ht="20.25" x14ac:dyDescent="0.3">
      <c r="A10" s="42">
        <v>10</v>
      </c>
      <c r="B10" s="45" t="s">
        <v>218</v>
      </c>
      <c r="C10" s="40" t="s">
        <v>153</v>
      </c>
      <c r="D10" s="41" t="s">
        <v>219</v>
      </c>
      <c r="E10" s="42" t="s">
        <v>155</v>
      </c>
      <c r="F10" s="42" t="s">
        <v>155</v>
      </c>
      <c r="G10" s="42" t="s">
        <v>155</v>
      </c>
      <c r="H10" s="43" t="s">
        <v>163</v>
      </c>
      <c r="I10" s="42">
        <v>1</v>
      </c>
      <c r="J10" s="44">
        <v>30000</v>
      </c>
      <c r="K10" s="56">
        <v>1</v>
      </c>
      <c r="L10" s="68">
        <v>0.95</v>
      </c>
      <c r="M10" s="101">
        <f>L10*L11*L12*L13</f>
        <v>0.89403929999999987</v>
      </c>
      <c r="N10" s="51"/>
      <c r="O10" s="4"/>
      <c r="P10" s="4"/>
    </row>
    <row r="11" spans="1:16" ht="20.25" x14ac:dyDescent="0.3">
      <c r="A11" s="42">
        <v>20</v>
      </c>
      <c r="B11" s="45" t="s">
        <v>189</v>
      </c>
      <c r="C11" s="46" t="s">
        <v>190</v>
      </c>
      <c r="D11" s="41" t="s">
        <v>219</v>
      </c>
      <c r="E11" s="42" t="s">
        <v>180</v>
      </c>
      <c r="F11" s="46" t="s">
        <v>191</v>
      </c>
      <c r="G11" s="43" t="s">
        <v>192</v>
      </c>
      <c r="H11" s="48" t="s">
        <v>193</v>
      </c>
      <c r="I11" s="42">
        <v>1</v>
      </c>
      <c r="J11" s="44">
        <v>15200</v>
      </c>
      <c r="K11" s="42">
        <v>3</v>
      </c>
      <c r="L11" s="68">
        <v>0.98</v>
      </c>
      <c r="M11" s="101"/>
      <c r="N11" s="51"/>
      <c r="O11" s="4"/>
      <c r="P11" s="4"/>
    </row>
    <row r="12" spans="1:16" ht="20.25" x14ac:dyDescent="0.3">
      <c r="A12" s="42">
        <v>30</v>
      </c>
      <c r="B12" s="47" t="s">
        <v>217</v>
      </c>
      <c r="C12" s="40" t="s">
        <v>159</v>
      </c>
      <c r="D12" s="41" t="s">
        <v>219</v>
      </c>
      <c r="E12" s="42" t="s">
        <v>155</v>
      </c>
      <c r="F12" s="42" t="s">
        <v>155</v>
      </c>
      <c r="G12" s="42" t="s">
        <v>155</v>
      </c>
      <c r="H12" s="43" t="s">
        <v>161</v>
      </c>
      <c r="I12" s="42">
        <v>1</v>
      </c>
      <c r="J12" s="44">
        <v>70000</v>
      </c>
      <c r="K12" s="42">
        <v>1</v>
      </c>
      <c r="L12" s="68">
        <v>0.99</v>
      </c>
      <c r="M12" s="101"/>
      <c r="N12" s="51"/>
      <c r="O12" s="4"/>
      <c r="P12" s="4"/>
    </row>
    <row r="13" spans="1:16" ht="20.25" x14ac:dyDescent="0.3">
      <c r="A13" s="42">
        <v>40</v>
      </c>
      <c r="B13" s="47" t="s">
        <v>194</v>
      </c>
      <c r="C13" s="48" t="s">
        <v>195</v>
      </c>
      <c r="D13" s="41" t="s">
        <v>219</v>
      </c>
      <c r="E13" s="42" t="s">
        <v>155</v>
      </c>
      <c r="F13" s="42" t="s">
        <v>155</v>
      </c>
      <c r="G13" s="42" t="s">
        <v>155</v>
      </c>
      <c r="H13" s="42" t="s">
        <v>155</v>
      </c>
      <c r="I13" s="42" t="s">
        <v>155</v>
      </c>
      <c r="J13" s="44">
        <v>70000</v>
      </c>
      <c r="K13" s="56">
        <v>2</v>
      </c>
      <c r="L13" s="68">
        <v>0.97</v>
      </c>
      <c r="M13" s="101"/>
      <c r="N13" s="51"/>
      <c r="O13" s="4"/>
      <c r="P13" s="4"/>
    </row>
    <row r="14" spans="1:16" x14ac:dyDescent="0.3">
      <c r="C14" s="4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3:16" x14ac:dyDescent="0.3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3:16" x14ac:dyDescent="0.3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3:16" x14ac:dyDescent="0.3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3:16" x14ac:dyDescent="0.3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3:16" x14ac:dyDescent="0.3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3:16" x14ac:dyDescent="0.3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3:16" x14ac:dyDescent="0.3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3:16" x14ac:dyDescent="0.3">
      <c r="E24" s="4"/>
    </row>
  </sheetData>
  <autoFilter ref="C2:O3"/>
  <mergeCells count="13">
    <mergeCell ref="L8:M9"/>
    <mergeCell ref="N8:N9"/>
    <mergeCell ref="M10:M13"/>
    <mergeCell ref="C1:N1"/>
    <mergeCell ref="A7:N7"/>
    <mergeCell ref="A8:A9"/>
    <mergeCell ref="B8:B9"/>
    <mergeCell ref="C8:C9"/>
    <mergeCell ref="D8:E8"/>
    <mergeCell ref="F8:G8"/>
    <mergeCell ref="H8:I8"/>
    <mergeCell ref="J8:J9"/>
    <mergeCell ref="K8:K9"/>
  </mergeCells>
  <phoneticPr fontId="1" type="noConversion"/>
  <conditionalFormatting sqref="D4:D6 D2 D14:D1048576">
    <cfRule type="duplicateValues" dxfId="4" priority="22"/>
  </conditionalFormatting>
  <conditionalFormatting sqref="E3">
    <cfRule type="duplicateValues" dxfId="3" priority="266"/>
  </conditionalFormatting>
  <conditionalFormatting sqref="C10">
    <cfRule type="duplicateValues" dxfId="2" priority="2"/>
  </conditionalFormatting>
  <conditionalFormatting sqref="C12">
    <cfRule type="duplicateValues" dxfId="1" priority="1"/>
  </conditionalFormatting>
  <conditionalFormatting sqref="B8:B13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RC40 099-53721 List</vt:lpstr>
      <vt:lpstr>RC40 099-53721 粘接磁钢BOM</vt:lpstr>
      <vt:lpstr>RC40 099-53721不充磁不镭雕系列BOM</vt:lpstr>
      <vt:lpstr>RC40 099-53721充磁镭雕系列BOM</vt:lpstr>
      <vt:lpstr>RC40 099-53721充磁不镭雕系列BOM</vt:lpstr>
      <vt:lpstr>RC40 099-53721镭雕不充磁系列BOM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2025-12-23T08:49:58Z</dcterms:modified>
</cp:coreProperties>
</file>
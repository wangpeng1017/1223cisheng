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admin/Desktop/Project/1、RC系列/2.R240/3.DVT/3.MTD &amp; Q-plan/Q-Plan/"/>
    </mc:Choice>
  </mc:AlternateContent>
  <xr:revisionPtr revIDLastSave="0" documentId="13_ncr:1_{CCE9B754-9F39-8447-B4BA-E557056193DB}" xr6:coauthVersionLast="47" xr6:coauthVersionMax="47" xr10:uidLastSave="{00000000-0000-0000-0000-000000000000}"/>
  <bookViews>
    <workbookView xWindow="160" yWindow="660" windowWidth="16600" windowHeight="20180" xr2:uid="{1FB0D62A-FB20-D04E-8A92-D47EEC7095FF}"/>
  </bookViews>
  <sheets>
    <sheet name="Revision" sheetId="16" r:id="rId1"/>
    <sheet name="IQC" sheetId="33" r:id="rId2"/>
    <sheet name="Machining" sheetId="38" r:id="rId3"/>
    <sheet name="Surface Treatment" sheetId="41" r:id="rId4"/>
    <sheet name="Assy" sheetId="43" r:id="rId5"/>
    <sheet name="OQC" sheetId="44" r:id="rId6"/>
    <sheet name="Instruction" sheetId="22" r:id="rId7"/>
  </sheets>
  <definedNames>
    <definedName name="_xlnm._FilterDatabase" localSheetId="4" hidden="1">Assy!$A$7:$I$46</definedName>
    <definedName name="_xlnm._FilterDatabase" localSheetId="1" hidden="1">IQC!$A$7:$E$7</definedName>
    <definedName name="_xlnm._FilterDatabase" localSheetId="2" hidden="1">Machining!$A$7:$I$17</definedName>
    <definedName name="_xlnm._FilterDatabase" localSheetId="5" hidden="1">OQC!$A$7:$E$20</definedName>
    <definedName name="_xlnm._FilterDatabase" localSheetId="0" hidden="1">Revision!$A$19:$M$67</definedName>
    <definedName name="_xlnm._FilterDatabase" localSheetId="3" hidden="1">'Surface Treatment'!$A$7:$I$27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44" l="1"/>
  <c r="B8" i="44" s="1"/>
  <c r="F28" i="43" l="1"/>
  <c r="F27" i="43"/>
  <c r="F26" i="43"/>
  <c r="F25" i="43"/>
  <c r="F11" i="43" l="1"/>
  <c r="F24" i="41" l="1"/>
  <c r="B4" i="44" l="1"/>
  <c r="B2" i="44"/>
  <c r="A2" i="44"/>
  <c r="F26" i="41" l="1"/>
  <c r="F9" i="43" l="1"/>
  <c r="F10" i="43"/>
  <c r="F12" i="43"/>
  <c r="F8" i="43"/>
  <c r="F25" i="41" l="1"/>
  <c r="A4" i="38" l="1"/>
  <c r="A4" i="41"/>
  <c r="B4" i="41"/>
  <c r="A4" i="43" l="1"/>
  <c r="B2" i="43"/>
  <c r="A2" i="43"/>
  <c r="B2" i="41"/>
  <c r="A2" i="41"/>
  <c r="B4" i="38"/>
  <c r="B2" i="38"/>
  <c r="A2" i="38"/>
  <c r="B4" i="33"/>
  <c r="A4" i="33"/>
  <c r="B2" i="33"/>
  <c r="A2" i="33"/>
</calcChain>
</file>

<file path=xl/sharedStrings.xml><?xml version="1.0" encoding="utf-8"?>
<sst xmlns="http://schemas.openxmlformats.org/spreadsheetml/2006/main" count="1846" uniqueCount="510">
  <si>
    <t>Description</t>
  </si>
  <si>
    <t>Rel</t>
  </si>
  <si>
    <t>IQC</t>
  </si>
  <si>
    <t>Initial release</t>
  </si>
  <si>
    <t>Assy</t>
  </si>
  <si>
    <t>Date</t>
  </si>
  <si>
    <t>Project</t>
  </si>
  <si>
    <t>Vendor</t>
  </si>
  <si>
    <t>Build</t>
  </si>
  <si>
    <t>Q-Plan Template Instruction</t>
  </si>
  <si>
    <t>CTQ Category</t>
  </si>
  <si>
    <t>Spec</t>
  </si>
  <si>
    <t>SPC No.</t>
  </si>
  <si>
    <t>FAI No.</t>
  </si>
  <si>
    <t>Dim No.</t>
  </si>
  <si>
    <t>Revision</t>
  </si>
  <si>
    <t>Revision Description</t>
  </si>
  <si>
    <t>Editor</t>
  </si>
  <si>
    <t>APN</t>
  </si>
  <si>
    <t>Acceptance Criteria</t>
  </si>
  <si>
    <t>HSG Rel</t>
  </si>
  <si>
    <t>Part Name</t>
  </si>
  <si>
    <t>Sampling Plan</t>
  </si>
  <si>
    <t>Revision for</t>
  </si>
  <si>
    <r>
      <rPr>
        <b/>
        <sz val="11"/>
        <color theme="1"/>
        <rFont val="Arial"/>
        <family val="2"/>
      </rPr>
      <t>Station</t>
    </r>
    <r>
      <rPr>
        <sz val="11"/>
        <color theme="1"/>
        <rFont val="Arial"/>
        <family val="2"/>
      </rPr>
      <t xml:space="preserve">
Station No. with Description</t>
    </r>
  </si>
  <si>
    <r>
      <rPr>
        <b/>
        <sz val="11"/>
        <color theme="1"/>
        <rFont val="Arial"/>
        <family val="2"/>
      </rPr>
      <t>Category</t>
    </r>
    <r>
      <rPr>
        <sz val="11"/>
        <color theme="1"/>
        <rFont val="Arial"/>
        <family val="2"/>
      </rPr>
      <t xml:space="preserve">
Dim, Cos, Function, ORT, Rel</t>
    </r>
  </si>
  <si>
    <r>
      <rPr>
        <b/>
        <sz val="11"/>
        <color theme="1"/>
        <rFont val="Arial"/>
        <family val="2"/>
      </rPr>
      <t xml:space="preserve">Apple DWG
</t>
    </r>
    <r>
      <rPr>
        <sz val="11"/>
        <color theme="1"/>
        <rFont val="Arial"/>
        <family val="2"/>
      </rPr>
      <t>Apple official drawing for reference, DO NOT release for online control</t>
    </r>
  </si>
  <si>
    <t>Site</t>
  </si>
  <si>
    <r>
      <t xml:space="preserve">Description
</t>
    </r>
    <r>
      <rPr>
        <sz val="11"/>
        <color theme="1"/>
        <rFont val="Arial"/>
        <family val="2"/>
      </rPr>
      <t>Detailed inspection items</t>
    </r>
  </si>
  <si>
    <t>Rel Test Reaction Plan</t>
  </si>
  <si>
    <t>Q-Plan Template Revisions</t>
  </si>
  <si>
    <t>IQC Reaction Plan</t>
  </si>
  <si>
    <t>For revison sheet, need add APN for specific process whenever available.</t>
  </si>
  <si>
    <t>For IM process, need add quality control plan for K87 (Ano 0) as well.</t>
  </si>
  <si>
    <t>For QC stations (eg.  AIM, Ano QC, FQC), need to treat as the same as process station in Q-plan and add its control plan in IPQC.</t>
  </si>
  <si>
    <t>Changed Q-plan logic, added reaction plan</t>
  </si>
  <si>
    <t xml:space="preserve">For Rel control plan, Rel option stands for specific opition need to be implemented (eg. 504Hrs Heat Soak, 72Hrs Temperature Humidity Cycle, 300hrs Indoor Exposure </t>
  </si>
  <si>
    <t>Small bug fix</t>
  </si>
  <si>
    <t>For CTQ category, need split into different categories: Critical to ID feature, Critical to FATP, Critical to HSG assembly, NUD (new/unique/difficult), Not CTQ</t>
  </si>
  <si>
    <t>Inspection Equipment</t>
  </si>
  <si>
    <t>File Naming Rule as "Project number_Build name_Part Name_Document type__Vendor name_Date(YYYYMMDD)" (eg. J817_P1_HSG_Q-Plan_McEG_20240701)</t>
  </si>
  <si>
    <t>-</t>
  </si>
  <si>
    <t>FAI Spec</t>
  </si>
  <si>
    <t>IPQC Spec</t>
  </si>
  <si>
    <t>Online Quality Control Reaction Plan - Dimension</t>
  </si>
  <si>
    <t>Online Quality Control Reaction Plan - ORT</t>
  </si>
  <si>
    <t>Split FAI and IPQC spec, updated reaction plan</t>
  </si>
  <si>
    <t>Inspection Frequency</t>
  </si>
  <si>
    <r>
      <rPr>
        <b/>
        <sz val="11"/>
        <color theme="1"/>
        <rFont val="Arial"/>
        <family val="2"/>
      </rPr>
      <t>Category</t>
    </r>
    <r>
      <rPr>
        <sz val="11"/>
        <color theme="1"/>
        <rFont val="Arial"/>
        <family val="2"/>
      </rPr>
      <t xml:space="preserve">
Dim, Cos, Function, ORT</t>
    </r>
  </si>
  <si>
    <r>
      <rPr>
        <b/>
        <sz val="11"/>
        <color theme="1"/>
        <rFont val="Arial"/>
        <family val="2"/>
      </rPr>
      <t>Internal DWG</t>
    </r>
    <r>
      <rPr>
        <sz val="11"/>
        <color theme="1"/>
        <rFont val="Arial"/>
        <family val="2"/>
      </rPr>
      <t xml:space="preserve">
Vendor internal drawing been used for by station inspections</t>
    </r>
  </si>
  <si>
    <r>
      <rPr>
        <b/>
        <sz val="11"/>
        <color theme="1"/>
        <rFont val="Arial"/>
        <family val="2"/>
      </rPr>
      <t>FAI Control Plan</t>
    </r>
    <r>
      <rPr>
        <sz val="11"/>
        <color theme="1"/>
        <rFont val="Arial"/>
        <family val="2"/>
      </rPr>
      <t xml:space="preserve">
Refer "Online Quality Control Reaction Plan"</t>
    </r>
  </si>
  <si>
    <r>
      <rPr>
        <b/>
        <sz val="11"/>
        <color theme="1"/>
        <rFont val="Arial"/>
        <family val="2"/>
      </rPr>
      <t>IPQC Control Plan</t>
    </r>
    <r>
      <rPr>
        <sz val="11"/>
        <color theme="1"/>
        <rFont val="Arial"/>
        <family val="2"/>
      </rPr>
      <t xml:space="preserve">
Refer "Online Quality Control Reaction Plan"</t>
    </r>
  </si>
  <si>
    <r>
      <t xml:space="preserve">Control Plan
</t>
    </r>
    <r>
      <rPr>
        <sz val="11"/>
        <color theme="1"/>
        <rFont val="Arial"/>
        <family val="2"/>
      </rPr>
      <t>Refer "IQC Reaction Plan"</t>
    </r>
  </si>
  <si>
    <t>Magsound</t>
    <phoneticPr fontId="14" type="noConversion"/>
  </si>
  <si>
    <t>/</t>
    <phoneticPr fontId="14" type="noConversion"/>
  </si>
  <si>
    <t>IQC</t>
    <phoneticPr fontId="14" type="noConversion"/>
  </si>
  <si>
    <t>Machining</t>
    <phoneticPr fontId="14" type="noConversion"/>
  </si>
  <si>
    <t>Surface Treatment</t>
    <phoneticPr fontId="14" type="noConversion"/>
  </si>
  <si>
    <t>OQC</t>
    <phoneticPr fontId="14" type="noConversion"/>
  </si>
  <si>
    <t>Assy</t>
    <phoneticPr fontId="14" type="noConversion"/>
  </si>
  <si>
    <t>Description</t>
    <phoneticPr fontId="14" type="noConversion"/>
  </si>
  <si>
    <t>Yes</t>
  </si>
  <si>
    <t>Revision</t>
    <phoneticPr fontId="14" type="noConversion"/>
  </si>
  <si>
    <t>Function</t>
  </si>
  <si>
    <t>0收1退(Ac=0)</t>
  </si>
  <si>
    <t>Remove "rel" from category</t>
    <phoneticPr fontId="14" type="noConversion"/>
  </si>
  <si>
    <t>Dim</t>
  </si>
  <si>
    <r>
      <rPr>
        <b/>
        <sz val="11"/>
        <color theme="1"/>
        <rFont val="Arial"/>
        <family val="2"/>
      </rPr>
      <t>Station</t>
    </r>
    <r>
      <rPr>
        <sz val="11"/>
        <color theme="1"/>
        <rFont val="Arial"/>
        <family val="2"/>
      </rPr>
      <t xml:space="preserve">
Station No. with Description</t>
    </r>
    <phoneticPr fontId="14" type="noConversion"/>
  </si>
  <si>
    <t>APNs</t>
    <phoneticPr fontId="17" type="noConversion"/>
  </si>
  <si>
    <t>MIC</t>
  </si>
  <si>
    <t>MIC</t>
    <phoneticPr fontId="14" type="noConversion"/>
  </si>
  <si>
    <t>FAI 2</t>
    <phoneticPr fontId="17" type="noConversion"/>
  </si>
  <si>
    <r>
      <rPr>
        <b/>
        <sz val="11"/>
        <color theme="1"/>
        <rFont val="Arial"/>
        <family val="2"/>
      </rPr>
      <t>FAI Control Plan</t>
    </r>
    <r>
      <rPr>
        <sz val="11"/>
        <color theme="1"/>
        <rFont val="Arial"/>
        <family val="2"/>
      </rPr>
      <t xml:space="preserve">
Refer "Online Quality Control Reaction Plan"</t>
    </r>
    <phoneticPr fontId="14" type="noConversion"/>
  </si>
  <si>
    <t>FAI 1</t>
  </si>
  <si>
    <t>FAI 2</t>
  </si>
  <si>
    <t>FAI 3</t>
  </si>
  <si>
    <t>Inspection Equipment</t>
    <phoneticPr fontId="14" type="noConversion"/>
  </si>
  <si>
    <t>Thickness</t>
    <phoneticPr fontId="14" type="noConversion"/>
  </si>
  <si>
    <t>Length</t>
    <phoneticPr fontId="14" type="noConversion"/>
  </si>
  <si>
    <t>Width</t>
    <phoneticPr fontId="14" type="noConversion"/>
  </si>
  <si>
    <t>5pcs/2H</t>
  </si>
  <si>
    <t>Cos</t>
  </si>
  <si>
    <t>Not CTQ</t>
  </si>
  <si>
    <t>投影仪
Profile Projector</t>
    <phoneticPr fontId="17" type="noConversion"/>
  </si>
  <si>
    <t>5pcs/Barrel</t>
    <phoneticPr fontId="17" type="noConversion"/>
  </si>
  <si>
    <t>/</t>
    <phoneticPr fontId="17" type="noConversion"/>
  </si>
  <si>
    <r>
      <t>XRF</t>
    </r>
    <r>
      <rPr>
        <sz val="11"/>
        <rFont val="Microsoft YaHei"/>
        <family val="2"/>
        <charset val="134"/>
      </rPr>
      <t>镀层测厚仪</t>
    </r>
    <r>
      <rPr>
        <sz val="11"/>
        <rFont val="Arial"/>
        <family val="2"/>
      </rPr>
      <t xml:space="preserve">
XRF  Coating Tester</t>
    </r>
    <phoneticPr fontId="17" type="noConversion"/>
  </si>
  <si>
    <t>9pcs/Barrel</t>
    <phoneticPr fontId="17" type="noConversion"/>
  </si>
  <si>
    <t>切片+金相
Section+Optical Microscope</t>
  </si>
  <si>
    <t>光泽
Gloss</t>
  </si>
  <si>
    <t>光泽度计
Gloss Meter</t>
  </si>
  <si>
    <t>ORT</t>
  </si>
  <si>
    <t xml:space="preserve">No corrosion and pitting
24hrs </t>
  </si>
  <si>
    <t>盐雾试验
SST</t>
  </si>
  <si>
    <t>盐雾机
SST Tester</t>
  </si>
  <si>
    <t>4B</t>
  </si>
  <si>
    <t>划格刀
Knife</t>
    <phoneticPr fontId="17" type="noConversion"/>
  </si>
  <si>
    <t>Critical to downstream assembly</t>
  </si>
  <si>
    <t>达因笔
Dyne pen</t>
  </si>
  <si>
    <t>No break, crack, peel off, bubble</t>
  </si>
  <si>
    <t>烘箱
Oven</t>
  </si>
  <si>
    <t>外观
Cosmetic</t>
  </si>
  <si>
    <t>目视
Visual</t>
    <phoneticPr fontId="17" type="noConversion"/>
  </si>
  <si>
    <t>GB2828 AQL 0.4 level 2</t>
    <phoneticPr fontId="17" type="noConversion"/>
  </si>
  <si>
    <t>长度
Length</t>
  </si>
  <si>
    <t>宽度
Width</t>
  </si>
  <si>
    <t>SPC D</t>
  </si>
  <si>
    <t>FAI 5</t>
  </si>
  <si>
    <t>厚度
Thickness</t>
  </si>
  <si>
    <t>FAI 4</t>
  </si>
  <si>
    <t>SPC B</t>
    <phoneticPr fontId="14" type="noConversion"/>
  </si>
  <si>
    <t>SPC D</t>
    <phoneticPr fontId="14" type="noConversion"/>
  </si>
  <si>
    <t>SPC C</t>
    <phoneticPr fontId="14" type="noConversion"/>
  </si>
  <si>
    <t>FAI 6</t>
    <phoneticPr fontId="14" type="noConversion"/>
  </si>
  <si>
    <t>SPC E</t>
  </si>
  <si>
    <t>≥34</t>
  </si>
  <si>
    <t>SPC E</t>
    <phoneticPr fontId="14" type="noConversion"/>
  </si>
  <si>
    <t>OMM</t>
  </si>
  <si>
    <t xml:space="preserve"> 3-Axis Helmhotz coils
三轴霍尔木兹线圈</t>
  </si>
  <si>
    <r>
      <rPr>
        <b/>
        <sz val="11"/>
        <color theme="1"/>
        <rFont val="Arial"/>
        <family val="2"/>
      </rPr>
      <t>IPQC Control Plan</t>
    </r>
    <r>
      <rPr>
        <sz val="11"/>
        <color theme="1"/>
        <rFont val="Arial"/>
        <family val="2"/>
      </rPr>
      <t xml:space="preserve">
Refer "Online Quality Control Reaction Plan"</t>
    </r>
    <phoneticPr fontId="14" type="noConversion"/>
  </si>
  <si>
    <r>
      <rPr>
        <sz val="11"/>
        <rFont val="宋体-简"/>
        <family val="1"/>
        <charset val="134"/>
      </rPr>
      <t>镭雕标记</t>
    </r>
    <r>
      <rPr>
        <sz val="11"/>
        <rFont val="Arial"/>
        <family val="2"/>
      </rPr>
      <t xml:space="preserve">
Laser mark</t>
    </r>
    <phoneticPr fontId="14" type="noConversion"/>
  </si>
  <si>
    <t>磁极片+目视
Magnetic film+visual</t>
  </si>
  <si>
    <t>极性笔
Polarity Pen</t>
  </si>
  <si>
    <t>极性参考图纸
Polarity Check Follow Drawing</t>
  </si>
  <si>
    <t>显影片上显示的图像轮廓清晰可见
The outline of the image displayed on the magnetic film is clearly visible</t>
  </si>
  <si>
    <t>镭雕标记参照图纸
Laser Mark Check Follow Drawing</t>
  </si>
  <si>
    <t>目视
Visual</t>
  </si>
  <si>
    <t>OMM</t>
    <phoneticPr fontId="14" type="noConversion"/>
  </si>
  <si>
    <t>10pcs/Plating batch</t>
    <phoneticPr fontId="14" type="noConversion"/>
  </si>
  <si>
    <t>32pcs/Lot</t>
  </si>
  <si>
    <r>
      <rPr>
        <sz val="11"/>
        <rFont val="Microsoft YaHei"/>
        <family val="2"/>
        <charset val="134"/>
      </rPr>
      <t>线锯-1</t>
    </r>
    <r>
      <rPr>
        <sz val="11"/>
        <rFont val="Arial"/>
        <family val="2"/>
      </rPr>
      <t xml:space="preserve">
Wire Saw-1</t>
    </r>
    <phoneticPr fontId="17" type="noConversion"/>
  </si>
  <si>
    <r>
      <rPr>
        <sz val="11"/>
        <rFont val="Microsoft YaHei"/>
        <family val="2"/>
        <charset val="134"/>
      </rPr>
      <t>双面磨-1</t>
    </r>
    <r>
      <rPr>
        <sz val="11"/>
        <rFont val="Arial"/>
        <family val="2"/>
      </rPr>
      <t xml:space="preserve">
Double Side Grinding-1</t>
    </r>
    <phoneticPr fontId="17" type="noConversion"/>
  </si>
  <si>
    <r>
      <rPr>
        <sz val="11"/>
        <rFont val="Microsoft YaHei"/>
        <family val="2"/>
        <charset val="134"/>
      </rPr>
      <t>线锯-2</t>
    </r>
    <r>
      <rPr>
        <sz val="11"/>
        <rFont val="Arial"/>
        <family val="2"/>
      </rPr>
      <t xml:space="preserve">
Wire Saw-2</t>
    </r>
    <phoneticPr fontId="17" type="noConversion"/>
  </si>
  <si>
    <r>
      <rPr>
        <sz val="11"/>
        <rFont val="Microsoft YaHei"/>
        <family val="2"/>
        <charset val="134"/>
      </rPr>
      <t>双面磨-2</t>
    </r>
    <r>
      <rPr>
        <sz val="11"/>
        <rFont val="Arial"/>
        <family val="2"/>
      </rPr>
      <t xml:space="preserve">
Double Side Grinding-2</t>
    </r>
    <phoneticPr fontId="17" type="noConversion"/>
  </si>
  <si>
    <r>
      <rPr>
        <sz val="11"/>
        <rFont val="Microsoft YaHei"/>
        <family val="2"/>
        <charset val="134"/>
      </rPr>
      <t>线锯-3</t>
    </r>
    <r>
      <rPr>
        <sz val="11"/>
        <rFont val="Arial"/>
        <family val="2"/>
      </rPr>
      <t xml:space="preserve">
Wire Saw-3</t>
    </r>
    <phoneticPr fontId="17" type="noConversion"/>
  </si>
  <si>
    <r>
      <rPr>
        <sz val="11"/>
        <rFont val="Microsoft YaHei"/>
        <family val="2"/>
        <charset val="134"/>
      </rPr>
      <t>双面磨-3</t>
    </r>
    <r>
      <rPr>
        <sz val="11"/>
        <rFont val="Arial"/>
        <family val="2"/>
      </rPr>
      <t xml:space="preserve">
Double Side Grinding-3</t>
    </r>
    <phoneticPr fontId="17" type="noConversion"/>
  </si>
  <si>
    <t>No visible cracks at 500x magnification</t>
  </si>
  <si>
    <t>32pcs/Lot</t>
    <phoneticPr fontId="14" type="noConversion"/>
  </si>
  <si>
    <t>10pcs/Lot</t>
    <phoneticPr fontId="14" type="noConversion"/>
  </si>
  <si>
    <t>CPK≥1.33</t>
  </si>
  <si>
    <t>Polarity Pen(Manual)</t>
    <phoneticPr fontId="26" type="noConversion"/>
  </si>
  <si>
    <t>Magnetic film(Manual)</t>
    <phoneticPr fontId="14" type="noConversion"/>
  </si>
  <si>
    <t>极性 Polarity</t>
    <phoneticPr fontId="14" type="noConversion"/>
  </si>
  <si>
    <t>Approver</t>
    <phoneticPr fontId="14" type="noConversion"/>
  </si>
  <si>
    <r>
      <rPr>
        <sz val="11"/>
        <rFont val="Microsoft YaHei"/>
        <family val="2"/>
        <charset val="134"/>
      </rPr>
      <t>达因（充磁前测试）</t>
    </r>
    <r>
      <rPr>
        <sz val="11"/>
        <rFont val="Arial"/>
        <family val="2"/>
      </rPr>
      <t xml:space="preserve">
Dyne test</t>
    </r>
    <phoneticPr fontId="14" type="noConversion"/>
  </si>
  <si>
    <r>
      <t xml:space="preserve">Magnetic permanent testing machine
</t>
    </r>
    <r>
      <rPr>
        <sz val="11"/>
        <rFont val="Microsoft YaHei"/>
        <family val="2"/>
        <charset val="134"/>
      </rPr>
      <t>磁性能测试仪</t>
    </r>
    <phoneticPr fontId="17" type="noConversion"/>
  </si>
  <si>
    <r>
      <t>3pcs/Furnace</t>
    </r>
    <r>
      <rPr>
        <sz val="11"/>
        <rFont val="Microsoft YaHei"/>
        <family val="2"/>
        <charset val="134"/>
      </rPr>
      <t>炉</t>
    </r>
    <phoneticPr fontId="17" type="noConversion"/>
  </si>
  <si>
    <t>Material
8
Br:6.0~6.8 KGs
Hcb:4.5~5.5 KOe
Hcj:8.00~10.00 KOe
BHmax:7.5~9.0 MGOe</t>
    <phoneticPr fontId="17" type="noConversion"/>
  </si>
  <si>
    <t>Material
12H
Br:7.2~8.0 KGs
Hcb:5.5~6.5 KGs
Hcj:9.0~10.0 Koe
BHmax:11.0~12.0 MGOe</t>
    <phoneticPr fontId="17" type="noConversion"/>
  </si>
  <si>
    <t>3pcs/Lot</t>
    <phoneticPr fontId="17" type="noConversion"/>
  </si>
  <si>
    <t>Refer table Material info</t>
    <phoneticPr fontId="14" type="noConversion"/>
  </si>
  <si>
    <t>FAI 1</t>
    <phoneticPr fontId="17" type="noConversion"/>
  </si>
  <si>
    <t>FAI 3</t>
    <phoneticPr fontId="17" type="noConversion"/>
  </si>
  <si>
    <t>压铸成型
Compression molding</t>
    <phoneticPr fontId="17" type="noConversion"/>
  </si>
  <si>
    <t>Density</t>
    <phoneticPr fontId="17" type="noConversion"/>
  </si>
  <si>
    <t>-</t>
    <phoneticPr fontId="14" type="noConversion"/>
  </si>
  <si>
    <t>Other</t>
    <phoneticPr fontId="14" type="noConversion"/>
  </si>
  <si>
    <t>Density</t>
    <phoneticPr fontId="14" type="noConversion"/>
  </si>
  <si>
    <t>/</t>
  </si>
  <si>
    <t xml:space="preserve">倒角度
Corner radius </t>
  </si>
  <si>
    <t>总镀层厚度
Overall Plating Thickness</t>
  </si>
  <si>
    <t>Size, number and crack locations</t>
  </si>
  <si>
    <t>开裂分层检查
Crack performance</t>
  </si>
  <si>
    <t>80-200 GU</t>
  </si>
  <si>
    <t>百格测试
Cross hatch testing</t>
  </si>
  <si>
    <t>达因
Dyne test</t>
  </si>
  <si>
    <t>热震测试
Heat Quench Test
250C+/-10C°,1H
+/-2 degrees C for ice bath</t>
  </si>
  <si>
    <t>Total 6-14μm</t>
    <phoneticPr fontId="14" type="noConversion"/>
  </si>
  <si>
    <t>9pcs/lot</t>
    <phoneticPr fontId="17" type="noConversion"/>
  </si>
  <si>
    <t>SPC A</t>
    <phoneticPr fontId="14" type="noConversion"/>
  </si>
  <si>
    <t>FAI 1</t>
    <phoneticPr fontId="14" type="noConversion"/>
  </si>
  <si>
    <t>AOI</t>
    <phoneticPr fontId="14" type="noConversion"/>
  </si>
  <si>
    <t>Nominal
Refer summary table</t>
  </si>
  <si>
    <t>Nominal
Refer summary table</t>
    <phoneticPr fontId="14" type="noConversion"/>
  </si>
  <si>
    <t>FAI 7</t>
  </si>
  <si>
    <t>Max 0.20</t>
    <phoneticPr fontId="14" type="noConversion"/>
  </si>
  <si>
    <t>Nominal±5˚
Refer summary table</t>
    <phoneticPr fontId="14" type="noConversion"/>
  </si>
  <si>
    <t>80-200GU</t>
    <phoneticPr fontId="14" type="noConversion"/>
  </si>
  <si>
    <r>
      <t>Total</t>
    </r>
    <r>
      <rPr>
        <sz val="11"/>
        <rFont val="Microsoft YaHei"/>
        <family val="2"/>
        <charset val="134"/>
      </rPr>
      <t>：</t>
    </r>
    <r>
      <rPr>
        <sz val="11"/>
        <rFont val="Arial"/>
        <family val="2"/>
      </rPr>
      <t>6-14 μm</t>
    </r>
    <phoneticPr fontId="14" type="noConversion"/>
  </si>
  <si>
    <t>Tema YH-9002</t>
    <phoneticPr fontId="14" type="noConversion"/>
  </si>
  <si>
    <r>
      <rPr>
        <sz val="11"/>
        <rFont val="Microsoft YaHei"/>
        <family val="2"/>
        <charset val="134"/>
      </rPr>
      <t>开裂分层检查</t>
    </r>
    <r>
      <rPr>
        <sz val="11"/>
        <rFont val="Arial"/>
        <family val="2"/>
      </rPr>
      <t xml:space="preserve">
Crack Performance</t>
    </r>
    <phoneticPr fontId="17" type="noConversion"/>
  </si>
  <si>
    <t>FAI 4/SPC D</t>
  </si>
  <si>
    <t>FAI 5/SPC E</t>
  </si>
  <si>
    <t>5  pcs/2H
Any process/material change/5 pcs</t>
    <phoneticPr fontId="14" type="noConversion"/>
  </si>
  <si>
    <t>10 pcs/Lot
Any process/material change/10  pcs</t>
    <phoneticPr fontId="14" type="noConversion"/>
  </si>
  <si>
    <r>
      <rPr>
        <sz val="11"/>
        <rFont val="Microsoft YaHei"/>
        <family val="2"/>
        <charset val="134"/>
      </rPr>
      <t xml:space="preserve">镭雕
</t>
    </r>
    <r>
      <rPr>
        <sz val="11"/>
        <rFont val="Arial"/>
        <family val="2"/>
      </rPr>
      <t xml:space="preserve"> Laser marking</t>
    </r>
    <phoneticPr fontId="14" type="noConversion"/>
  </si>
  <si>
    <r>
      <t xml:space="preserve">
</t>
    </r>
    <r>
      <rPr>
        <sz val="11"/>
        <rFont val="Microsoft YaHei"/>
        <family val="2"/>
        <charset val="134"/>
      </rPr>
      <t xml:space="preserve">充磁
</t>
    </r>
    <r>
      <rPr>
        <sz val="11"/>
        <rFont val="Arial"/>
        <family val="2"/>
      </rPr>
      <t>Magnetizing</t>
    </r>
    <phoneticPr fontId="14" type="noConversion"/>
  </si>
  <si>
    <t>3pcs/Lot</t>
    <phoneticPr fontId="14" type="noConversion"/>
  </si>
  <si>
    <t>No Alert(65%)</t>
  </si>
  <si>
    <t>No corrosion and pitting
24hrs(No Laser mark)
No corrosion and pitting
12hrs(Laser mark)</t>
    <phoneticPr fontId="14" type="noConversion"/>
  </si>
  <si>
    <r>
      <rPr>
        <sz val="10"/>
        <rFont val="Arial"/>
        <family val="3"/>
        <charset val="134"/>
      </rPr>
      <t xml:space="preserve">外观
</t>
    </r>
    <r>
      <rPr>
        <sz val="10"/>
        <rFont val="Arial"/>
        <family val="2"/>
      </rPr>
      <t>Cosmetic</t>
    </r>
  </si>
  <si>
    <t>GB2828 AQL 0.4 level 2</t>
  </si>
  <si>
    <t>NO.</t>
    <phoneticPr fontId="14" type="noConversion"/>
  </si>
  <si>
    <t>APN</t>
    <phoneticPr fontId="14" type="noConversion"/>
  </si>
  <si>
    <t>Plating</t>
  </si>
  <si>
    <t>Material</t>
  </si>
  <si>
    <t>Size-X</t>
  </si>
  <si>
    <t>Size-Y</t>
  </si>
  <si>
    <t>Size-Z</t>
  </si>
  <si>
    <t xml:space="preserve">MAGNETIZATION ANGLE </t>
  </si>
  <si>
    <t>Magnetic Moment
(DWG spec)</t>
    <phoneticPr fontId="14" type="noConversion"/>
  </si>
  <si>
    <t>Mganetized</t>
  </si>
  <si>
    <t>Laser</t>
  </si>
  <si>
    <t>Ningbo</t>
    <phoneticPr fontId="14" type="noConversion"/>
  </si>
  <si>
    <t>R240</t>
    <phoneticPr fontId="14" type="noConversion"/>
  </si>
  <si>
    <t>160-05549</t>
  </si>
  <si>
    <t>160-05550</t>
  </si>
  <si>
    <t>160-05552</t>
  </si>
  <si>
    <t>160-05553</t>
  </si>
  <si>
    <t>160-05556</t>
  </si>
  <si>
    <t>160-05571</t>
  </si>
  <si>
    <t>160-05748</t>
  </si>
  <si>
    <t>160-05744</t>
  </si>
  <si>
    <t>160-05755</t>
  </si>
  <si>
    <t>160-05756</t>
  </si>
  <si>
    <t>160-05554</t>
  </si>
  <si>
    <t>160-05555</t>
  </si>
  <si>
    <t>160-05570</t>
  </si>
  <si>
    <t>160-05583</t>
  </si>
  <si>
    <t>160-05584</t>
  </si>
  <si>
    <t>160-05585</t>
  </si>
  <si>
    <t>160-05586</t>
  </si>
  <si>
    <t>160-05587</t>
  </si>
  <si>
    <t>160-05589</t>
  </si>
  <si>
    <t>160-05590</t>
  </si>
  <si>
    <t>160-05750</t>
  </si>
  <si>
    <t>160-05592</t>
  </si>
  <si>
    <t>160-05593</t>
  </si>
  <si>
    <t>160-05752</t>
  </si>
  <si>
    <t>160-05557</t>
  </si>
  <si>
    <t>9pcs/Barrel</t>
  </si>
  <si>
    <t xml:space="preserve">Refer to R240 magnet APN summary </t>
    <phoneticPr fontId="14" type="noConversion"/>
  </si>
  <si>
    <t>≥50N</t>
    <phoneticPr fontId="14" type="noConversion"/>
  </si>
  <si>
    <t>20GS Max</t>
  </si>
  <si>
    <t>磁极片+Bell 表磁计
Pole piece+Guass meter Bell 5180</t>
  </si>
  <si>
    <t>500pcs/4h</t>
  </si>
  <si>
    <t>5  pcs/4H
Any process/material change/5 pcs</t>
  </si>
  <si>
    <t>Plating Zn</t>
    <phoneticPr fontId="14" type="noConversion"/>
  </si>
  <si>
    <t>9pcs/Lot</t>
    <phoneticPr fontId="14" type="noConversion"/>
  </si>
  <si>
    <r>
      <rPr>
        <sz val="11"/>
        <rFont val="Microsoft YaHei"/>
        <family val="2"/>
        <charset val="134"/>
      </rPr>
      <t>热震测试</t>
    </r>
    <r>
      <rPr>
        <sz val="11"/>
        <rFont val="Arial"/>
        <family val="2"/>
      </rPr>
      <t xml:space="preserve">
Heat Quench Test
150</t>
    </r>
    <r>
      <rPr>
        <sz val="11"/>
        <rFont val="SimSun"/>
        <family val="3"/>
        <charset val="134"/>
      </rPr>
      <t>℃</t>
    </r>
    <r>
      <rPr>
        <sz val="11"/>
        <rFont val="Arial"/>
        <family val="2"/>
      </rPr>
      <t>,1H</t>
    </r>
    <phoneticPr fontId="17" type="noConversion"/>
  </si>
  <si>
    <t>Vivian yang</t>
    <phoneticPr fontId="14" type="noConversion"/>
  </si>
  <si>
    <t>160-05846</t>
  </si>
  <si>
    <t>160-05847</t>
  </si>
  <si>
    <t>160-05849</t>
  </si>
  <si>
    <t>160-05851</t>
  </si>
  <si>
    <t>160-05844</t>
  </si>
  <si>
    <t>160-05852</t>
  </si>
  <si>
    <t>160-05850</t>
  </si>
  <si>
    <t>160-05848</t>
  </si>
  <si>
    <t>160-05845</t>
  </si>
  <si>
    <t>160-05842</t>
  </si>
  <si>
    <t>160-05843</t>
  </si>
  <si>
    <t>160-05861</t>
  </si>
  <si>
    <t>160-05857</t>
  </si>
  <si>
    <t>160-05858</t>
  </si>
  <si>
    <t>160-05859</t>
  </si>
  <si>
    <t>160-05860</t>
  </si>
  <si>
    <t>160-05855</t>
  </si>
  <si>
    <t>160-05856</t>
  </si>
  <si>
    <t>160-05853</t>
  </si>
  <si>
    <t>160-05854</t>
  </si>
  <si>
    <t>160-05841</t>
  </si>
  <si>
    <t>N35SH</t>
  </si>
  <si>
    <t>N/A</t>
  </si>
  <si>
    <t>5.8~6.8</t>
    <phoneticPr fontId="14" type="noConversion"/>
  </si>
  <si>
    <t>Y</t>
  </si>
  <si>
    <t>Y(角度+数字镭雕)</t>
  </si>
  <si>
    <t>N</t>
  </si>
  <si>
    <t xml:space="preserve">R240 099-51503-01 magnet APN summary </t>
    <phoneticPr fontId="14" type="noConversion"/>
  </si>
  <si>
    <t>CATEGORY</t>
  </si>
  <si>
    <r>
      <rPr>
        <sz val="11"/>
        <color theme="1"/>
        <rFont val="宋体"/>
        <family val="3"/>
        <charset val="134"/>
      </rPr>
      <t xml:space="preserve">振动研磨
</t>
    </r>
    <r>
      <rPr>
        <sz val="11"/>
        <color theme="1"/>
        <rFont val="Arial"/>
        <family val="2"/>
      </rPr>
      <t>Tumbling</t>
    </r>
    <phoneticPr fontId="20" type="noConversion"/>
  </si>
  <si>
    <r>
      <rPr>
        <sz val="11"/>
        <color theme="1"/>
        <rFont val="Microsoft YaHei"/>
        <family val="2"/>
        <charset val="134"/>
      </rPr>
      <t>倒角度</t>
    </r>
    <r>
      <rPr>
        <sz val="11"/>
        <color theme="1"/>
        <rFont val="Arial"/>
        <family val="2"/>
      </rPr>
      <t xml:space="preserve">
Corner radius </t>
    </r>
    <phoneticPr fontId="17" type="noConversion"/>
  </si>
  <si>
    <r>
      <t>Zn</t>
    </r>
    <r>
      <rPr>
        <sz val="11"/>
        <color theme="1"/>
        <rFont val="Microsoft YaHei"/>
        <family val="2"/>
        <charset val="134"/>
      </rPr>
      <t>电镀</t>
    </r>
    <r>
      <rPr>
        <sz val="11"/>
        <color theme="1"/>
        <rFont val="Arial"/>
        <family val="2"/>
      </rPr>
      <t xml:space="preserve">
Zn Plating</t>
    </r>
    <phoneticPr fontId="17" type="noConversion"/>
  </si>
  <si>
    <r>
      <t>XRF</t>
    </r>
    <r>
      <rPr>
        <sz val="11"/>
        <color theme="1"/>
        <rFont val="Microsoft YaHei"/>
        <family val="2"/>
        <charset val="134"/>
      </rPr>
      <t>镀层测厚仪</t>
    </r>
    <r>
      <rPr>
        <sz val="11"/>
        <color theme="1"/>
        <rFont val="Arial"/>
        <family val="2"/>
      </rPr>
      <t xml:space="preserve">
XRF  Coating Tester</t>
    </r>
    <phoneticPr fontId="17" type="noConversion"/>
  </si>
  <si>
    <r>
      <rPr>
        <sz val="11"/>
        <color theme="1"/>
        <rFont val="Microsoft YaHei"/>
        <family val="2"/>
        <charset val="134"/>
      </rPr>
      <t>热震测试</t>
    </r>
    <r>
      <rPr>
        <sz val="11"/>
        <color theme="1"/>
        <rFont val="Arial"/>
        <family val="2"/>
        <charset val="134"/>
      </rPr>
      <t xml:space="preserve">
Heat Quench Test
150C°,1H</t>
    </r>
    <phoneticPr fontId="14" type="noConversion"/>
  </si>
  <si>
    <r>
      <rPr>
        <sz val="11"/>
        <color theme="1"/>
        <rFont val="Microsoft YaHei"/>
        <family val="2"/>
        <charset val="134"/>
      </rPr>
      <t>黑色环氧喷涂</t>
    </r>
    <r>
      <rPr>
        <sz val="11"/>
        <color theme="1"/>
        <rFont val="Arial"/>
        <family val="2"/>
      </rPr>
      <t xml:space="preserve">
Black epoxy coating</t>
    </r>
    <phoneticPr fontId="17" type="noConversion"/>
  </si>
  <si>
    <r>
      <t>AOI 100%</t>
    </r>
    <r>
      <rPr>
        <sz val="11"/>
        <color theme="1"/>
        <rFont val="Microsoft YaHei"/>
        <family val="3"/>
        <charset val="134"/>
      </rPr>
      <t>检验</t>
    </r>
    <r>
      <rPr>
        <sz val="11"/>
        <color theme="1"/>
        <rFont val="Arial"/>
        <family val="3"/>
      </rPr>
      <t xml:space="preserve">
</t>
    </r>
    <r>
      <rPr>
        <sz val="11"/>
        <color theme="1"/>
        <rFont val="Arial"/>
        <family val="2"/>
      </rPr>
      <t>AOI 100%inspection</t>
    </r>
    <phoneticPr fontId="17" type="noConversion"/>
  </si>
  <si>
    <r>
      <t xml:space="preserve">染磁100%检验
</t>
    </r>
    <r>
      <rPr>
        <sz val="11"/>
        <color theme="1"/>
        <rFont val="Arial"/>
        <family val="2"/>
      </rPr>
      <t>Residues GS</t>
    </r>
    <r>
      <rPr>
        <sz val="11"/>
        <color theme="1"/>
        <rFont val="SimSun"/>
        <family val="3"/>
        <charset val="134"/>
      </rPr>
      <t xml:space="preserve"> </t>
    </r>
    <r>
      <rPr>
        <sz val="11"/>
        <color theme="1"/>
        <rFont val="Arial"/>
        <family val="2"/>
      </rPr>
      <t>inspection</t>
    </r>
    <phoneticPr fontId="26" type="noConversion"/>
  </si>
  <si>
    <r>
      <t xml:space="preserve">染磁
</t>
    </r>
    <r>
      <rPr>
        <sz val="11"/>
        <color theme="1"/>
        <rFont val="Arial"/>
        <family val="2"/>
      </rPr>
      <t>Residues GS</t>
    </r>
  </si>
  <si>
    <r>
      <rPr>
        <sz val="11"/>
        <color theme="1"/>
        <rFont val="宋体-简"/>
        <family val="1"/>
        <charset val="134"/>
      </rPr>
      <t>镭雕标记</t>
    </r>
    <r>
      <rPr>
        <sz val="11"/>
        <color theme="1"/>
        <rFont val="Arial"/>
        <family val="2"/>
      </rPr>
      <t xml:space="preserve">
Laser mark</t>
    </r>
    <phoneticPr fontId="14" type="noConversion"/>
  </si>
  <si>
    <r>
      <rPr>
        <sz val="11"/>
        <rFont val="Microsoft YaHei"/>
        <family val="2"/>
        <charset val="134"/>
      </rPr>
      <t>达因（≥34）</t>
    </r>
    <r>
      <rPr>
        <sz val="11"/>
        <rFont val="Arial"/>
        <family val="2"/>
        <charset val="134"/>
      </rPr>
      <t xml:space="preserve">
Dyne test</t>
    </r>
    <phoneticPr fontId="14" type="noConversion"/>
  </si>
  <si>
    <t>Bright Zinc</t>
  </si>
  <si>
    <t>Black Epoxy</t>
  </si>
  <si>
    <t>N42SH</t>
  </si>
  <si>
    <t>12H</t>
  </si>
  <si>
    <t>N45SH</t>
  </si>
  <si>
    <t>160°OFF Y IN YZ PLANE</t>
  </si>
  <si>
    <t>160° OFF Y IN YZ PLANE</t>
  </si>
  <si>
    <t>X</t>
    <phoneticPr fontId="17" type="noConversion"/>
  </si>
  <si>
    <t>Y</t>
    <phoneticPr fontId="17" type="noConversion"/>
  </si>
  <si>
    <t>Z</t>
    <phoneticPr fontId="17" type="noConversion"/>
  </si>
  <si>
    <t>X ±0.05</t>
    <phoneticPr fontId="14" type="noConversion"/>
  </si>
  <si>
    <t>Y ±0.05</t>
    <phoneticPr fontId="14" type="noConversion"/>
  </si>
  <si>
    <t>Z ±0.04</t>
    <phoneticPr fontId="14" type="noConversion"/>
  </si>
  <si>
    <t>0.20 +0.1/-0.08</t>
    <phoneticPr fontId="14" type="noConversion"/>
  </si>
  <si>
    <t>0.25 ±0.1</t>
    <phoneticPr fontId="14" type="noConversion"/>
  </si>
  <si>
    <t>FAI6
0.25 ±0.1(Bonded)
0.2 +0.1/-0.08(Sintered)</t>
    <phoneticPr fontId="14" type="noConversion"/>
  </si>
  <si>
    <t>5.975±0.094</t>
    <phoneticPr fontId="17" type="noConversion"/>
  </si>
  <si>
    <t>0.12mm≤R ≤0.3mm</t>
    <phoneticPr fontId="17" type="noConversion"/>
  </si>
  <si>
    <t>0.15mm≤R ≤0.35mm</t>
    <phoneticPr fontId="14" type="noConversion"/>
  </si>
  <si>
    <t>FAI7
Max 0.20(Bonded&amp;Sintered)</t>
    <phoneticPr fontId="14" type="noConversion"/>
  </si>
  <si>
    <r>
      <rPr>
        <sz val="11"/>
        <color theme="1"/>
        <rFont val="黑体"/>
        <family val="3"/>
        <charset val="134"/>
      </rPr>
      <t>磁化饱和度(充磁件)</t>
    </r>
    <r>
      <rPr>
        <sz val="11"/>
        <color theme="1"/>
        <rFont val="SimSun"/>
        <family val="3"/>
        <charset val="134"/>
      </rPr>
      <t xml:space="preserve">
</t>
    </r>
    <r>
      <rPr>
        <sz val="11"/>
        <color theme="1"/>
        <rFont val="Arial"/>
        <family val="2"/>
      </rPr>
      <t>Magnetization saturation</t>
    </r>
    <phoneticPr fontId="14" type="noConversion"/>
  </si>
  <si>
    <r>
      <rPr>
        <sz val="11"/>
        <color theme="1"/>
        <rFont val="黑体"/>
        <family val="3"/>
        <charset val="134"/>
      </rPr>
      <t>弱磁(非充磁件)</t>
    </r>
    <r>
      <rPr>
        <sz val="11"/>
        <color theme="1"/>
        <rFont val="SimSun"/>
        <family val="3"/>
        <charset val="134"/>
      </rPr>
      <t xml:space="preserve">
</t>
    </r>
    <r>
      <rPr>
        <sz val="11"/>
        <color theme="1"/>
        <rFont val="Arial"/>
        <family val="2"/>
      </rPr>
      <t xml:space="preserve">Weak magnetization </t>
    </r>
    <phoneticPr fontId="14" type="noConversion"/>
  </si>
  <si>
    <t>Max 0.2</t>
    <phoneticPr fontId="14" type="noConversion"/>
  </si>
  <si>
    <r>
      <rPr>
        <sz val="11"/>
        <color theme="1"/>
        <rFont val="Arial"/>
        <family val="2"/>
        <charset val="134"/>
      </rPr>
      <t xml:space="preserve">倒角度
</t>
    </r>
    <r>
      <rPr>
        <sz val="11"/>
        <color theme="1"/>
        <rFont val="Arial"/>
        <family val="2"/>
      </rPr>
      <t xml:space="preserve">Corner radius </t>
    </r>
  </si>
  <si>
    <t>0.12mm≤R ≤0.3mm</t>
  </si>
  <si>
    <t>0.15mm≤R ≤0.35mm</t>
  </si>
  <si>
    <t>099-04896_Class D</t>
  </si>
  <si>
    <r>
      <rPr>
        <sz val="11"/>
        <color theme="1"/>
        <rFont val="Microsoft YaHei"/>
        <family val="2"/>
        <charset val="134"/>
      </rPr>
      <t>磁化饱和度</t>
    </r>
    <r>
      <rPr>
        <sz val="11"/>
        <color theme="1"/>
        <rFont val="Arial"/>
        <family val="2"/>
      </rPr>
      <t xml:space="preserve">
Magnetization saturation</t>
    </r>
    <phoneticPr fontId="14" type="noConversion"/>
  </si>
  <si>
    <r>
      <rPr>
        <sz val="11"/>
        <rFont val="Arial"/>
        <family val="2"/>
        <charset val="134"/>
      </rPr>
      <t xml:space="preserve">磁矩
</t>
    </r>
    <r>
      <rPr>
        <sz val="11"/>
        <rFont val="Arial"/>
        <family val="2"/>
      </rPr>
      <t>Magnet Moment</t>
    </r>
  </si>
  <si>
    <r>
      <rPr>
        <sz val="11"/>
        <rFont val="Arial"/>
        <family val="2"/>
        <charset val="134"/>
      </rPr>
      <t xml:space="preserve">磁偏角
</t>
    </r>
    <r>
      <rPr>
        <sz val="11"/>
        <rFont val="Arial"/>
        <family val="2"/>
      </rPr>
      <t>Magnetic Direction</t>
    </r>
  </si>
  <si>
    <r>
      <rPr>
        <sz val="11"/>
        <color theme="1"/>
        <rFont val="Microsoft YaHei"/>
        <family val="2"/>
        <charset val="134"/>
      </rPr>
      <t>倒角</t>
    </r>
    <r>
      <rPr>
        <sz val="11"/>
        <color theme="1"/>
        <rFont val="Arial"/>
        <family val="2"/>
      </rPr>
      <t>-Plane surface 
Radius</t>
    </r>
    <phoneticPr fontId="14" type="noConversion"/>
  </si>
  <si>
    <r>
      <rPr>
        <sz val="11"/>
        <color theme="1"/>
        <rFont val="Microsoft YaHei"/>
        <family val="2"/>
        <charset val="134"/>
      </rPr>
      <t>倒角</t>
    </r>
    <r>
      <rPr>
        <sz val="11"/>
        <color theme="1"/>
        <rFont val="Arial"/>
        <family val="2"/>
      </rPr>
      <t>-Sidewall
Radius</t>
    </r>
    <phoneticPr fontId="14" type="noConversion"/>
  </si>
  <si>
    <r>
      <rPr>
        <sz val="11"/>
        <rFont val="Arial"/>
        <family val="2"/>
        <charset val="134"/>
      </rPr>
      <t xml:space="preserve">盐雾试验
</t>
    </r>
    <r>
      <rPr>
        <sz val="11"/>
        <rFont val="Arial"/>
        <family val="2"/>
      </rPr>
      <t>SST</t>
    </r>
  </si>
  <si>
    <r>
      <rPr>
        <sz val="11"/>
        <rFont val="Arial"/>
        <family val="2"/>
        <charset val="134"/>
      </rPr>
      <t xml:space="preserve">盐雾机
</t>
    </r>
    <r>
      <rPr>
        <sz val="11"/>
        <rFont val="Arial"/>
        <family val="2"/>
      </rPr>
      <t>SST Tester</t>
    </r>
  </si>
  <si>
    <r>
      <rPr>
        <sz val="11"/>
        <rFont val="Microsoft YaHei"/>
        <family val="2"/>
        <charset val="134"/>
      </rPr>
      <t>百格测试</t>
    </r>
    <r>
      <rPr>
        <sz val="11"/>
        <rFont val="Arial"/>
        <family val="2"/>
      </rPr>
      <t xml:space="preserve">
Cross hatch testing</t>
    </r>
    <phoneticPr fontId="14" type="noConversion"/>
  </si>
  <si>
    <r>
      <rPr>
        <sz val="11"/>
        <rFont val="Arial"/>
        <family val="2"/>
        <charset val="134"/>
      </rPr>
      <t xml:space="preserve">划格刀
</t>
    </r>
    <r>
      <rPr>
        <sz val="11"/>
        <rFont val="Arial"/>
        <family val="2"/>
      </rPr>
      <t>Knife</t>
    </r>
  </si>
  <si>
    <r>
      <rPr>
        <sz val="11"/>
        <rFont val="Microsoft YaHei"/>
        <family val="2"/>
        <charset val="134"/>
      </rPr>
      <t>达因</t>
    </r>
    <r>
      <rPr>
        <sz val="11"/>
        <rFont val="Arial"/>
        <family val="2"/>
      </rPr>
      <t xml:space="preserve">
Dyne test</t>
    </r>
    <phoneticPr fontId="14" type="noConversion"/>
  </si>
  <si>
    <r>
      <rPr>
        <sz val="11"/>
        <rFont val="Arial"/>
        <family val="2"/>
        <charset val="134"/>
      </rPr>
      <t xml:space="preserve">达因笔
</t>
    </r>
    <r>
      <rPr>
        <sz val="11"/>
        <rFont val="Arial"/>
        <family val="2"/>
      </rPr>
      <t>Dyne pen</t>
    </r>
  </si>
  <si>
    <r>
      <rPr>
        <sz val="11"/>
        <rFont val="Arial"/>
        <family val="2"/>
        <charset val="134"/>
      </rPr>
      <t xml:space="preserve">金相显微镜
</t>
    </r>
    <r>
      <rPr>
        <sz val="11"/>
        <rFont val="Arial"/>
        <family val="2"/>
      </rPr>
      <t>Cross-section
Microscope(min.500x)</t>
    </r>
  </si>
  <si>
    <r>
      <rPr>
        <sz val="11"/>
        <rFont val="Arial"/>
        <family val="2"/>
        <charset val="134"/>
      </rPr>
      <t xml:space="preserve">光泽
</t>
    </r>
    <r>
      <rPr>
        <sz val="11"/>
        <rFont val="Arial"/>
        <family val="2"/>
      </rPr>
      <t>Gloss</t>
    </r>
  </si>
  <si>
    <r>
      <rPr>
        <sz val="11"/>
        <rFont val="Arial"/>
        <family val="2"/>
        <charset val="134"/>
      </rPr>
      <t xml:space="preserve">光泽度计
</t>
    </r>
    <r>
      <rPr>
        <sz val="11"/>
        <rFont val="Arial"/>
        <family val="2"/>
      </rPr>
      <t>Gloss Meter</t>
    </r>
  </si>
  <si>
    <r>
      <rPr>
        <sz val="11"/>
        <rFont val="Microsoft YaHei"/>
        <family val="2"/>
        <charset val="134"/>
      </rPr>
      <t>磁衰测试</t>
    </r>
    <r>
      <rPr>
        <sz val="11"/>
        <rFont val="Arial"/>
        <family val="2"/>
      </rPr>
      <t xml:space="preserve">
MM Decay
65</t>
    </r>
    <r>
      <rPr>
        <sz val="11"/>
        <rFont val="Cambria Math"/>
        <family val="2"/>
      </rPr>
      <t>℃</t>
    </r>
    <r>
      <rPr>
        <sz val="11"/>
        <rFont val="Microsoft YaHei"/>
        <family val="2"/>
        <charset val="134"/>
      </rPr>
      <t>，</t>
    </r>
    <r>
      <rPr>
        <sz val="11"/>
        <rFont val="Arial"/>
        <family val="2"/>
      </rPr>
      <t xml:space="preserve">30min, </t>
    </r>
    <phoneticPr fontId="14" type="noConversion"/>
  </si>
  <si>
    <r>
      <rPr>
        <sz val="11"/>
        <rFont val="Arial"/>
        <family val="2"/>
        <charset val="134"/>
      </rPr>
      <t xml:space="preserve">烘箱
</t>
    </r>
    <r>
      <rPr>
        <sz val="11"/>
        <rFont val="Arial"/>
        <family val="2"/>
      </rPr>
      <t>Oven</t>
    </r>
  </si>
  <si>
    <r>
      <rPr>
        <sz val="11"/>
        <rFont val="Microsoft YaHei"/>
        <family val="2"/>
        <charset val="134"/>
      </rPr>
      <t>总镀层厚度</t>
    </r>
    <r>
      <rPr>
        <sz val="11"/>
        <rFont val="Arial"/>
        <family val="2"/>
      </rPr>
      <t xml:space="preserve">
Overall Plating Thickness</t>
    </r>
    <phoneticPr fontId="14" type="noConversion"/>
  </si>
  <si>
    <r>
      <rPr>
        <sz val="11"/>
        <rFont val="Microsoft YaHei"/>
        <family val="2"/>
        <charset val="134"/>
      </rPr>
      <t>热震测试</t>
    </r>
    <r>
      <rPr>
        <sz val="11"/>
        <rFont val="Arial"/>
        <family val="2"/>
      </rPr>
      <t xml:space="preserve">
Heat Quench Test
250</t>
    </r>
    <r>
      <rPr>
        <sz val="11"/>
        <rFont val="SimSun"/>
        <family val="3"/>
        <charset val="134"/>
      </rPr>
      <t>℃</t>
    </r>
    <r>
      <rPr>
        <sz val="11"/>
        <rFont val="Arial"/>
        <family val="2"/>
      </rPr>
      <t>±10C</t>
    </r>
    <r>
      <rPr>
        <sz val="11"/>
        <rFont val="SimSun"/>
        <family val="3"/>
        <charset val="134"/>
      </rPr>
      <t>℃</t>
    </r>
    <r>
      <rPr>
        <sz val="11"/>
        <rFont val="Arial"/>
        <family val="2"/>
      </rPr>
      <t>,1H
0℃±2℃ for ice bath</t>
    </r>
    <phoneticPr fontId="17" type="noConversion"/>
  </si>
  <si>
    <r>
      <t>Total</t>
    </r>
    <r>
      <rPr>
        <sz val="11"/>
        <rFont val="Microsoft YaHei"/>
        <family val="2"/>
        <charset val="134"/>
      </rPr>
      <t>：</t>
    </r>
    <r>
      <rPr>
        <sz val="11"/>
        <rFont val="Arial"/>
        <family val="2"/>
      </rPr>
      <t>10-20 μm</t>
    </r>
    <phoneticPr fontId="14" type="noConversion"/>
  </si>
  <si>
    <r>
      <rPr>
        <sz val="11"/>
        <rFont val="Microsoft YaHei"/>
        <family val="2"/>
        <charset val="134"/>
      </rPr>
      <t>总镀层厚度</t>
    </r>
    <r>
      <rPr>
        <sz val="11"/>
        <rFont val="Arial"/>
        <family val="2"/>
      </rPr>
      <t>-Epoxy
Overall Plating Thickness</t>
    </r>
    <phoneticPr fontId="14" type="noConversion"/>
  </si>
  <si>
    <r>
      <rPr>
        <sz val="11"/>
        <color theme="1"/>
        <rFont val="黑体"/>
        <family val="3"/>
        <charset val="134"/>
      </rPr>
      <t>磁化饱和度</t>
    </r>
    <r>
      <rPr>
        <sz val="11"/>
        <color theme="1"/>
        <rFont val="Arial"/>
        <family val="2"/>
      </rPr>
      <t xml:space="preserve">
Magnetization saturation</t>
    </r>
    <phoneticPr fontId="14" type="noConversion"/>
  </si>
  <si>
    <r>
      <rPr>
        <sz val="11"/>
        <color theme="1"/>
        <rFont val="SimSun"/>
        <family val="3"/>
        <charset val="134"/>
      </rPr>
      <t>镭雕标记</t>
    </r>
    <r>
      <rPr>
        <sz val="11"/>
        <color theme="1"/>
        <rFont val="Arial"/>
        <family val="2"/>
      </rPr>
      <t>100%</t>
    </r>
    <r>
      <rPr>
        <sz val="11"/>
        <color theme="1"/>
        <rFont val="SimSun"/>
        <family val="3"/>
        <charset val="134"/>
      </rPr>
      <t xml:space="preserve">全检
</t>
    </r>
    <r>
      <rPr>
        <sz val="11"/>
        <color theme="1"/>
        <rFont val="Arial"/>
        <family val="2"/>
      </rPr>
      <t>Laser mark full inspection</t>
    </r>
    <phoneticPr fontId="26" type="noConversion"/>
  </si>
  <si>
    <r>
      <rPr>
        <sz val="11"/>
        <color theme="1"/>
        <rFont val="SimSun"/>
        <family val="3"/>
        <charset val="134"/>
      </rPr>
      <t>极性</t>
    </r>
    <r>
      <rPr>
        <sz val="11"/>
        <color theme="1"/>
        <rFont val="Arial"/>
        <family val="2"/>
      </rPr>
      <t>100%</t>
    </r>
    <r>
      <rPr>
        <sz val="11"/>
        <color theme="1"/>
        <rFont val="SimSun"/>
        <family val="3"/>
        <charset val="134"/>
      </rPr>
      <t xml:space="preserve">全检
</t>
    </r>
    <r>
      <rPr>
        <sz val="11"/>
        <color theme="1"/>
        <rFont val="Arial"/>
        <family val="2"/>
      </rPr>
      <t>Polarity full inspection</t>
    </r>
    <phoneticPr fontId="26" type="noConversion"/>
  </si>
  <si>
    <r>
      <rPr>
        <sz val="11"/>
        <color theme="1"/>
        <rFont val="黑体"/>
        <family val="3"/>
        <charset val="134"/>
      </rPr>
      <t>磁化饱和度</t>
    </r>
    <r>
      <rPr>
        <sz val="11"/>
        <color theme="1"/>
        <rFont val="Arial"/>
        <family val="2"/>
      </rPr>
      <t>100%</t>
    </r>
    <r>
      <rPr>
        <sz val="11"/>
        <color theme="1"/>
        <rFont val="黑体"/>
        <family val="3"/>
        <charset val="134"/>
      </rPr>
      <t>全检（充磁）</t>
    </r>
    <r>
      <rPr>
        <sz val="11"/>
        <color theme="1"/>
        <rFont val="Arial"/>
        <family val="2"/>
      </rPr>
      <t xml:space="preserve">
Magnetization saturation</t>
    </r>
    <r>
      <rPr>
        <sz val="11"/>
        <color theme="1"/>
        <rFont val="黑体"/>
        <family val="3"/>
        <charset val="134"/>
      </rPr>
      <t>（</t>
    </r>
    <r>
      <rPr>
        <sz val="11"/>
        <color theme="1"/>
        <rFont val="Arial"/>
        <family val="2"/>
      </rPr>
      <t>Magnetizing</t>
    </r>
    <r>
      <rPr>
        <sz val="11"/>
        <color theme="1"/>
        <rFont val="黑体"/>
        <family val="3"/>
        <charset val="134"/>
      </rPr>
      <t>）</t>
    </r>
    <phoneticPr fontId="26" type="noConversion"/>
  </si>
  <si>
    <r>
      <rPr>
        <sz val="11"/>
        <color theme="1"/>
        <rFont val="Microsoft YaHei"/>
        <family val="2"/>
        <charset val="134"/>
      </rPr>
      <t>外观</t>
    </r>
    <r>
      <rPr>
        <sz val="11"/>
        <color theme="1"/>
        <rFont val="Arial"/>
        <family val="2"/>
      </rPr>
      <t>100%</t>
    </r>
    <r>
      <rPr>
        <sz val="11"/>
        <color theme="1"/>
        <rFont val="Microsoft YaHei"/>
        <family val="2"/>
        <charset val="134"/>
      </rPr>
      <t>全检</t>
    </r>
    <r>
      <rPr>
        <sz val="11"/>
        <color theme="1"/>
        <rFont val="Arial"/>
        <family val="2"/>
      </rPr>
      <t xml:space="preserve">
Cosmetic inspection</t>
    </r>
    <phoneticPr fontId="26" type="noConversion"/>
  </si>
  <si>
    <r>
      <rPr>
        <sz val="11"/>
        <color theme="1"/>
        <rFont val="黑体"/>
        <family val="3"/>
        <charset val="134"/>
      </rPr>
      <t xml:space="preserve">弱磁（不充磁）
</t>
    </r>
    <r>
      <rPr>
        <sz val="11"/>
        <color theme="1"/>
        <rFont val="Arial"/>
        <family val="2"/>
      </rPr>
      <t>Weak magnetization(Unmagnetizing)</t>
    </r>
    <phoneticPr fontId="26" type="noConversion"/>
  </si>
  <si>
    <t>弱磁（不充磁）
Weak magnetization(Unmagnetizing)</t>
  </si>
  <si>
    <r>
      <rPr>
        <sz val="11"/>
        <color theme="1"/>
        <rFont val="Microsoft YaHei"/>
        <family val="2"/>
        <charset val="134"/>
      </rPr>
      <t>显影片上不显示的图像</t>
    </r>
    <r>
      <rPr>
        <sz val="11"/>
        <color theme="1"/>
        <rFont val="Arial"/>
        <family val="2"/>
      </rPr>
      <t xml:space="preserve">
The outline of the image don't displayed on the magnetic film </t>
    </r>
    <phoneticPr fontId="14" type="noConversion"/>
  </si>
  <si>
    <t xml:space="preserve">显影片上不显示的图像
The outline of the image don't displayed on the magnetic film </t>
  </si>
  <si>
    <t>Material
N35SH-100R2(REE)
Br:11.7~12.2KGs
Hcj:20 KOe minimum
BHmax: 33~36 MGOe</t>
  </si>
  <si>
    <t>Material
N42SH-100R2(REE)
Br:12.8~13.2KGs
Hcj:20 KOe minimum
BHmax: 40~43 MGOe</t>
  </si>
  <si>
    <t>Material
N45SH-100R2(REE)
Br:13.2~13.8KGs
Hcj:20 KOe minimum
BHmax: 42.98~45.99 MGOe</t>
  </si>
  <si>
    <t>For CNC pR2oess, need add process description (eg. CNC5 structure side finishing CNC).</t>
  </si>
  <si>
    <t>X ±0.048</t>
    <phoneticPr fontId="14" type="noConversion"/>
  </si>
  <si>
    <t>Y ±0.048</t>
    <phoneticPr fontId="14" type="noConversion"/>
  </si>
  <si>
    <t>Z ±0.038</t>
    <phoneticPr fontId="14" type="noConversion"/>
  </si>
  <si>
    <t>Total 10-20μm</t>
    <phoneticPr fontId="14" type="noConversion"/>
  </si>
  <si>
    <t>099-04896_Class D</t>
    <phoneticPr fontId="14" type="noConversion"/>
  </si>
  <si>
    <t>X ±0.048</t>
  </si>
  <si>
    <t>Y ±0.048</t>
  </si>
  <si>
    <t>Z ±0.038</t>
  </si>
  <si>
    <t>Nominal±5˚
Refer summary table</t>
  </si>
  <si>
    <t>MM</t>
    <phoneticPr fontId="14" type="noConversion"/>
  </si>
  <si>
    <t>Yield&gt;99.5%</t>
  </si>
  <si>
    <t>DVT</t>
    <phoneticPr fontId="14" type="noConversion"/>
  </si>
  <si>
    <t>099-53721-08</t>
    <phoneticPr fontId="14" type="noConversion"/>
  </si>
  <si>
    <t>160-06672</t>
  </si>
  <si>
    <t>160-06671</t>
  </si>
  <si>
    <t>MAG,C,FH,HD,TRI,01,TW,THINFPS,R240</t>
  </si>
  <si>
    <t>MAG,C,FH,TRI,01,THINFPS,R240</t>
  </si>
  <si>
    <t>MAG,C,FH,HD,TRI,02,TW,THINFPS,240</t>
  </si>
  <si>
    <t>MAG,C,FH,HD,TRI,03,TW,THINFPS,240</t>
  </si>
  <si>
    <t>MAG,C,FH,TRI,02,THINFPS,R240</t>
  </si>
  <si>
    <t>MAG,C,CH,TRI,01,THINFPS,R240</t>
  </si>
  <si>
    <t>MAG,C,CH,TRI,02,THINFPS,R240</t>
  </si>
  <si>
    <t>MAG,C,CH,HD,TRI,01,TW,THINFPS,R240</t>
  </si>
  <si>
    <t>MAG,C,CH,HD,TRI,02,TW,THINFPS,R240</t>
  </si>
  <si>
    <t>MAG,C,ED,01,R413</t>
  </si>
  <si>
    <t>MAG,C,SLIDER,OPT_1,R413</t>
  </si>
  <si>
    <t>MAG,C,ED,02,R413</t>
  </si>
  <si>
    <t>MAG,C,ED,03,R413</t>
  </si>
  <si>
    <t>MAG,C,HES,R413</t>
  </si>
  <si>
    <t>MAG,C,BAL,R413</t>
  </si>
  <si>
    <t>MAG,C,ED,04,R413</t>
  </si>
  <si>
    <t>MAG,B,STICK,THINFPS,01,R240</t>
  </si>
  <si>
    <t>MAG,B,STICK,THINFPS,02,R240</t>
  </si>
  <si>
    <t>MAG,A,FH,TRI,01,TW,THINFPS,R240</t>
  </si>
  <si>
    <t>MAG,A,FH,TRI,02,THINFPS,R240</t>
  </si>
  <si>
    <t>MAG,A,FH,TRI,03,TW,THINFPS,R240</t>
  </si>
  <si>
    <t>MAG,A,FH,TRI,04,TW,THINFPS,R240</t>
  </si>
  <si>
    <t>MAG,A,FH,TRI,05,THINFPS,R240</t>
  </si>
  <si>
    <t>MAG,A,CH,TRI,01,THINFPS,R240</t>
  </si>
  <si>
    <t>MAG,A,CH,TRI,02,THINFPS,R240</t>
  </si>
  <si>
    <t>MAG,A,CH,TRI,03,TW,THINFPS,R240</t>
  </si>
  <si>
    <t>MAG,A,CH,TRI,04,TW,THINFPS,R240</t>
  </si>
  <si>
    <t>MAG,A,ACRUSH,THINFPS,01,R240</t>
  </si>
  <si>
    <t>MAG,A,BAL,R413</t>
  </si>
  <si>
    <t>MAG,A,HES,BONDED,R413</t>
  </si>
  <si>
    <t>MAG,A,STICK,01,R240</t>
  </si>
  <si>
    <t>MAG,A,STICK,02,R240</t>
  </si>
  <si>
    <t>MAG,BACK,RAIL,01,R240</t>
  </si>
  <si>
    <t>MAG,BACK,RAIL,02,R240</t>
  </si>
  <si>
    <t>MAG,BACK,ED,01,R413</t>
  </si>
  <si>
    <t>MAG,BACK,ED,02,R413</t>
  </si>
  <si>
    <t>MAG,BACK,ED,03,R413</t>
  </si>
  <si>
    <t>MAG,BACK,ED,04,R413</t>
  </si>
  <si>
    <t>MAG,BACK,ED,05,R413</t>
  </si>
  <si>
    <t>MAG,BACK,PEEK,01,TW,R413</t>
  </si>
  <si>
    <t>MAG,BACK,PEEK,02,R413</t>
  </si>
  <si>
    <t>MAG,BACK,PEEK,03,TW,R240</t>
  </si>
  <si>
    <t>MAG,BACK,PEEK,04,R413</t>
  </si>
  <si>
    <t>MAG,BACK,PEEK,05,R413</t>
  </si>
  <si>
    <t>MAG,BACK,PEEK,06,TW,R240</t>
  </si>
  <si>
    <t>MAG,B,BACK,MULTI,01,R413</t>
  </si>
  <si>
    <t>MAG,BACK,ASTICK,01,R240</t>
  </si>
  <si>
    <t>MAG,BACK,ASTICK,02,R240</t>
  </si>
  <si>
    <t>55° OFF Y IN YZ PLANE</t>
  </si>
  <si>
    <t>NORMAL</t>
  </si>
  <si>
    <t>4.65～5.45</t>
  </si>
  <si>
    <t>3.31～3.89</t>
  </si>
  <si>
    <t>2.49～2.93</t>
  </si>
  <si>
    <t>5.19～6.09</t>
  </si>
  <si>
    <t>3.02～3.54</t>
  </si>
  <si>
    <t>2.73～3.21</t>
  </si>
  <si>
    <t>6.54～7.68</t>
  </si>
  <si>
    <t>5.26～6.18</t>
  </si>
  <si>
    <t>4.78～5.62</t>
  </si>
  <si>
    <t>3.04～3.57</t>
  </si>
  <si>
    <t>6.46～7.58</t>
  </si>
  <si>
    <t>2.39～2.80</t>
  </si>
  <si>
    <t>1.43～1.67</t>
  </si>
  <si>
    <t>8.66～10.17</t>
  </si>
  <si>
    <t>6.66～7.82</t>
  </si>
  <si>
    <t>1.93～2.26</t>
  </si>
  <si>
    <t>3.13～3.67</t>
  </si>
  <si>
    <t>4.17～4.89</t>
  </si>
  <si>
    <t>7.71～9.05</t>
  </si>
  <si>
    <t>5.00～5.88</t>
  </si>
  <si>
    <t>10.45～12.27</t>
  </si>
  <si>
    <t>4.35～5.11</t>
  </si>
  <si>
    <t>3.95～4.63</t>
  </si>
  <si>
    <t>9.45～11.09</t>
  </si>
  <si>
    <t>10.60～12.44</t>
  </si>
  <si>
    <t>5.65～6.63</t>
  </si>
  <si>
    <t>3.62～4.26</t>
  </si>
  <si>
    <t>2.32～2.72</t>
  </si>
  <si>
    <t>5.15～6.04</t>
  </si>
  <si>
    <t>2.95～3.423</t>
  </si>
  <si>
    <t>5.03～5.91</t>
  </si>
  <si>
    <t>2.49～2.92</t>
  </si>
  <si>
    <t>1.98～2.33</t>
  </si>
  <si>
    <t>1.17～1.37</t>
  </si>
  <si>
    <t>0.65～0.76</t>
  </si>
  <si>
    <t>1.57～1.85</t>
  </si>
  <si>
    <t>4.24～4.97</t>
  </si>
  <si>
    <t>2.38～2.80</t>
  </si>
  <si>
    <t>3.68～4.32</t>
  </si>
  <si>
    <t>1.47～1.73</t>
  </si>
  <si>
    <t>5.59～6.56</t>
  </si>
  <si>
    <t>0.99～1.17</t>
  </si>
  <si>
    <t>1.84～2.16</t>
  </si>
  <si>
    <t>2.09～2.45</t>
  </si>
  <si>
    <t>2.58~3.02</t>
    <phoneticPr fontId="14" type="noConversion"/>
  </si>
  <si>
    <t>2.93~3.43</t>
    <phoneticPr fontId="14" type="noConversion"/>
  </si>
  <si>
    <t>Y（单面镭雕）</t>
  </si>
  <si>
    <t>Bright Zinc</t>
    <phoneticPr fontId="14" type="noConversion"/>
  </si>
  <si>
    <t>Sintered Summary</t>
    <phoneticPr fontId="14" type="noConversion"/>
  </si>
  <si>
    <t>Bonded Summary</t>
    <phoneticPr fontId="14" type="noConversion"/>
  </si>
  <si>
    <t>10 pcs/lot</t>
    <phoneticPr fontId="17" type="noConversion"/>
  </si>
  <si>
    <t>Refer to Sintered Summary Table
X ±0.04</t>
    <phoneticPr fontId="17" type="noConversion"/>
  </si>
  <si>
    <t>Refer to Sintered Summary Table
X ±0.02</t>
    <phoneticPr fontId="17" type="noConversion"/>
  </si>
  <si>
    <t>Refer to Sintered Summary Table
Y ±0.04</t>
    <phoneticPr fontId="17" type="noConversion"/>
  </si>
  <si>
    <t>Refer to Sintered Summary Table
Y±0.02</t>
    <phoneticPr fontId="17" type="noConversion"/>
  </si>
  <si>
    <t>Refer to Sintered Summary Table
Z ±0.04</t>
    <phoneticPr fontId="17" type="noConversion"/>
  </si>
  <si>
    <t>Refer to Sintered Summary Table
Z ±0.02</t>
    <phoneticPr fontId="17" type="noConversion"/>
  </si>
  <si>
    <t>Refer to Bonded Summary Table
X ±0.03</t>
    <phoneticPr fontId="17" type="noConversion"/>
  </si>
  <si>
    <t>Refer to Bonded Summary Table
Y ±0.03</t>
    <phoneticPr fontId="17" type="noConversion"/>
  </si>
  <si>
    <t>Refer to Bonded Summary Table
Z ±0.03</t>
    <phoneticPr fontId="17" type="noConversion"/>
  </si>
  <si>
    <t xml:space="preserve"> X ±0.05
Refer summary table</t>
    <phoneticPr fontId="14" type="noConversion"/>
  </si>
  <si>
    <t>Y±0.05
Refer summary table</t>
    <phoneticPr fontId="14" type="noConversion"/>
  </si>
  <si>
    <t>Z±0.04
Refer summary table</t>
    <phoneticPr fontId="14" type="noConversion"/>
  </si>
  <si>
    <t>X±0.03
Refer summary table</t>
    <phoneticPr fontId="14" type="noConversion"/>
  </si>
  <si>
    <t>Y±0.03
Refer summary table</t>
    <phoneticPr fontId="14" type="noConversion"/>
  </si>
  <si>
    <t>Z±0.03
Refer summary table</t>
    <phoneticPr fontId="14" type="noConversion"/>
  </si>
  <si>
    <t>X±0.05
Refer summary table</t>
    <phoneticPr fontId="14" type="noConversion"/>
  </si>
  <si>
    <t>GB2828 AQL 0.4 level 2</t>
    <phoneticPr fontId="14" type="noConversion"/>
  </si>
  <si>
    <t>FAI 1/SPC A
X ± 0.05</t>
    <phoneticPr fontId="14" type="noConversion"/>
  </si>
  <si>
    <t>FAI 2/SPC B
Y ± 0.05</t>
    <phoneticPr fontId="14" type="noConversion"/>
  </si>
  <si>
    <t>FAI3/SPC C
Z ±0.04</t>
    <phoneticPr fontId="14" type="noConversion"/>
  </si>
  <si>
    <t>2.58~3.02</t>
  </si>
  <si>
    <t>2.93~3.43</t>
  </si>
  <si>
    <t>5.8~6.8</t>
  </si>
  <si>
    <r>
      <rPr>
        <sz val="11"/>
        <rFont val="Microsoft YaHei"/>
        <family val="2"/>
        <charset val="134"/>
      </rPr>
      <t>烧结磁铁</t>
    </r>
    <r>
      <rPr>
        <sz val="11"/>
        <rFont val="Arial"/>
        <family val="2"/>
      </rPr>
      <t xml:space="preserve"> </t>
    </r>
    <r>
      <rPr>
        <sz val="11"/>
        <rFont val="Microsoft YaHei"/>
        <family val="2"/>
        <charset val="134"/>
      </rPr>
      <t>物料检验</t>
    </r>
    <r>
      <rPr>
        <sz val="11"/>
        <rFont val="Arial"/>
        <family val="2"/>
      </rPr>
      <t xml:space="preserve"> 
Sintered manget Material inspection</t>
    </r>
    <phoneticPr fontId="14" type="noConversion"/>
  </si>
  <si>
    <r>
      <rPr>
        <sz val="11"/>
        <rFont val="Microsoft YaHei"/>
        <family val="2"/>
        <charset val="134"/>
      </rPr>
      <t xml:space="preserve">粘接磁铁 物料检验
</t>
    </r>
    <r>
      <rPr>
        <sz val="11"/>
        <rFont val="Arial"/>
        <family val="2"/>
      </rPr>
      <t>Bonded manget Material inspection</t>
    </r>
    <phoneticPr fontId="14" type="noConversion"/>
  </si>
  <si>
    <r>
      <rPr>
        <sz val="11"/>
        <rFont val="黑体"/>
        <family val="3"/>
        <charset val="134"/>
      </rPr>
      <t>极性</t>
    </r>
    <r>
      <rPr>
        <sz val="11"/>
        <rFont val="SimSun"/>
        <family val="3"/>
        <charset val="134"/>
      </rPr>
      <t xml:space="preserve">
</t>
    </r>
    <r>
      <rPr>
        <sz val="11"/>
        <rFont val="Arial"/>
        <family val="2"/>
      </rPr>
      <t>Polarity</t>
    </r>
    <phoneticPr fontId="14" type="noConversion"/>
  </si>
  <si>
    <t>Refer to Sintered Summary Table
X ±0.04</t>
  </si>
  <si>
    <t>Refer to Sintered Summary Table
X ±0.02</t>
  </si>
  <si>
    <t>Refer to Sintered Summary Table
Y ±0.04</t>
  </si>
  <si>
    <t>Refer to Sintered Summary Table
Y±0.02</t>
  </si>
  <si>
    <t>Refer to Sintered Summary Table
Z ±0.04</t>
  </si>
  <si>
    <t>Refer to Sintered Summary Table
Z ±0.02</t>
  </si>
  <si>
    <t>Refer to Sintered Summary Table
X ±0.03</t>
  </si>
  <si>
    <t>Refer to Sintered Summary Table
X ±0.015</t>
  </si>
  <si>
    <t>Refer to Sintered Summary Table
Y ±0.03</t>
  </si>
  <si>
    <t>Refer to Sintered Summary Table
Y±0.015</t>
  </si>
  <si>
    <t>Refer to Sintered Summary Table
Z ±0.03</t>
  </si>
  <si>
    <t>Refer to Sintered Summary Table
Z ±0.015</t>
  </si>
  <si>
    <t>5.975±0.125</t>
  </si>
  <si>
    <t>5.975±0.125</t>
    <phoneticPr fontId="14" type="noConversion"/>
  </si>
  <si>
    <t>Refer to Bonded Summary Table
Y ±0.03</t>
  </si>
  <si>
    <t>Refer to Bonded Summary Table
Z ±0.03</t>
  </si>
  <si>
    <t>Refer to Bonded Summary Table
X ±0.03</t>
    <phoneticPr fontId="14" type="noConversion"/>
  </si>
  <si>
    <t>Refer to Bonded Summary Table
X ±0.023</t>
    <phoneticPr fontId="14" type="noConversion"/>
  </si>
  <si>
    <t>Refer to Bonded Summary Table
Y ±0.023</t>
    <phoneticPr fontId="14" type="noConversion"/>
  </si>
  <si>
    <t>Refer to Bonded Summary Table
Z ±0.023</t>
    <phoneticPr fontId="14" type="noConversion"/>
  </si>
  <si>
    <t>Nominal±7˚
Refer summary table</t>
    <phoneticPr fontId="14" type="noConversion"/>
  </si>
  <si>
    <t>FAI5/SPC E
Nominal ±7˚</t>
    <phoneticPr fontId="14" type="noConversion"/>
  </si>
  <si>
    <t>FAI4/SPC D
Refer to Table MM</t>
    <phoneticPr fontId="14" type="noConversion"/>
  </si>
  <si>
    <r>
      <rPr>
        <sz val="11"/>
        <rFont val="SimSun"/>
        <family val="3"/>
        <charset val="134"/>
      </rPr>
      <t xml:space="preserve">盐雾试验
</t>
    </r>
    <r>
      <rPr>
        <sz val="11"/>
        <rFont val="Arial"/>
        <family val="2"/>
      </rPr>
      <t>No corrosion and pitting
24hrs(No Laser mark)
No corrosion and pitting
12hrs(Laser mark)</t>
    </r>
    <phoneticPr fontId="14" type="noConversion"/>
  </si>
  <si>
    <t>MAGNET,MAP,THINFPS,EXIT,R240</t>
    <phoneticPr fontId="14" type="noConversion"/>
  </si>
  <si>
    <r>
      <rPr>
        <sz val="11"/>
        <rFont val="Microsoft YaHei"/>
        <family val="2"/>
        <charset val="134"/>
      </rPr>
      <t>镀层拉力</t>
    </r>
    <r>
      <rPr>
        <sz val="11"/>
        <rFont val="Arial"/>
        <family val="2"/>
      </rPr>
      <t xml:space="preserve">
Plating Pull Force</t>
    </r>
    <phoneticPr fontId="14" type="noConversion"/>
  </si>
  <si>
    <t>MM Decay&lt;5%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</si>
</sst>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09]dd/mmm/yy;@"/>
    <numFmt numFmtId="177" formatCode="[$-F800]dddd\,\ mmmm\ dd\,\ yyyy"/>
    <numFmt numFmtId="178" formatCode="[$-409]d/mmm;@"/>
    <numFmt numFmtId="179" formatCode="0.000"/>
    <numFmt numFmtId="180" formatCode="[$-409]d\-mmm;@"/>
    <numFmt numFmtId="181" formatCode="0.00_ "/>
    <numFmt numFmtId="182" formatCode="0.0_ "/>
  </numFmts>
  <fonts count="45">
    <font>
      <sz val="12"/>
      <color theme="1"/>
      <name val="等线"/>
      <family val="2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sz val="10"/>
      <name val="Helv"/>
      <family val="2"/>
    </font>
    <font>
      <sz val="11"/>
      <name val="Arial"/>
      <family val="2"/>
    </font>
    <font>
      <sz val="11"/>
      <color theme="1"/>
      <name val="等线"/>
      <family val="4"/>
      <charset val="134"/>
      <scheme val="minor"/>
    </font>
    <font>
      <b/>
      <sz val="1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3" tint="0.249977111117893"/>
      <name val="Arial"/>
      <family val="2"/>
    </font>
    <font>
      <sz val="9"/>
      <name val="等线"/>
      <family val="3"/>
      <charset val="134"/>
      <scheme val="minor"/>
    </font>
    <font>
      <u/>
      <sz val="12"/>
      <color theme="10"/>
      <name val="等线"/>
      <family val="2"/>
      <scheme val="minor"/>
    </font>
    <font>
      <sz val="11"/>
      <name val="Microsoft YaHei"/>
      <family val="2"/>
      <charset val="134"/>
    </font>
    <font>
      <sz val="9"/>
      <name val="等线"/>
      <family val="3"/>
      <charset val="136"/>
      <scheme val="minor"/>
    </font>
    <font>
      <sz val="11"/>
      <name val="Arial"/>
      <family val="2"/>
      <charset val="134"/>
    </font>
    <font>
      <sz val="12"/>
      <color theme="1"/>
      <name val="Microsoft YaHei"/>
      <family val="2"/>
      <charset val="134"/>
    </font>
    <font>
      <sz val="9"/>
      <name val="等线"/>
      <family val="2"/>
      <charset val="134"/>
      <scheme val="minor"/>
    </font>
    <font>
      <sz val="11"/>
      <name val="SimSun"/>
      <family val="3"/>
      <charset val="134"/>
    </font>
    <font>
      <sz val="11"/>
      <name val="Cambria Math"/>
      <family val="2"/>
    </font>
    <font>
      <sz val="11"/>
      <name val="宋体-简"/>
      <family val="1"/>
      <charset val="134"/>
    </font>
    <font>
      <sz val="11"/>
      <name val="Arial"/>
      <family val="3"/>
      <charset val="134"/>
    </font>
    <font>
      <sz val="11"/>
      <color theme="1"/>
      <name val="Arial"/>
      <family val="3"/>
      <charset val="134"/>
    </font>
    <font>
      <sz val="9"/>
      <name val="等线"/>
      <family val="4"/>
      <charset val="134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3"/>
      <charset val="134"/>
    </font>
    <font>
      <sz val="11"/>
      <color theme="1"/>
      <name val="等线"/>
      <family val="3"/>
      <charset val="134"/>
      <scheme val="minor"/>
    </font>
    <font>
      <b/>
      <sz val="16"/>
      <color theme="1"/>
      <name val="Arial"/>
      <family val="2"/>
    </font>
    <font>
      <sz val="11"/>
      <color theme="1"/>
      <name val="黑体"/>
      <family val="3"/>
      <charset val="134"/>
    </font>
    <font>
      <sz val="11"/>
      <color theme="1"/>
      <name val="SimSun"/>
      <family val="3"/>
      <charset val="134"/>
    </font>
    <font>
      <sz val="11"/>
      <color rgb="FF0432FF"/>
      <name val="Arial"/>
      <family val="2"/>
    </font>
    <font>
      <sz val="11"/>
      <color theme="1"/>
      <name val="宋体"/>
      <family val="3"/>
      <charset val="134"/>
    </font>
    <font>
      <sz val="11"/>
      <color theme="1"/>
      <name val="Microsoft YaHei"/>
      <family val="2"/>
      <charset val="134"/>
    </font>
    <font>
      <sz val="11"/>
      <color theme="1"/>
      <name val="Arial"/>
      <family val="2"/>
      <charset val="134"/>
    </font>
    <font>
      <sz val="11"/>
      <color theme="1"/>
      <name val="宋体-简"/>
      <family val="1"/>
      <charset val="134"/>
    </font>
    <font>
      <sz val="11"/>
      <color theme="1"/>
      <name val="Microsoft YaHei"/>
      <family val="3"/>
      <charset val="134"/>
    </font>
    <font>
      <sz val="11"/>
      <color theme="1"/>
      <name val="Arial"/>
      <family val="3"/>
    </font>
    <font>
      <b/>
      <sz val="9"/>
      <color theme="1"/>
      <name val="Arial"/>
      <family val="2"/>
    </font>
    <font>
      <u/>
      <sz val="12"/>
      <color theme="1"/>
      <name val="Arial"/>
      <family val="2"/>
    </font>
    <font>
      <sz val="11"/>
      <name val="黑体"/>
      <family val="3"/>
      <charset val="134"/>
    </font>
    <font>
      <sz val="12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DBEAF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176" fontId="1" fillId="0" borderId="0">
      <alignment vertical="center"/>
    </xf>
    <xf numFmtId="177" fontId="2" fillId="0" borderId="0"/>
    <xf numFmtId="177" fontId="5" fillId="0" borderId="0"/>
    <xf numFmtId="177" fontId="6" fillId="0" borderId="0">
      <alignment vertical="center"/>
    </xf>
    <xf numFmtId="177" fontId="7" fillId="0" borderId="0"/>
    <xf numFmtId="177" fontId="5" fillId="0" borderId="0"/>
    <xf numFmtId="177" fontId="5" fillId="0" borderId="0"/>
    <xf numFmtId="178" fontId="5" fillId="0" borderId="0"/>
    <xf numFmtId="177" fontId="5" fillId="0" borderId="0"/>
    <xf numFmtId="177" fontId="9" fillId="0" borderId="0"/>
    <xf numFmtId="177" fontId="2" fillId="0" borderId="0"/>
    <xf numFmtId="0" fontId="15" fillId="0" borderId="0" applyNumberFormat="0" applyFill="0" applyBorder="0" applyAlignment="0" applyProtection="0"/>
    <xf numFmtId="180" fontId="30" fillId="0" borderId="0">
      <alignment vertical="center"/>
    </xf>
  </cellStyleXfs>
  <cellXfs count="152">
    <xf numFmtId="0" fontId="0" fillId="0" borderId="0" xfId="0"/>
    <xf numFmtId="9" fontId="4" fillId="2" borderId="1" xfId="5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1" xfId="3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4" fillId="2" borderId="0" xfId="3" applyNumberFormat="1" applyFont="1" applyFill="1" applyAlignment="1" applyProtection="1">
      <alignment horizontal="center" vertical="center" wrapText="1"/>
      <protection locked="0"/>
    </xf>
    <xf numFmtId="0" fontId="4" fillId="2" borderId="0" xfId="3" applyNumberFormat="1" applyFont="1" applyFill="1" applyAlignment="1" applyProtection="1">
      <alignment horizontal="center" vertical="top" wrapText="1"/>
      <protection locked="0"/>
    </xf>
    <xf numFmtId="0" fontId="4" fillId="2" borderId="1" xfId="3" applyNumberFormat="1" applyFont="1" applyFill="1" applyBorder="1" applyAlignment="1" applyProtection="1">
      <alignment horizontal="center" vertical="center" wrapText="1"/>
      <protection locked="0"/>
    </xf>
    <xf numFmtId="0" fontId="4" fillId="2" borderId="1" xfId="4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3" applyNumberFormat="1" applyFont="1" applyBorder="1" applyAlignment="1" applyProtection="1">
      <alignment horizontal="center" vertical="center" wrapText="1"/>
      <protection locked="0"/>
    </xf>
    <xf numFmtId="0" fontId="4" fillId="2" borderId="0" xfId="6" applyNumberFormat="1" applyFont="1" applyFill="1" applyAlignment="1" applyProtection="1">
      <alignment vertical="center" wrapText="1"/>
      <protection locked="0"/>
    </xf>
    <xf numFmtId="0" fontId="4" fillId="2" borderId="1" xfId="6" applyNumberFormat="1" applyFont="1" applyFill="1" applyBorder="1" applyAlignment="1" applyProtection="1">
      <alignment horizontal="center" vertical="center" wrapText="1"/>
      <protection locked="0"/>
    </xf>
    <xf numFmtId="0" fontId="4" fillId="2" borderId="0" xfId="3" applyNumberFormat="1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0" xfId="3" applyNumberFormat="1" applyFont="1" applyFill="1" applyAlignment="1">
      <alignment horizontal="center" vertical="top" wrapText="1"/>
    </xf>
    <xf numFmtId="0" fontId="4" fillId="0" borderId="0" xfId="3" applyNumberFormat="1" applyFont="1" applyAlignment="1">
      <alignment horizontal="center" vertical="center" wrapText="1"/>
    </xf>
    <xf numFmtId="0" fontId="4" fillId="3" borderId="1" xfId="11" applyNumberFormat="1" applyFont="1" applyFill="1" applyBorder="1" applyAlignment="1">
      <alignment horizontal="center" vertical="center" wrapText="1"/>
    </xf>
    <xf numFmtId="0" fontId="4" fillId="3" borderId="3" xfId="11" applyNumberFormat="1" applyFont="1" applyFill="1" applyBorder="1" applyAlignment="1">
      <alignment horizontal="center" vertical="center" wrapText="1"/>
    </xf>
    <xf numFmtId="0" fontId="4" fillId="4" borderId="1" xfId="3" applyNumberFormat="1" applyFont="1" applyFill="1" applyBorder="1" applyAlignment="1">
      <alignment horizontal="center" vertical="center" wrapText="1"/>
    </xf>
    <xf numFmtId="0" fontId="4" fillId="3" borderId="2" xfId="1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14" fontId="4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8" fillId="0" borderId="1" xfId="3" applyNumberFormat="1" applyFont="1" applyBorder="1" applyAlignment="1" applyProtection="1">
      <alignment horizontal="center" vertical="center" wrapText="1"/>
      <protection locked="0"/>
    </xf>
    <xf numFmtId="9" fontId="8" fillId="2" borderId="1" xfId="5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3" applyNumberFormat="1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>
      <alignment horizontal="center" vertical="center" wrapText="1"/>
    </xf>
    <xf numFmtId="0" fontId="18" fillId="2" borderId="1" xfId="3" applyNumberFormat="1" applyFont="1" applyFill="1" applyBorder="1" applyAlignment="1" applyProtection="1">
      <alignment horizontal="center" vertical="center" wrapText="1"/>
      <protection locked="0"/>
    </xf>
    <xf numFmtId="0" fontId="11" fillId="5" borderId="1" xfId="3" applyNumberFormat="1" applyFont="1" applyFill="1" applyBorder="1" applyAlignment="1" applyProtection="1">
      <alignment horizontal="center" vertical="center" wrapText="1"/>
      <protection locked="0"/>
    </xf>
    <xf numFmtId="0" fontId="12" fillId="2" borderId="1" xfId="3" applyNumberFormat="1" applyFont="1" applyFill="1" applyBorder="1" applyAlignment="1" applyProtection="1">
      <alignment horizontal="center" vertical="center" wrapText="1"/>
      <protection locked="0"/>
    </xf>
    <xf numFmtId="179" fontId="11" fillId="2" borderId="1" xfId="3" applyNumberFormat="1" applyFont="1" applyFill="1" applyBorder="1" applyAlignment="1" applyProtection="1">
      <alignment horizontal="center" vertical="center" wrapText="1"/>
      <protection locked="0"/>
    </xf>
    <xf numFmtId="49" fontId="8" fillId="0" borderId="1" xfId="3" applyNumberFormat="1" applyFont="1" applyBorder="1" applyAlignment="1" applyProtection="1">
      <alignment horizontal="center" vertical="center" wrapText="1"/>
      <protection locked="0"/>
    </xf>
    <xf numFmtId="0" fontId="8" fillId="2" borderId="1" xfId="4" applyNumberFormat="1" applyFont="1" applyFill="1" applyBorder="1" applyAlignment="1" applyProtection="1">
      <alignment horizontal="center" vertical="center" wrapText="1"/>
      <protection locked="0"/>
    </xf>
    <xf numFmtId="49" fontId="8" fillId="0" borderId="1" xfId="4" applyNumberFormat="1" applyFont="1" applyBorder="1" applyAlignment="1" applyProtection="1">
      <alignment horizontal="center" vertical="center" wrapText="1"/>
      <protection locked="0"/>
    </xf>
    <xf numFmtId="0" fontId="8" fillId="0" borderId="1" xfId="4" applyNumberFormat="1" applyFont="1" applyBorder="1" applyAlignment="1" applyProtection="1">
      <alignment horizontal="center" vertical="center" wrapText="1"/>
      <protection locked="0"/>
    </xf>
    <xf numFmtId="49" fontId="8" fillId="2" borderId="1" xfId="4" applyNumberFormat="1" applyFont="1" applyFill="1" applyBorder="1" applyAlignment="1" applyProtection="1">
      <alignment horizontal="center" vertical="center" wrapText="1"/>
      <protection locked="0"/>
    </xf>
    <xf numFmtId="49" fontId="8" fillId="2" borderId="1" xfId="3" applyNumberFormat="1" applyFont="1" applyFill="1" applyBorder="1" applyAlignment="1" applyProtection="1">
      <alignment horizontal="center" vertical="center" wrapText="1"/>
      <protection locked="0"/>
    </xf>
    <xf numFmtId="0" fontId="18" fillId="0" borderId="1" xfId="4" applyNumberFormat="1" applyFont="1" applyBorder="1" applyAlignment="1" applyProtection="1">
      <alignment horizontal="center" vertical="center" wrapText="1"/>
      <protection locked="0"/>
    </xf>
    <xf numFmtId="0" fontId="8" fillId="0" borderId="1" xfId="6" applyNumberFormat="1" applyFont="1" applyBorder="1" applyAlignment="1" applyProtection="1">
      <alignment horizontal="center" vertical="center" wrapText="1"/>
      <protection locked="0"/>
    </xf>
    <xf numFmtId="0" fontId="8" fillId="0" borderId="1" xfId="5" applyNumberFormat="1" applyFont="1" applyBorder="1" applyAlignment="1" applyProtection="1">
      <alignment horizontal="center" vertical="center" wrapText="1"/>
      <protection locked="0"/>
    </xf>
    <xf numFmtId="0" fontId="8" fillId="2" borderId="0" xfId="6" applyNumberFormat="1" applyFont="1" applyFill="1" applyAlignment="1" applyProtection="1">
      <alignment vertical="center" wrapText="1"/>
      <protection locked="0"/>
    </xf>
    <xf numFmtId="49" fontId="4" fillId="0" borderId="1" xfId="3" applyNumberFormat="1" applyFont="1" applyBorder="1" applyAlignment="1" applyProtection="1">
      <alignment horizontal="center" vertical="center" wrapText="1"/>
      <protection locked="0"/>
    </xf>
    <xf numFmtId="9" fontId="4" fillId="7" borderId="8" xfId="0" applyNumberFormat="1" applyFont="1" applyFill="1" applyBorder="1" applyAlignment="1" applyProtection="1">
      <alignment horizontal="center" vertical="center" wrapText="1"/>
      <protection locked="0"/>
    </xf>
    <xf numFmtId="9" fontId="8" fillId="2" borderId="9" xfId="5" applyNumberFormat="1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/>
    </xf>
    <xf numFmtId="0" fontId="1" fillId="2" borderId="9" xfId="3" applyNumberFormat="1" applyFont="1" applyFill="1" applyBorder="1" applyAlignment="1" applyProtection="1">
      <alignment horizontal="center" vertical="center" wrapText="1"/>
      <protection locked="0"/>
    </xf>
    <xf numFmtId="0" fontId="8" fillId="2" borderId="9" xfId="3" applyNumberFormat="1" applyFont="1" applyFill="1" applyBorder="1" applyAlignment="1" applyProtection="1">
      <alignment horizontal="center" vertical="center" wrapText="1"/>
      <protection locked="0"/>
    </xf>
    <xf numFmtId="0" fontId="8" fillId="0" borderId="9" xfId="3" applyNumberFormat="1" applyFont="1" applyBorder="1" applyAlignment="1" applyProtection="1">
      <alignment horizontal="center" vertical="center" wrapText="1"/>
      <protection locked="0"/>
    </xf>
    <xf numFmtId="0" fontId="16" fillId="2" borderId="1" xfId="3" applyNumberFormat="1" applyFont="1" applyFill="1" applyBorder="1" applyAlignment="1" applyProtection="1">
      <alignment horizontal="center" vertical="center" wrapText="1"/>
      <protection locked="0"/>
    </xf>
    <xf numFmtId="0" fontId="19" fillId="5" borderId="1" xfId="3" applyNumberFormat="1" applyFont="1" applyFill="1" applyBorder="1" applyAlignment="1" applyProtection="1">
      <alignment horizontal="center" vertical="center" wrapText="1"/>
      <protection locked="0"/>
    </xf>
    <xf numFmtId="9" fontId="4" fillId="2" borderId="1" xfId="6" applyNumberFormat="1" applyFont="1" applyFill="1" applyBorder="1" applyAlignment="1" applyProtection="1">
      <alignment horizontal="center" vertical="center" wrapText="1"/>
      <protection locked="0"/>
    </xf>
    <xf numFmtId="0" fontId="8" fillId="0" borderId="9" xfId="5" applyNumberFormat="1" applyFont="1" applyBorder="1" applyAlignment="1" applyProtection="1">
      <alignment horizontal="center" vertical="center" wrapText="1"/>
      <protection locked="0"/>
    </xf>
    <xf numFmtId="9" fontId="8" fillId="0" borderId="9" xfId="5" applyNumberFormat="1" applyFont="1" applyBorder="1" applyAlignment="1" applyProtection="1">
      <alignment horizontal="center" vertical="center" wrapText="1"/>
      <protection locked="0"/>
    </xf>
    <xf numFmtId="0" fontId="28" fillId="2" borderId="9" xfId="3" quotePrefix="1" applyNumberFormat="1" applyFont="1" applyFill="1" applyBorder="1" applyAlignment="1" applyProtection="1">
      <alignment horizontal="center" vertical="center" wrapText="1"/>
      <protection locked="0"/>
    </xf>
    <xf numFmtId="0" fontId="1" fillId="0" borderId="9" xfId="3" applyNumberFormat="1" applyFont="1" applyBorder="1" applyAlignment="1" applyProtection="1">
      <alignment horizontal="center" vertical="center" wrapText="1"/>
      <protection locked="0"/>
    </xf>
    <xf numFmtId="49" fontId="1" fillId="0" borderId="9" xfId="3" applyNumberFormat="1" applyFont="1" applyBorder="1" applyAlignment="1" applyProtection="1">
      <alignment horizontal="center" vertical="center" wrapText="1"/>
      <protection locked="0"/>
    </xf>
    <xf numFmtId="9" fontId="1" fillId="2" borderId="9" xfId="5" applyNumberFormat="1" applyFont="1" applyFill="1" applyBorder="1" applyAlignment="1" applyProtection="1">
      <alignment horizontal="center" vertical="center" wrapText="1"/>
      <protection locked="0"/>
    </xf>
    <xf numFmtId="0" fontId="28" fillId="0" borderId="0" xfId="0" applyFont="1" applyAlignment="1">
      <alignment horizontal="center" vertical="center"/>
    </xf>
    <xf numFmtId="0" fontId="31" fillId="0" borderId="0" xfId="0" applyFont="1" applyAlignment="1">
      <alignment horizontal="left" vertical="center"/>
    </xf>
    <xf numFmtId="181" fontId="4" fillId="2" borderId="0" xfId="3" applyNumberFormat="1" applyFont="1" applyFill="1" applyAlignment="1" applyProtection="1">
      <alignment horizontal="center" vertical="center" wrapText="1"/>
      <protection locked="0"/>
    </xf>
    <xf numFmtId="0" fontId="25" fillId="0" borderId="9" xfId="4" applyNumberFormat="1" applyFont="1" applyBorder="1" applyAlignment="1" applyProtection="1">
      <alignment horizontal="center" vertical="center" wrapText="1"/>
      <protection locked="0"/>
    </xf>
    <xf numFmtId="0" fontId="34" fillId="0" borderId="1" xfId="0" applyFont="1" applyBorder="1" applyAlignment="1">
      <alignment horizontal="center" vertical="center"/>
    </xf>
    <xf numFmtId="0" fontId="4" fillId="0" borderId="9" xfId="3" applyNumberFormat="1" applyFont="1" applyBorder="1" applyAlignment="1" applyProtection="1">
      <alignment horizontal="center" vertical="center" wrapText="1"/>
      <protection locked="0"/>
    </xf>
    <xf numFmtId="0" fontId="4" fillId="2" borderId="9" xfId="4" applyNumberFormat="1" applyFont="1" applyFill="1" applyBorder="1" applyAlignment="1" applyProtection="1">
      <alignment horizontal="center" vertical="center" wrapText="1"/>
      <protection locked="0"/>
    </xf>
    <xf numFmtId="49" fontId="4" fillId="0" borderId="9" xfId="3" applyNumberFormat="1" applyFont="1" applyBorder="1" applyAlignment="1" applyProtection="1">
      <alignment horizontal="center" vertical="center" wrapText="1"/>
      <protection locked="0"/>
    </xf>
    <xf numFmtId="49" fontId="4" fillId="2" borderId="9" xfId="5" applyNumberFormat="1" applyFont="1" applyFill="1" applyBorder="1" applyAlignment="1" applyProtection="1">
      <alignment horizontal="center" vertical="center" wrapText="1"/>
      <protection locked="0"/>
    </xf>
    <xf numFmtId="0" fontId="4" fillId="2" borderId="9" xfId="6" applyNumberFormat="1" applyFont="1" applyFill="1" applyBorder="1" applyAlignment="1" applyProtection="1">
      <alignment horizontal="center" vertical="center" wrapText="1"/>
      <protection locked="0"/>
    </xf>
    <xf numFmtId="0" fontId="4" fillId="0" borderId="9" xfId="5" applyNumberFormat="1" applyFont="1" applyBorder="1" applyAlignment="1" applyProtection="1">
      <alignment horizontal="center" vertical="center" wrapText="1"/>
      <protection locked="0"/>
    </xf>
    <xf numFmtId="0" fontId="4" fillId="0" borderId="9" xfId="4" applyNumberFormat="1" applyFont="1" applyBorder="1" applyAlignment="1" applyProtection="1">
      <alignment horizontal="center" vertical="center" wrapText="1"/>
      <protection locked="0"/>
    </xf>
    <xf numFmtId="0" fontId="28" fillId="0" borderId="9" xfId="0" applyFont="1" applyBorder="1" applyAlignment="1">
      <alignment horizontal="center" vertical="center"/>
    </xf>
    <xf numFmtId="2" fontId="28" fillId="0" borderId="9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37" fillId="0" borderId="1" xfId="4" applyNumberFormat="1" applyFont="1" applyBorder="1" applyAlignment="1" applyProtection="1">
      <alignment horizontal="center" vertical="center" wrapText="1"/>
      <protection locked="0"/>
    </xf>
    <xf numFmtId="49" fontId="4" fillId="0" borderId="9" xfId="5" applyNumberFormat="1" applyFont="1" applyBorder="1" applyAlignment="1" applyProtection="1">
      <alignment horizontal="center" vertical="center" wrapText="1"/>
      <protection locked="0"/>
    </xf>
    <xf numFmtId="49" fontId="4" fillId="0" borderId="1" xfId="4" applyNumberFormat="1" applyFont="1" applyBorder="1" applyAlignment="1" applyProtection="1">
      <alignment horizontal="center" vertical="center" wrapText="1"/>
      <protection locked="0"/>
    </xf>
    <xf numFmtId="49" fontId="4" fillId="2" borderId="1" xfId="4" applyNumberFormat="1" applyFont="1" applyFill="1" applyBorder="1" applyAlignment="1" applyProtection="1">
      <alignment horizontal="center" vertical="center" wrapText="1"/>
      <protection locked="0"/>
    </xf>
    <xf numFmtId="0" fontId="37" fillId="2" borderId="1" xfId="3" applyNumberFormat="1" applyFont="1" applyFill="1" applyBorder="1" applyAlignment="1" applyProtection="1">
      <alignment horizontal="center" vertical="center" wrapText="1"/>
      <protection locked="0"/>
    </xf>
    <xf numFmtId="0" fontId="4" fillId="2" borderId="9" xfId="3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4" applyNumberFormat="1" applyFont="1" applyBorder="1" applyAlignment="1" applyProtection="1">
      <alignment horizontal="center" vertical="center" wrapText="1"/>
      <protection locked="0"/>
    </xf>
    <xf numFmtId="49" fontId="4" fillId="2" borderId="1" xfId="3" applyNumberFormat="1" applyFont="1" applyFill="1" applyBorder="1" applyAlignment="1" applyProtection="1">
      <alignment horizontal="center" vertical="center" wrapText="1"/>
      <protection locked="0"/>
    </xf>
    <xf numFmtId="49" fontId="4" fillId="6" borderId="9" xfId="0" applyNumberFormat="1" applyFont="1" applyFill="1" applyBorder="1" applyAlignment="1" applyProtection="1">
      <alignment horizontal="center" vertical="center" wrapText="1"/>
      <protection locked="0"/>
    </xf>
    <xf numFmtId="177" fontId="4" fillId="0" borderId="9" xfId="3" applyFont="1" applyBorder="1" applyAlignment="1" applyProtection="1">
      <alignment horizontal="center" vertical="center" wrapText="1"/>
      <protection locked="0"/>
    </xf>
    <xf numFmtId="0" fontId="33" fillId="0" borderId="9" xfId="4" applyNumberFormat="1" applyFont="1" applyBorder="1" applyAlignment="1" applyProtection="1">
      <alignment horizontal="center" vertical="center" wrapText="1"/>
      <protection locked="0"/>
    </xf>
    <xf numFmtId="9" fontId="4" fillId="0" borderId="9" xfId="5" applyNumberFormat="1" applyFont="1" applyBorder="1" applyAlignment="1" applyProtection="1">
      <alignment horizontal="center" vertical="center" wrapText="1"/>
      <protection locked="0"/>
    </xf>
    <xf numFmtId="0" fontId="4" fillId="0" borderId="1" xfId="5" applyNumberFormat="1" applyFont="1" applyBorder="1" applyAlignment="1" applyProtection="1">
      <alignment horizontal="center" vertical="center" wrapText="1"/>
      <protection locked="0"/>
    </xf>
    <xf numFmtId="180" fontId="41" fillId="8" borderId="9" xfId="13" applyFont="1" applyFill="1" applyBorder="1" applyAlignment="1">
      <alignment horizontal="center" vertical="center" wrapText="1"/>
    </xf>
    <xf numFmtId="0" fontId="8" fillId="0" borderId="9" xfId="4" applyNumberFormat="1" applyFont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</xf>
    <xf numFmtId="0" fontId="4" fillId="6" borderId="3" xfId="0" applyFont="1" applyFill="1" applyBorder="1" applyAlignment="1" applyProtection="1">
      <alignment horizontal="center" vertical="center" wrapText="1"/>
      <protection locked="0"/>
    </xf>
    <xf numFmtId="0" fontId="25" fillId="0" borderId="3" xfId="0" applyFont="1" applyBorder="1" applyAlignment="1" applyProtection="1">
      <alignment horizontal="center" vertical="center" wrapText="1"/>
      <protection locked="0"/>
    </xf>
    <xf numFmtId="0" fontId="37" fillId="0" borderId="9" xfId="3" applyNumberFormat="1" applyFont="1" applyBorder="1" applyAlignment="1" applyProtection="1">
      <alignment horizontal="center" vertical="center" wrapText="1"/>
      <protection locked="0"/>
    </xf>
    <xf numFmtId="0" fontId="42" fillId="0" borderId="1" xfId="12" applyFont="1" applyBorder="1" applyAlignment="1">
      <alignment horizontal="center" vertical="center"/>
    </xf>
    <xf numFmtId="0" fontId="24" fillId="0" borderId="1" xfId="4" applyNumberFormat="1" applyFont="1" applyBorder="1" applyAlignment="1" applyProtection="1">
      <alignment horizontal="center" vertical="top" wrapText="1"/>
      <protection locked="0"/>
    </xf>
    <xf numFmtId="181" fontId="11" fillId="0" borderId="0" xfId="0" applyNumberFormat="1" applyFont="1" applyAlignment="1">
      <alignment horizontal="center" vertical="center"/>
    </xf>
    <xf numFmtId="182" fontId="11" fillId="0" borderId="0" xfId="0" applyNumberFormat="1" applyFont="1" applyAlignment="1">
      <alignment horizontal="center" vertical="center"/>
    </xf>
    <xf numFmtId="0" fontId="27" fillId="5" borderId="9" xfId="3" applyNumberFormat="1" applyFont="1" applyFill="1" applyBorder="1" applyAlignment="1" applyProtection="1">
      <alignment horizontal="center" vertical="center" wrapText="1"/>
      <protection locked="0"/>
    </xf>
    <xf numFmtId="0" fontId="24" fillId="0" borderId="1" xfId="4" applyNumberFormat="1" applyFont="1" applyBorder="1" applyAlignment="1" applyProtection="1">
      <alignment horizontal="center" vertical="center" wrapText="1"/>
      <protection locked="0"/>
    </xf>
    <xf numFmtId="179" fontId="44" fillId="6" borderId="9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0" xfId="6" applyNumberFormat="1" applyFont="1" applyFill="1" applyAlignment="1" applyProtection="1">
      <alignment horizontal="center" vertical="center" wrapText="1"/>
      <protection locked="0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/>
    </xf>
    <xf numFmtId="0" fontId="4" fillId="3" borderId="1" xfId="3" applyNumberFormat="1" applyFont="1" applyFill="1" applyBorder="1" applyAlignment="1">
      <alignment horizontal="center" vertical="center" wrapText="1"/>
    </xf>
    <xf numFmtId="0" fontId="3" fillId="3" borderId="2" xfId="3" applyNumberFormat="1" applyFont="1" applyFill="1" applyBorder="1" applyAlignment="1">
      <alignment horizontal="center" vertical="center" wrapText="1"/>
    </xf>
    <xf numFmtId="0" fontId="3" fillId="3" borderId="3" xfId="3" applyNumberFormat="1" applyFont="1" applyFill="1" applyBorder="1" applyAlignment="1">
      <alignment horizontal="center" vertical="center" wrapText="1"/>
    </xf>
    <xf numFmtId="0" fontId="3" fillId="3" borderId="4" xfId="2" applyNumberFormat="1" applyFont="1" applyFill="1" applyBorder="1" applyAlignment="1">
      <alignment horizontal="center" vertical="center" wrapText="1"/>
    </xf>
    <xf numFmtId="0" fontId="3" fillId="3" borderId="5" xfId="2" applyNumberFormat="1" applyFont="1" applyFill="1" applyBorder="1" applyAlignment="1">
      <alignment horizontal="center" vertical="center" wrapText="1"/>
    </xf>
    <xf numFmtId="0" fontId="3" fillId="3" borderId="6" xfId="2" applyNumberFormat="1" applyFont="1" applyFill="1" applyBorder="1" applyAlignment="1">
      <alignment horizontal="center" vertical="center" wrapText="1"/>
    </xf>
    <xf numFmtId="0" fontId="4" fillId="2" borderId="0" xfId="3" applyNumberFormat="1" applyFont="1" applyFill="1" applyAlignment="1">
      <alignment horizontal="right" vertical="center" wrapText="1"/>
    </xf>
    <xf numFmtId="0" fontId="4" fillId="3" borderId="2" xfId="3" applyNumberFormat="1" applyFont="1" applyFill="1" applyBorder="1" applyAlignment="1">
      <alignment horizontal="center" vertical="center" wrapText="1"/>
    </xf>
    <xf numFmtId="0" fontId="4" fillId="3" borderId="3" xfId="3" applyNumberFormat="1" applyFont="1" applyFill="1" applyBorder="1" applyAlignment="1">
      <alignment horizontal="center" vertical="center" wrapText="1"/>
    </xf>
    <xf numFmtId="0" fontId="4" fillId="4" borderId="1" xfId="3" applyNumberFormat="1" applyFont="1" applyFill="1" applyBorder="1" applyAlignment="1">
      <alignment horizontal="center" vertical="center" wrapText="1"/>
    </xf>
    <xf numFmtId="0" fontId="4" fillId="3" borderId="4" xfId="3" applyNumberFormat="1" applyFont="1" applyFill="1" applyBorder="1" applyAlignment="1">
      <alignment horizontal="center" vertical="center" wrapText="1"/>
    </xf>
    <xf numFmtId="0" fontId="4" fillId="3" borderId="5" xfId="3" applyNumberFormat="1" applyFont="1" applyFill="1" applyBorder="1" applyAlignment="1">
      <alignment horizontal="center" vertical="center" wrapText="1"/>
    </xf>
    <xf numFmtId="0" fontId="4" fillId="3" borderId="6" xfId="3" applyNumberFormat="1" applyFont="1" applyFill="1" applyBorder="1" applyAlignment="1">
      <alignment horizontal="center" vertical="center" wrapText="1"/>
    </xf>
    <xf numFmtId="0" fontId="4" fillId="3" borderId="4" xfId="2" applyNumberFormat="1" applyFont="1" applyFill="1" applyBorder="1" applyAlignment="1">
      <alignment horizontal="center" vertical="center" wrapText="1"/>
    </xf>
    <xf numFmtId="0" fontId="4" fillId="3" borderId="6" xfId="2" applyNumberFormat="1" applyFont="1" applyFill="1" applyBorder="1" applyAlignment="1">
      <alignment horizontal="center" vertical="center" wrapText="1"/>
    </xf>
    <xf numFmtId="0" fontId="4" fillId="3" borderId="5" xfId="2" applyNumberFormat="1" applyFont="1" applyFill="1" applyBorder="1" applyAlignment="1">
      <alignment horizontal="center" vertical="center" wrapText="1"/>
    </xf>
    <xf numFmtId="0" fontId="4" fillId="2" borderId="2" xfId="3" applyNumberFormat="1" applyFont="1" applyFill="1" applyBorder="1" applyAlignment="1" applyProtection="1">
      <alignment horizontal="center" vertical="center" wrapText="1"/>
      <protection locked="0"/>
    </xf>
    <xf numFmtId="0" fontId="4" fillId="2" borderId="7" xfId="3" applyNumberFormat="1" applyFont="1" applyFill="1" applyBorder="1" applyAlignment="1" applyProtection="1">
      <alignment horizontal="center" vertical="center" wrapText="1"/>
      <protection locked="0"/>
    </xf>
    <xf numFmtId="0" fontId="4" fillId="2" borderId="3" xfId="3" applyNumberFormat="1" applyFont="1" applyFill="1" applyBorder="1" applyAlignment="1" applyProtection="1">
      <alignment horizontal="center" vertical="center" wrapText="1"/>
      <protection locked="0"/>
    </xf>
    <xf numFmtId="0" fontId="37" fillId="2" borderId="2" xfId="3" applyNumberFormat="1" applyFont="1" applyFill="1" applyBorder="1" applyAlignment="1" applyProtection="1">
      <alignment horizontal="center" vertical="center" wrapText="1"/>
      <protection locked="0"/>
    </xf>
    <xf numFmtId="0" fontId="37" fillId="2" borderId="7" xfId="3" applyNumberFormat="1" applyFont="1" applyFill="1" applyBorder="1" applyAlignment="1" applyProtection="1">
      <alignment horizontal="center" vertical="center" wrapText="1"/>
      <protection locked="0"/>
    </xf>
    <xf numFmtId="0" fontId="37" fillId="2" borderId="3" xfId="3" applyNumberFormat="1" applyFont="1" applyFill="1" applyBorder="1" applyAlignment="1" applyProtection="1">
      <alignment horizontal="center" vertical="center" wrapText="1"/>
      <protection locked="0"/>
    </xf>
    <xf numFmtId="0" fontId="18" fillId="0" borderId="2" xfId="3" applyNumberFormat="1" applyFont="1" applyBorder="1" applyAlignment="1" applyProtection="1">
      <alignment horizontal="center" vertical="center" wrapText="1"/>
      <protection locked="0"/>
    </xf>
    <xf numFmtId="0" fontId="8" fillId="0" borderId="7" xfId="3" applyNumberFormat="1" applyFont="1" applyBorder="1" applyAlignment="1" applyProtection="1">
      <alignment horizontal="center" vertical="center" wrapText="1"/>
      <protection locked="0"/>
    </xf>
    <xf numFmtId="0" fontId="8" fillId="0" borderId="2" xfId="3" applyNumberFormat="1" applyFont="1" applyBorder="1" applyAlignment="1" applyProtection="1">
      <alignment horizontal="center" vertical="center" wrapText="1"/>
      <protection locked="0"/>
    </xf>
    <xf numFmtId="0" fontId="8" fillId="0" borderId="3" xfId="3" applyNumberFormat="1" applyFont="1" applyBorder="1" applyAlignment="1" applyProtection="1">
      <alignment horizontal="center" vertical="center" wrapText="1"/>
      <protection locked="0"/>
    </xf>
    <xf numFmtId="0" fontId="4" fillId="2" borderId="2" xfId="3" applyNumberFormat="1" applyFont="1" applyFill="1" applyBorder="1" applyAlignment="1" applyProtection="1">
      <alignment horizontal="left" vertical="center" wrapText="1"/>
      <protection locked="0"/>
    </xf>
    <xf numFmtId="0" fontId="4" fillId="2" borderId="7" xfId="3" applyNumberFormat="1" applyFont="1" applyFill="1" applyBorder="1" applyAlignment="1" applyProtection="1">
      <alignment horizontal="left" vertical="center" wrapText="1"/>
      <protection locked="0"/>
    </xf>
    <xf numFmtId="0" fontId="4" fillId="2" borderId="3" xfId="3" applyNumberFormat="1" applyFont="1" applyFill="1" applyBorder="1" applyAlignment="1" applyProtection="1">
      <alignment horizontal="left" vertical="center" wrapText="1"/>
      <protection locked="0"/>
    </xf>
  </cellXfs>
  <cellStyles count="14">
    <cellStyle name="Normal 2" xfId="7" xr:uid="{AF214D69-0BFA-F74E-9F1D-77A2F11D5FA8}"/>
    <cellStyle name="常规" xfId="0" builtinId="0"/>
    <cellStyle name="常规 2 2" xfId="4" xr:uid="{733F47FC-26CA-7A47-BC52-3CAF6CE13588}"/>
    <cellStyle name="常规 21" xfId="1" xr:uid="{1A4A2D0A-E0E2-4F40-81FF-5FD94B70E3AB}"/>
    <cellStyle name="常规 5" xfId="6" xr:uid="{C0F7AA4E-D699-924C-AE8D-5B20406FC8A4}"/>
    <cellStyle name="常规 5 2" xfId="9" xr:uid="{67E40DFF-F822-0F4B-8EF0-B462AE6DBB81}"/>
    <cellStyle name="常规 58" xfId="8" xr:uid="{E8ABA614-8971-4D45-A455-AF5537705DD5}"/>
    <cellStyle name="常规 58 2" xfId="10" xr:uid="{DE6CE175-3B79-BF4E-8144-E2E282F03826}"/>
    <cellStyle name="常规 6" xfId="3" xr:uid="{768BF056-A6CB-3D42-A2DC-8D32CD1C36E6}"/>
    <cellStyle name="常规_buffalo QC Flow Chart (Control Plan) 3" xfId="2" xr:uid="{F121F603-785F-214A-AB56-9C0635B4CE0C}"/>
    <cellStyle name="常规_buffalo QC Flow Chart (Control Plan) 4 3" xfId="11" xr:uid="{9CF78251-3E3C-4244-BC91-8DD2735CC2B7}"/>
    <cellStyle name="超链接" xfId="12" builtinId="8"/>
    <cellStyle name="普通 2" xfId="13" xr:uid="{6ACDC155-0203-594E-95BF-A774F3EEECEC}"/>
    <cellStyle name="样式 1 4" xfId="5" xr:uid="{D27F0AC9-10B7-5D4A-A935-CA567C33EE98}"/>
  </cellStyles>
  <dxfs count="2"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432FF"/>
      <color rgb="FFDBEAF8"/>
      <color rgb="FF53AC79"/>
      <color rgb="FFC0E6F5"/>
      <color rgb="FFA9D5BC"/>
      <color rgb="FFA9CADF"/>
      <color rgb="FF73FB79"/>
      <color rgb="FF76D6FF"/>
      <color rgb="FF73FEFF"/>
      <color rgb="FF7FB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433293</xdr:colOff>
      <xdr:row>11</xdr:row>
      <xdr:rowOff>268942</xdr:rowOff>
    </xdr:from>
    <xdr:to>
      <xdr:col>3</xdr:col>
      <xdr:colOff>6843059</xdr:colOff>
      <xdr:row>31</xdr:row>
      <xdr:rowOff>240619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B4BECE6-F5E4-3B72-3851-AF397EF6D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1646" y="3316942"/>
          <a:ext cx="8367060" cy="5649324"/>
        </a:xfrm>
        <a:prstGeom prst="rect">
          <a:avLst/>
        </a:prstGeom>
      </xdr:spPr>
    </xdr:pic>
    <xdr:clientData/>
  </xdr:twoCellAnchor>
  <xdr:twoCellAnchor editAs="oneCell">
    <xdr:from>
      <xdr:col>1</xdr:col>
      <xdr:colOff>335748</xdr:colOff>
      <xdr:row>82</xdr:row>
      <xdr:rowOff>175172</xdr:rowOff>
    </xdr:from>
    <xdr:to>
      <xdr:col>3</xdr:col>
      <xdr:colOff>6875518</xdr:colOff>
      <xdr:row>104</xdr:row>
      <xdr:rowOff>213905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BB6491-AEE4-CC0A-221A-3F059BF28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59081" y="17298275"/>
          <a:ext cx="8495862" cy="6140573"/>
        </a:xfrm>
        <a:prstGeom prst="rect">
          <a:avLst/>
        </a:prstGeom>
      </xdr:spPr>
    </xdr:pic>
    <xdr:clientData/>
  </xdr:twoCellAnchor>
  <xdr:twoCellAnchor editAs="oneCell">
    <xdr:from>
      <xdr:col>0</xdr:col>
      <xdr:colOff>393095</xdr:colOff>
      <xdr:row>60</xdr:row>
      <xdr:rowOff>30238</xdr:rowOff>
    </xdr:from>
    <xdr:to>
      <xdr:col>4</xdr:col>
      <xdr:colOff>576562</xdr:colOff>
      <xdr:row>79</xdr:row>
      <xdr:rowOff>136071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6D8F3A3-45A9-DCF5-7471-C5000D061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3095" y="16283214"/>
          <a:ext cx="10071324" cy="5276547"/>
        </a:xfrm>
        <a:prstGeom prst="rect">
          <a:avLst/>
        </a:prstGeom>
      </xdr:spPr>
    </xdr:pic>
    <xdr:clientData/>
  </xdr:twoCellAnchor>
  <xdr:twoCellAnchor editAs="oneCell">
    <xdr:from>
      <xdr:col>2</xdr:col>
      <xdr:colOff>211668</xdr:colOff>
      <xdr:row>35</xdr:row>
      <xdr:rowOff>226784</xdr:rowOff>
    </xdr:from>
    <xdr:to>
      <xdr:col>3</xdr:col>
      <xdr:colOff>6244167</xdr:colOff>
      <xdr:row>55</xdr:row>
      <xdr:rowOff>234256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0A6D050-4C1B-F468-61C3-A66904A9A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66549" y="9676189"/>
          <a:ext cx="7166428" cy="5450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ED1F6-3BF0-524E-B13C-B3FB9A4F6529}">
  <dimension ref="A1:M67"/>
  <sheetViews>
    <sheetView showGridLines="0" tabSelected="1" zoomScale="88" zoomScaleNormal="291" workbookViewId="0">
      <selection activeCell="E23" sqref="E23"/>
    </sheetView>
  </sheetViews>
  <sheetFormatPr baseColWidth="10" defaultRowHeight="16"/>
  <cols>
    <col min="1" max="1" width="17.5" style="61" customWidth="1"/>
    <col min="2" max="2" width="36.6640625" style="61" bestFit="1" customWidth="1"/>
    <col min="3" max="3" width="16.6640625" style="61" customWidth="1"/>
    <col min="4" max="4" width="19.5" style="61" customWidth="1"/>
    <col min="5" max="5" width="16.6640625" style="61" customWidth="1"/>
    <col min="6" max="8" width="13.6640625" style="61" customWidth="1"/>
    <col min="9" max="9" width="24.1640625" style="61" customWidth="1"/>
    <col min="10" max="11" width="20.83203125" style="61" customWidth="1"/>
    <col min="12" max="12" width="17.1640625" style="61" customWidth="1"/>
    <col min="13" max="13" width="15.6640625" style="61" bestFit="1" customWidth="1"/>
    <col min="14" max="16384" width="10.83203125" style="61"/>
  </cols>
  <sheetData>
    <row r="1" spans="1:12" ht="24" customHeight="1">
      <c r="A1" s="11" t="s">
        <v>7</v>
      </c>
      <c r="B1" s="11" t="s">
        <v>27</v>
      </c>
      <c r="C1" s="9"/>
      <c r="D1" s="9"/>
      <c r="E1" s="9"/>
      <c r="F1" s="9"/>
    </row>
    <row r="2" spans="1:12" ht="24" customHeight="1">
      <c r="A2" s="8" t="s">
        <v>53</v>
      </c>
      <c r="B2" s="8" t="s">
        <v>203</v>
      </c>
      <c r="C2" s="9"/>
      <c r="D2" s="9"/>
      <c r="E2" s="9"/>
      <c r="F2" s="9"/>
    </row>
    <row r="3" spans="1:12" ht="24" customHeight="1">
      <c r="A3" s="11" t="s">
        <v>6</v>
      </c>
      <c r="B3" s="11" t="s">
        <v>8</v>
      </c>
      <c r="C3" s="9"/>
      <c r="D3" s="9"/>
      <c r="E3" s="9"/>
      <c r="F3" s="9"/>
    </row>
    <row r="4" spans="1:12" ht="24" customHeight="1">
      <c r="A4" s="2" t="s">
        <v>204</v>
      </c>
      <c r="B4" s="2" t="s">
        <v>352</v>
      </c>
      <c r="C4" s="9"/>
      <c r="D4" s="9"/>
      <c r="E4" s="9"/>
      <c r="F4" s="9"/>
    </row>
    <row r="5" spans="1:12" ht="24" customHeight="1">
      <c r="A5" s="11" t="s">
        <v>18</v>
      </c>
      <c r="B5" s="11" t="s">
        <v>0</v>
      </c>
      <c r="C5" s="9"/>
      <c r="D5" s="9"/>
      <c r="E5" s="9"/>
      <c r="F5" s="9"/>
    </row>
    <row r="6" spans="1:12" ht="24" customHeight="1">
      <c r="A6" s="3" t="s">
        <v>353</v>
      </c>
      <c r="B6" s="108" t="s">
        <v>55</v>
      </c>
      <c r="C6" s="9"/>
      <c r="D6" s="9"/>
      <c r="E6" s="9"/>
      <c r="F6" s="7"/>
    </row>
    <row r="7" spans="1:12" ht="24" customHeight="1">
      <c r="A7" s="3" t="s">
        <v>353</v>
      </c>
      <c r="B7" s="108" t="s">
        <v>56</v>
      </c>
    </row>
    <row r="8" spans="1:12" ht="24" customHeight="1">
      <c r="A8" s="3" t="s">
        <v>353</v>
      </c>
      <c r="B8" s="108" t="s">
        <v>57</v>
      </c>
      <c r="C8" s="9"/>
      <c r="D8" s="9"/>
      <c r="E8" s="9"/>
      <c r="F8" s="9"/>
    </row>
    <row r="9" spans="1:12" ht="24" customHeight="1">
      <c r="A9" s="3" t="s">
        <v>353</v>
      </c>
      <c r="B9" s="108" t="s">
        <v>59</v>
      </c>
      <c r="C9" s="9"/>
      <c r="D9" s="9"/>
      <c r="E9" s="9"/>
      <c r="F9" s="9"/>
    </row>
    <row r="10" spans="1:12" ht="24" customHeight="1">
      <c r="A10" s="3" t="s">
        <v>353</v>
      </c>
      <c r="B10" s="108" t="s">
        <v>58</v>
      </c>
    </row>
    <row r="11" spans="1:12" ht="24" customHeight="1">
      <c r="A11" s="7"/>
    </row>
    <row r="12" spans="1:12" ht="24" customHeight="1">
      <c r="A12" s="121" t="s">
        <v>15</v>
      </c>
      <c r="B12" s="121" t="s">
        <v>5</v>
      </c>
      <c r="C12" s="120" t="s">
        <v>23</v>
      </c>
      <c r="D12" s="120"/>
      <c r="E12" s="120"/>
      <c r="F12" s="120"/>
      <c r="G12" s="120"/>
      <c r="H12" s="120"/>
      <c r="I12" s="122" t="s">
        <v>16</v>
      </c>
      <c r="J12" s="122"/>
      <c r="K12" s="121" t="s">
        <v>17</v>
      </c>
      <c r="L12" s="118" t="s">
        <v>143</v>
      </c>
    </row>
    <row r="13" spans="1:12" ht="24" customHeight="1">
      <c r="A13" s="121"/>
      <c r="B13" s="121"/>
      <c r="C13" s="12" t="s">
        <v>2</v>
      </c>
      <c r="D13" s="12" t="s">
        <v>56</v>
      </c>
      <c r="E13" s="12" t="s">
        <v>57</v>
      </c>
      <c r="F13" s="12" t="s">
        <v>59</v>
      </c>
      <c r="G13" s="12" t="s">
        <v>58</v>
      </c>
      <c r="H13" s="12" t="s">
        <v>20</v>
      </c>
      <c r="I13" s="122"/>
      <c r="J13" s="122"/>
      <c r="K13" s="121"/>
      <c r="L13" s="119"/>
    </row>
    <row r="14" spans="1:12" ht="24" customHeight="1">
      <c r="A14" s="2">
        <v>1</v>
      </c>
      <c r="B14" s="29">
        <v>46000</v>
      </c>
      <c r="C14" s="2" t="s">
        <v>61</v>
      </c>
      <c r="D14" s="2" t="s">
        <v>61</v>
      </c>
      <c r="E14" s="2" t="s">
        <v>61</v>
      </c>
      <c r="F14" s="2" t="s">
        <v>61</v>
      </c>
      <c r="G14" s="2" t="s">
        <v>61</v>
      </c>
      <c r="H14" s="2" t="s">
        <v>61</v>
      </c>
      <c r="I14" s="116" t="s">
        <v>3</v>
      </c>
      <c r="J14" s="116"/>
      <c r="K14" s="5" t="s">
        <v>240</v>
      </c>
      <c r="L14" s="5"/>
    </row>
    <row r="15" spans="1:12" ht="24" customHeight="1">
      <c r="A15" s="2"/>
      <c r="B15" s="29"/>
      <c r="C15" s="2"/>
      <c r="D15" s="2"/>
      <c r="E15" s="2"/>
      <c r="F15" s="78"/>
      <c r="G15" s="2"/>
      <c r="H15" s="2"/>
      <c r="I15" s="116"/>
      <c r="J15" s="116"/>
      <c r="K15" s="5"/>
      <c r="L15" s="5"/>
    </row>
    <row r="16" spans="1:12" ht="24" customHeight="1">
      <c r="A16" s="2"/>
      <c r="B16" s="29"/>
      <c r="C16" s="2"/>
      <c r="D16" s="2"/>
      <c r="E16" s="2"/>
      <c r="F16" s="2"/>
      <c r="G16" s="2"/>
      <c r="H16" s="2"/>
      <c r="I16" s="117"/>
      <c r="J16" s="117"/>
      <c r="K16" s="4"/>
      <c r="L16" s="5"/>
    </row>
    <row r="18" spans="1:13" ht="26" customHeight="1">
      <c r="A18" s="75" t="s">
        <v>268</v>
      </c>
      <c r="G18" s="74"/>
      <c r="H18" s="74"/>
      <c r="I18" s="74"/>
      <c r="J18" s="74"/>
      <c r="K18" s="74"/>
    </row>
    <row r="19" spans="1:13" ht="26" customHeight="1">
      <c r="A19" s="102" t="s">
        <v>192</v>
      </c>
      <c r="B19" s="102" t="s">
        <v>269</v>
      </c>
      <c r="C19" s="102" t="s">
        <v>193</v>
      </c>
      <c r="D19" s="102" t="s">
        <v>194</v>
      </c>
      <c r="E19" s="102" t="s">
        <v>195</v>
      </c>
      <c r="F19" s="102" t="s">
        <v>196</v>
      </c>
      <c r="G19" s="102" t="s">
        <v>197</v>
      </c>
      <c r="H19" s="102" t="s">
        <v>198</v>
      </c>
      <c r="I19" s="102" t="s">
        <v>199</v>
      </c>
      <c r="J19" s="102" t="s">
        <v>200</v>
      </c>
      <c r="K19" s="102" t="s">
        <v>201</v>
      </c>
      <c r="L19" s="102" t="s">
        <v>202</v>
      </c>
    </row>
    <row r="20" spans="1:13" ht="26" customHeight="1">
      <c r="A20" s="86">
        <v>1</v>
      </c>
      <c r="B20" s="86" t="s">
        <v>356</v>
      </c>
      <c r="C20" s="86" t="s">
        <v>241</v>
      </c>
      <c r="D20" s="86" t="s">
        <v>453</v>
      </c>
      <c r="E20" s="86" t="s">
        <v>283</v>
      </c>
      <c r="F20" s="86">
        <v>10.17</v>
      </c>
      <c r="G20" s="86">
        <v>4.55</v>
      </c>
      <c r="H20" s="87">
        <v>0.9</v>
      </c>
      <c r="I20" s="86" t="s">
        <v>404</v>
      </c>
      <c r="J20" s="87" t="s">
        <v>406</v>
      </c>
      <c r="K20" s="86" t="s">
        <v>265</v>
      </c>
      <c r="L20" s="86" t="s">
        <v>265</v>
      </c>
      <c r="M20" s="111"/>
    </row>
    <row r="21" spans="1:13" ht="26" customHeight="1">
      <c r="A21" s="86">
        <v>2</v>
      </c>
      <c r="B21" s="86" t="s">
        <v>357</v>
      </c>
      <c r="C21" s="86" t="s">
        <v>242</v>
      </c>
      <c r="D21" s="86" t="s">
        <v>281</v>
      </c>
      <c r="E21" s="86" t="s">
        <v>283</v>
      </c>
      <c r="F21" s="86">
        <v>5.69</v>
      </c>
      <c r="G21" s="87">
        <v>5.8</v>
      </c>
      <c r="H21" s="87">
        <v>0.9</v>
      </c>
      <c r="I21" s="86" t="s">
        <v>404</v>
      </c>
      <c r="J21" s="87" t="s">
        <v>407</v>
      </c>
      <c r="K21" s="86" t="s">
        <v>265</v>
      </c>
      <c r="L21" s="86" t="s">
        <v>265</v>
      </c>
      <c r="M21" s="111"/>
    </row>
    <row r="22" spans="1:13" ht="26" customHeight="1">
      <c r="A22" s="86">
        <v>3</v>
      </c>
      <c r="B22" s="86" t="s">
        <v>358</v>
      </c>
      <c r="C22" s="86" t="s">
        <v>243</v>
      </c>
      <c r="D22" s="86" t="s">
        <v>281</v>
      </c>
      <c r="E22" s="86" t="s">
        <v>262</v>
      </c>
      <c r="F22" s="86">
        <v>5.96</v>
      </c>
      <c r="G22" s="86">
        <v>4.55</v>
      </c>
      <c r="H22" s="87">
        <v>0.9</v>
      </c>
      <c r="I22" s="86" t="s">
        <v>404</v>
      </c>
      <c r="J22" s="87" t="s">
        <v>408</v>
      </c>
      <c r="K22" s="86" t="s">
        <v>265</v>
      </c>
      <c r="L22" s="86" t="s">
        <v>265</v>
      </c>
      <c r="M22" s="111"/>
    </row>
    <row r="23" spans="1:13" ht="26" customHeight="1">
      <c r="A23" s="86">
        <v>4</v>
      </c>
      <c r="B23" s="86" t="s">
        <v>359</v>
      </c>
      <c r="C23" s="86" t="s">
        <v>244</v>
      </c>
      <c r="D23" s="86" t="s">
        <v>281</v>
      </c>
      <c r="E23" s="86" t="s">
        <v>262</v>
      </c>
      <c r="F23" s="86">
        <v>12.38</v>
      </c>
      <c r="G23" s="86">
        <v>4.55</v>
      </c>
      <c r="H23" s="87">
        <v>0.9</v>
      </c>
      <c r="I23" s="86" t="s">
        <v>404</v>
      </c>
      <c r="J23" s="87" t="s">
        <v>409</v>
      </c>
      <c r="K23" s="86" t="s">
        <v>265</v>
      </c>
      <c r="L23" s="86" t="s">
        <v>265</v>
      </c>
      <c r="M23" s="111"/>
    </row>
    <row r="24" spans="1:13" ht="26" customHeight="1">
      <c r="A24" s="86">
        <v>5</v>
      </c>
      <c r="B24" s="86" t="s">
        <v>360</v>
      </c>
      <c r="C24" s="86" t="s">
        <v>245</v>
      </c>
      <c r="D24" s="86" t="s">
        <v>281</v>
      </c>
      <c r="E24" s="86" t="s">
        <v>283</v>
      </c>
      <c r="F24" s="86">
        <v>5.18</v>
      </c>
      <c r="G24" s="87">
        <v>5.8</v>
      </c>
      <c r="H24" s="87">
        <v>0.9</v>
      </c>
      <c r="I24" s="86" t="s">
        <v>404</v>
      </c>
      <c r="J24" s="87" t="s">
        <v>410</v>
      </c>
      <c r="K24" s="86" t="s">
        <v>265</v>
      </c>
      <c r="L24" s="86" t="s">
        <v>265</v>
      </c>
      <c r="M24" s="111"/>
    </row>
    <row r="25" spans="1:13" ht="26" customHeight="1">
      <c r="A25" s="86">
        <v>6</v>
      </c>
      <c r="B25" s="86" t="s">
        <v>361</v>
      </c>
      <c r="C25" s="86" t="s">
        <v>246</v>
      </c>
      <c r="D25" s="86" t="s">
        <v>281</v>
      </c>
      <c r="E25" s="86" t="s">
        <v>283</v>
      </c>
      <c r="F25" s="87">
        <v>4.7</v>
      </c>
      <c r="G25" s="87">
        <v>5.8</v>
      </c>
      <c r="H25" s="87">
        <v>0.9</v>
      </c>
      <c r="I25" s="86" t="s">
        <v>404</v>
      </c>
      <c r="J25" s="87" t="s">
        <v>411</v>
      </c>
      <c r="K25" s="86" t="s">
        <v>265</v>
      </c>
      <c r="L25" s="86" t="s">
        <v>265</v>
      </c>
      <c r="M25" s="111"/>
    </row>
    <row r="26" spans="1:13" ht="26" customHeight="1">
      <c r="A26" s="86">
        <v>7</v>
      </c>
      <c r="B26" s="86" t="s">
        <v>362</v>
      </c>
      <c r="C26" s="86" t="s">
        <v>247</v>
      </c>
      <c r="D26" s="86" t="s">
        <v>281</v>
      </c>
      <c r="E26" s="86" t="s">
        <v>283</v>
      </c>
      <c r="F26" s="87">
        <v>11.2</v>
      </c>
      <c r="G26" s="87">
        <v>5.8</v>
      </c>
      <c r="H26" s="87">
        <v>0.9</v>
      </c>
      <c r="I26" s="86" t="s">
        <v>404</v>
      </c>
      <c r="J26" s="87" t="s">
        <v>412</v>
      </c>
      <c r="K26" s="86" t="s">
        <v>265</v>
      </c>
      <c r="L26" s="86" t="s">
        <v>265</v>
      </c>
      <c r="M26" s="111"/>
    </row>
    <row r="27" spans="1:13" ht="26" customHeight="1">
      <c r="A27" s="86">
        <v>8</v>
      </c>
      <c r="B27" s="86" t="s">
        <v>363</v>
      </c>
      <c r="C27" s="86" t="s">
        <v>248</v>
      </c>
      <c r="D27" s="86" t="s">
        <v>281</v>
      </c>
      <c r="E27" s="86" t="s">
        <v>262</v>
      </c>
      <c r="F27" s="86">
        <v>12.56</v>
      </c>
      <c r="G27" s="86">
        <v>4.55</v>
      </c>
      <c r="H27" s="87">
        <v>0.9</v>
      </c>
      <c r="I27" s="86" t="s">
        <v>404</v>
      </c>
      <c r="J27" s="87" t="s">
        <v>413</v>
      </c>
      <c r="K27" s="86" t="s">
        <v>265</v>
      </c>
      <c r="L27" s="86" t="s">
        <v>266</v>
      </c>
      <c r="M27" s="111"/>
    </row>
    <row r="28" spans="1:13" ht="26" customHeight="1">
      <c r="A28" s="86">
        <v>9</v>
      </c>
      <c r="B28" s="86" t="s">
        <v>364</v>
      </c>
      <c r="C28" s="86" t="s">
        <v>249</v>
      </c>
      <c r="D28" s="86" t="s">
        <v>281</v>
      </c>
      <c r="E28" s="86" t="s">
        <v>262</v>
      </c>
      <c r="F28" s="86">
        <v>11.41</v>
      </c>
      <c r="G28" s="86">
        <v>4.55</v>
      </c>
      <c r="H28" s="87">
        <v>0.9</v>
      </c>
      <c r="I28" s="86" t="s">
        <v>404</v>
      </c>
      <c r="J28" s="87" t="s">
        <v>414</v>
      </c>
      <c r="K28" s="86" t="s">
        <v>265</v>
      </c>
      <c r="L28" s="86" t="s">
        <v>265</v>
      </c>
      <c r="M28" s="111"/>
    </row>
    <row r="29" spans="1:13" ht="26" customHeight="1">
      <c r="A29" s="86">
        <v>10</v>
      </c>
      <c r="B29" s="86" t="s">
        <v>365</v>
      </c>
      <c r="C29" s="86" t="s">
        <v>205</v>
      </c>
      <c r="D29" s="86" t="s">
        <v>282</v>
      </c>
      <c r="E29" s="86" t="s">
        <v>284</v>
      </c>
      <c r="F29" s="87">
        <v>8.6999999999999993</v>
      </c>
      <c r="G29" s="86">
        <v>8.85</v>
      </c>
      <c r="H29" s="87">
        <v>0.8</v>
      </c>
      <c r="I29" s="86" t="s">
        <v>263</v>
      </c>
      <c r="J29" s="87" t="s">
        <v>415</v>
      </c>
      <c r="K29" s="86" t="s">
        <v>267</v>
      </c>
      <c r="L29" s="86" t="s">
        <v>267</v>
      </c>
      <c r="M29" s="111"/>
    </row>
    <row r="30" spans="1:13" ht="26" customHeight="1">
      <c r="A30" s="86">
        <v>11</v>
      </c>
      <c r="B30" s="86" t="s">
        <v>366</v>
      </c>
      <c r="C30" s="86" t="s">
        <v>206</v>
      </c>
      <c r="D30" s="86" t="s">
        <v>282</v>
      </c>
      <c r="E30" s="86">
        <v>8</v>
      </c>
      <c r="F30" s="87">
        <v>9</v>
      </c>
      <c r="G30" s="86">
        <v>20.28</v>
      </c>
      <c r="H30" s="87">
        <v>0.8</v>
      </c>
      <c r="I30" s="86" t="s">
        <v>263</v>
      </c>
      <c r="J30" s="87" t="s">
        <v>416</v>
      </c>
      <c r="K30" s="86" t="s">
        <v>267</v>
      </c>
      <c r="L30" s="86" t="s">
        <v>267</v>
      </c>
      <c r="M30" s="111"/>
    </row>
    <row r="31" spans="1:13" ht="26" customHeight="1">
      <c r="A31" s="86">
        <v>13</v>
      </c>
      <c r="B31" s="86" t="s">
        <v>367</v>
      </c>
      <c r="C31" s="86" t="s">
        <v>207</v>
      </c>
      <c r="D31" s="86" t="s">
        <v>282</v>
      </c>
      <c r="E31" s="86" t="s">
        <v>284</v>
      </c>
      <c r="F31" s="87">
        <v>6.86</v>
      </c>
      <c r="G31" s="87">
        <v>8.85</v>
      </c>
      <c r="H31" s="87">
        <v>0.8</v>
      </c>
      <c r="I31" s="86" t="s">
        <v>263</v>
      </c>
      <c r="J31" s="87" t="s">
        <v>417</v>
      </c>
      <c r="K31" s="86" t="s">
        <v>267</v>
      </c>
      <c r="L31" s="86" t="s">
        <v>267</v>
      </c>
      <c r="M31" s="111"/>
    </row>
    <row r="32" spans="1:13" ht="26" customHeight="1">
      <c r="A32" s="86">
        <v>14</v>
      </c>
      <c r="B32" s="86" t="s">
        <v>368</v>
      </c>
      <c r="C32" s="86" t="s">
        <v>208</v>
      </c>
      <c r="D32" s="86" t="s">
        <v>282</v>
      </c>
      <c r="E32" s="86" t="s">
        <v>284</v>
      </c>
      <c r="F32" s="87">
        <v>4.0599999999999996</v>
      </c>
      <c r="G32" s="87">
        <v>8.85</v>
      </c>
      <c r="H32" s="87">
        <v>0.8</v>
      </c>
      <c r="I32" s="86" t="s">
        <v>263</v>
      </c>
      <c r="J32" s="87" t="s">
        <v>418</v>
      </c>
      <c r="K32" s="86" t="s">
        <v>267</v>
      </c>
      <c r="L32" s="86" t="s">
        <v>267</v>
      </c>
      <c r="M32" s="111"/>
    </row>
    <row r="33" spans="1:13" ht="26" customHeight="1">
      <c r="A33" s="86">
        <v>15</v>
      </c>
      <c r="B33" s="86" t="s">
        <v>369</v>
      </c>
      <c r="C33" s="86" t="s">
        <v>215</v>
      </c>
      <c r="D33" s="86" t="s">
        <v>281</v>
      </c>
      <c r="E33" s="86" t="s">
        <v>262</v>
      </c>
      <c r="F33" s="87">
        <v>12</v>
      </c>
      <c r="G33" s="87">
        <v>10.050000000000001</v>
      </c>
      <c r="H33" s="87">
        <v>0.7</v>
      </c>
      <c r="I33" s="86" t="s">
        <v>405</v>
      </c>
      <c r="J33" s="87" t="s">
        <v>419</v>
      </c>
      <c r="K33" s="86" t="s">
        <v>267</v>
      </c>
      <c r="L33" s="86" t="s">
        <v>267</v>
      </c>
      <c r="M33" s="110"/>
    </row>
    <row r="34" spans="1:13" ht="26" customHeight="1">
      <c r="A34" s="86">
        <v>16</v>
      </c>
      <c r="B34" s="86" t="s">
        <v>370</v>
      </c>
      <c r="C34" s="86" t="s">
        <v>216</v>
      </c>
      <c r="D34" s="86" t="s">
        <v>281</v>
      </c>
      <c r="E34" s="86" t="s">
        <v>262</v>
      </c>
      <c r="F34" s="87">
        <v>8</v>
      </c>
      <c r="G34" s="87">
        <v>10</v>
      </c>
      <c r="H34" s="87">
        <v>0.8</v>
      </c>
      <c r="I34" s="86" t="s">
        <v>405</v>
      </c>
      <c r="J34" s="87" t="s">
        <v>420</v>
      </c>
      <c r="K34" s="86" t="s">
        <v>267</v>
      </c>
      <c r="L34" s="86" t="s">
        <v>267</v>
      </c>
      <c r="M34" s="111"/>
    </row>
    <row r="35" spans="1:13" ht="26" customHeight="1">
      <c r="A35" s="86">
        <v>17</v>
      </c>
      <c r="B35" s="86" t="s">
        <v>371</v>
      </c>
      <c r="C35" s="86" t="s">
        <v>209</v>
      </c>
      <c r="D35" s="86" t="s">
        <v>282</v>
      </c>
      <c r="E35" s="86" t="s">
        <v>284</v>
      </c>
      <c r="F35" s="87">
        <v>5.46</v>
      </c>
      <c r="G35" s="87">
        <v>8.85</v>
      </c>
      <c r="H35" s="87">
        <v>0.8</v>
      </c>
      <c r="I35" s="86" t="s">
        <v>263</v>
      </c>
      <c r="J35" s="87" t="s">
        <v>421</v>
      </c>
      <c r="K35" s="86" t="s">
        <v>267</v>
      </c>
      <c r="L35" s="86" t="s">
        <v>267</v>
      </c>
      <c r="M35" s="111"/>
    </row>
    <row r="36" spans="1:13" ht="26" customHeight="1">
      <c r="A36" s="86">
        <v>18</v>
      </c>
      <c r="B36" s="86" t="s">
        <v>372</v>
      </c>
      <c r="C36" s="86" t="s">
        <v>250</v>
      </c>
      <c r="D36" s="86" t="s">
        <v>282</v>
      </c>
      <c r="E36" s="86" t="s">
        <v>284</v>
      </c>
      <c r="F36" s="87">
        <v>15.58</v>
      </c>
      <c r="G36" s="87">
        <v>5.8</v>
      </c>
      <c r="H36" s="87">
        <v>0.7</v>
      </c>
      <c r="I36" s="86" t="s">
        <v>263</v>
      </c>
      <c r="J36" s="87" t="s">
        <v>422</v>
      </c>
      <c r="K36" s="86" t="s">
        <v>267</v>
      </c>
      <c r="L36" s="86" t="s">
        <v>267</v>
      </c>
      <c r="M36" s="111"/>
    </row>
    <row r="37" spans="1:13" ht="26" customHeight="1">
      <c r="A37" s="86">
        <v>19</v>
      </c>
      <c r="B37" s="86" t="s">
        <v>373</v>
      </c>
      <c r="C37" s="86" t="s">
        <v>251</v>
      </c>
      <c r="D37" s="86" t="s">
        <v>282</v>
      </c>
      <c r="E37" s="86" t="s">
        <v>284</v>
      </c>
      <c r="F37" s="87">
        <v>20.79</v>
      </c>
      <c r="G37" s="87">
        <v>5.8</v>
      </c>
      <c r="H37" s="87">
        <v>0.7</v>
      </c>
      <c r="I37" s="86" t="s">
        <v>263</v>
      </c>
      <c r="J37" s="87" t="s">
        <v>423</v>
      </c>
      <c r="K37" s="86" t="s">
        <v>267</v>
      </c>
      <c r="L37" s="86" t="s">
        <v>267</v>
      </c>
      <c r="M37" s="111"/>
    </row>
    <row r="38" spans="1:13" ht="26" customHeight="1">
      <c r="A38" s="86">
        <v>20</v>
      </c>
      <c r="B38" s="86" t="s">
        <v>374</v>
      </c>
      <c r="C38" s="86" t="s">
        <v>252</v>
      </c>
      <c r="D38" s="86" t="s">
        <v>281</v>
      </c>
      <c r="E38" s="86" t="s">
        <v>285</v>
      </c>
      <c r="F38" s="87">
        <v>9.15</v>
      </c>
      <c r="G38" s="87">
        <v>6.2</v>
      </c>
      <c r="H38" s="87">
        <v>1.1499999999999999</v>
      </c>
      <c r="I38" s="86" t="s">
        <v>286</v>
      </c>
      <c r="J38" s="87" t="s">
        <v>424</v>
      </c>
      <c r="K38" s="86" t="s">
        <v>265</v>
      </c>
      <c r="L38" s="86" t="s">
        <v>265</v>
      </c>
      <c r="M38" s="111"/>
    </row>
    <row r="39" spans="1:13" ht="26" customHeight="1">
      <c r="A39" s="86">
        <v>21</v>
      </c>
      <c r="B39" s="86" t="s">
        <v>375</v>
      </c>
      <c r="C39" s="86" t="s">
        <v>253</v>
      </c>
      <c r="D39" s="86" t="s">
        <v>281</v>
      </c>
      <c r="E39" s="86" t="s">
        <v>285</v>
      </c>
      <c r="F39" s="87">
        <v>5.69</v>
      </c>
      <c r="G39" s="87">
        <v>6.2</v>
      </c>
      <c r="H39" s="87">
        <v>1.1499999999999999</v>
      </c>
      <c r="I39" s="86" t="s">
        <v>286</v>
      </c>
      <c r="J39" s="87" t="s">
        <v>414</v>
      </c>
      <c r="K39" s="86" t="s">
        <v>265</v>
      </c>
      <c r="L39" s="86" t="s">
        <v>266</v>
      </c>
      <c r="M39" s="111"/>
    </row>
    <row r="40" spans="1:13" ht="26" customHeight="1">
      <c r="A40" s="86">
        <v>22</v>
      </c>
      <c r="B40" s="86" t="s">
        <v>376</v>
      </c>
      <c r="C40" s="86" t="s">
        <v>254</v>
      </c>
      <c r="D40" s="86" t="s">
        <v>281</v>
      </c>
      <c r="E40" s="86" t="s">
        <v>285</v>
      </c>
      <c r="F40" s="87">
        <v>5.95</v>
      </c>
      <c r="G40" s="87">
        <v>6.2</v>
      </c>
      <c r="H40" s="87">
        <v>1.1499999999999999</v>
      </c>
      <c r="I40" s="86" t="s">
        <v>286</v>
      </c>
      <c r="J40" s="87" t="s">
        <v>425</v>
      </c>
      <c r="K40" s="86" t="s">
        <v>265</v>
      </c>
      <c r="L40" s="86" t="s">
        <v>265</v>
      </c>
      <c r="M40" s="111"/>
    </row>
    <row r="41" spans="1:13" ht="26" customHeight="1">
      <c r="A41" s="86">
        <v>23</v>
      </c>
      <c r="B41" s="86" t="s">
        <v>377</v>
      </c>
      <c r="C41" s="86" t="s">
        <v>255</v>
      </c>
      <c r="D41" s="86" t="s">
        <v>281</v>
      </c>
      <c r="E41" s="86" t="s">
        <v>285</v>
      </c>
      <c r="F41" s="87">
        <v>12.38</v>
      </c>
      <c r="G41" s="87">
        <v>6.2</v>
      </c>
      <c r="H41" s="87">
        <v>1.1499999999999999</v>
      </c>
      <c r="I41" s="86" t="s">
        <v>286</v>
      </c>
      <c r="J41" s="87" t="s">
        <v>426</v>
      </c>
      <c r="K41" s="86" t="s">
        <v>265</v>
      </c>
      <c r="L41" s="86" t="s">
        <v>265</v>
      </c>
      <c r="M41" s="111"/>
    </row>
    <row r="42" spans="1:13" ht="26" customHeight="1">
      <c r="A42" s="86">
        <v>24</v>
      </c>
      <c r="B42" s="86" t="s">
        <v>378</v>
      </c>
      <c r="C42" s="86" t="s">
        <v>256</v>
      </c>
      <c r="D42" s="86" t="s">
        <v>281</v>
      </c>
      <c r="E42" s="86" t="s">
        <v>285</v>
      </c>
      <c r="F42" s="87">
        <v>5.18</v>
      </c>
      <c r="G42" s="87">
        <v>6.2</v>
      </c>
      <c r="H42" s="87">
        <v>1.1499999999999999</v>
      </c>
      <c r="I42" s="86" t="s">
        <v>286</v>
      </c>
      <c r="J42" s="87" t="s">
        <v>427</v>
      </c>
      <c r="K42" s="86" t="s">
        <v>265</v>
      </c>
      <c r="L42" s="86" t="s">
        <v>265</v>
      </c>
      <c r="M42" s="111"/>
    </row>
    <row r="43" spans="1:13" ht="26" customHeight="1">
      <c r="A43" s="86">
        <v>25</v>
      </c>
      <c r="B43" s="86" t="s">
        <v>379</v>
      </c>
      <c r="C43" s="86" t="s">
        <v>257</v>
      </c>
      <c r="D43" s="86" t="s">
        <v>281</v>
      </c>
      <c r="E43" s="86" t="s">
        <v>285</v>
      </c>
      <c r="F43" s="87">
        <v>4.7</v>
      </c>
      <c r="G43" s="87">
        <v>6.2</v>
      </c>
      <c r="H43" s="87">
        <v>1.1499999999999999</v>
      </c>
      <c r="I43" s="86" t="s">
        <v>287</v>
      </c>
      <c r="J43" s="87" t="s">
        <v>428</v>
      </c>
      <c r="K43" s="86" t="s">
        <v>265</v>
      </c>
      <c r="L43" s="86" t="s">
        <v>265</v>
      </c>
      <c r="M43" s="111"/>
    </row>
    <row r="44" spans="1:13" ht="26" customHeight="1">
      <c r="A44" s="86">
        <v>26</v>
      </c>
      <c r="B44" s="86" t="s">
        <v>380</v>
      </c>
      <c r="C44" s="86" t="s">
        <v>258</v>
      </c>
      <c r="D44" s="86" t="s">
        <v>281</v>
      </c>
      <c r="E44" s="86" t="s">
        <v>285</v>
      </c>
      <c r="F44" s="87">
        <v>11.2</v>
      </c>
      <c r="G44" s="87">
        <v>6.2</v>
      </c>
      <c r="H44" s="87">
        <v>1.1499999999999999</v>
      </c>
      <c r="I44" s="86" t="s">
        <v>287</v>
      </c>
      <c r="J44" s="87" t="s">
        <v>429</v>
      </c>
      <c r="K44" s="86" t="s">
        <v>265</v>
      </c>
      <c r="L44" s="86" t="s">
        <v>265</v>
      </c>
      <c r="M44" s="110"/>
    </row>
    <row r="45" spans="1:13" ht="26" customHeight="1">
      <c r="A45" s="86">
        <v>27</v>
      </c>
      <c r="B45" s="86" t="s">
        <v>381</v>
      </c>
      <c r="C45" s="86" t="s">
        <v>259</v>
      </c>
      <c r="D45" s="86" t="s">
        <v>281</v>
      </c>
      <c r="E45" s="86" t="s">
        <v>285</v>
      </c>
      <c r="F45" s="87">
        <v>12.56</v>
      </c>
      <c r="G45" s="87">
        <v>6.2</v>
      </c>
      <c r="H45" s="87">
        <v>1.1499999999999999</v>
      </c>
      <c r="I45" s="86" t="s">
        <v>286</v>
      </c>
      <c r="J45" s="87" t="s">
        <v>430</v>
      </c>
      <c r="K45" s="86" t="s">
        <v>265</v>
      </c>
      <c r="L45" s="86" t="s">
        <v>266</v>
      </c>
      <c r="M45" s="111"/>
    </row>
    <row r="46" spans="1:13" ht="26" customHeight="1">
      <c r="A46" s="86">
        <v>28</v>
      </c>
      <c r="B46" s="86" t="s">
        <v>382</v>
      </c>
      <c r="C46" s="86" t="s">
        <v>260</v>
      </c>
      <c r="D46" s="86" t="s">
        <v>281</v>
      </c>
      <c r="E46" s="86" t="s">
        <v>285</v>
      </c>
      <c r="F46" s="87">
        <v>11.41</v>
      </c>
      <c r="G46" s="87">
        <v>3.67</v>
      </c>
      <c r="H46" s="87">
        <v>1.1499999999999999</v>
      </c>
      <c r="I46" s="86" t="s">
        <v>286</v>
      </c>
      <c r="J46" s="87" t="s">
        <v>431</v>
      </c>
      <c r="K46" s="86" t="s">
        <v>265</v>
      </c>
      <c r="L46" s="86" t="s">
        <v>265</v>
      </c>
      <c r="M46" s="111"/>
    </row>
    <row r="47" spans="1:13" ht="26" customHeight="1">
      <c r="A47" s="86">
        <v>29</v>
      </c>
      <c r="B47" s="86" t="s">
        <v>383</v>
      </c>
      <c r="C47" s="86" t="s">
        <v>261</v>
      </c>
      <c r="D47" s="86" t="s">
        <v>281</v>
      </c>
      <c r="E47" s="86" t="s">
        <v>262</v>
      </c>
      <c r="F47" s="87">
        <v>11.85</v>
      </c>
      <c r="G47" s="87">
        <v>3.8</v>
      </c>
      <c r="H47" s="87">
        <v>0.8</v>
      </c>
      <c r="I47" s="86" t="s">
        <v>405</v>
      </c>
      <c r="J47" s="87" t="s">
        <v>432</v>
      </c>
      <c r="K47" s="86" t="s">
        <v>265</v>
      </c>
      <c r="L47" s="86" t="s">
        <v>452</v>
      </c>
      <c r="M47" s="111"/>
    </row>
    <row r="48" spans="1:13" ht="26" customHeight="1">
      <c r="A48" s="86">
        <v>30</v>
      </c>
      <c r="B48" s="86" t="s">
        <v>384</v>
      </c>
      <c r="C48" s="86" t="s">
        <v>217</v>
      </c>
      <c r="D48" s="86" t="s">
        <v>281</v>
      </c>
      <c r="E48" s="86" t="s">
        <v>262</v>
      </c>
      <c r="F48" s="87">
        <v>7</v>
      </c>
      <c r="G48" s="87">
        <v>4</v>
      </c>
      <c r="H48" s="87">
        <v>0.8</v>
      </c>
      <c r="I48" s="86" t="s">
        <v>405</v>
      </c>
      <c r="J48" s="87" t="s">
        <v>433</v>
      </c>
      <c r="K48" s="86" t="s">
        <v>267</v>
      </c>
      <c r="L48" s="86" t="s">
        <v>267</v>
      </c>
      <c r="M48" s="111"/>
    </row>
    <row r="49" spans="1:13" ht="26" customHeight="1">
      <c r="A49" s="86">
        <v>31</v>
      </c>
      <c r="B49" s="86" t="s">
        <v>385</v>
      </c>
      <c r="C49" s="86" t="s">
        <v>210</v>
      </c>
      <c r="D49" s="86" t="s">
        <v>282</v>
      </c>
      <c r="E49" s="86" t="s">
        <v>284</v>
      </c>
      <c r="F49" s="87">
        <v>12</v>
      </c>
      <c r="G49" s="87">
        <v>11</v>
      </c>
      <c r="H49" s="87">
        <v>0.8</v>
      </c>
      <c r="I49" s="86" t="s">
        <v>263</v>
      </c>
      <c r="J49" s="87" t="s">
        <v>434</v>
      </c>
      <c r="K49" s="86" t="s">
        <v>267</v>
      </c>
      <c r="L49" s="86" t="s">
        <v>267</v>
      </c>
      <c r="M49" s="111"/>
    </row>
    <row r="50" spans="1:13" ht="26" customHeight="1">
      <c r="A50" s="86">
        <v>32</v>
      </c>
      <c r="B50" s="86" t="s">
        <v>386</v>
      </c>
      <c r="C50" s="86" t="s">
        <v>211</v>
      </c>
      <c r="D50" s="86" t="s">
        <v>282</v>
      </c>
      <c r="E50" s="86" t="s">
        <v>284</v>
      </c>
      <c r="F50" s="87">
        <v>3.5</v>
      </c>
      <c r="G50" s="87">
        <v>12.85</v>
      </c>
      <c r="H50" s="87">
        <v>1.1000000000000001</v>
      </c>
      <c r="I50" s="86" t="s">
        <v>263</v>
      </c>
      <c r="J50" s="87" t="s">
        <v>450</v>
      </c>
      <c r="K50" s="86" t="s">
        <v>267</v>
      </c>
      <c r="L50" s="86" t="s">
        <v>267</v>
      </c>
      <c r="M50" s="111"/>
    </row>
    <row r="51" spans="1:13" ht="26" customHeight="1">
      <c r="A51" s="86">
        <v>33</v>
      </c>
      <c r="B51" s="86" t="s">
        <v>387</v>
      </c>
      <c r="C51" s="86" t="s">
        <v>212</v>
      </c>
      <c r="D51" s="86" t="s">
        <v>282</v>
      </c>
      <c r="E51" s="86" t="s">
        <v>284</v>
      </c>
      <c r="F51" s="87">
        <v>9.35</v>
      </c>
      <c r="G51" s="87">
        <v>5.5</v>
      </c>
      <c r="H51" s="87">
        <v>1.1000000000000001</v>
      </c>
      <c r="I51" s="86" t="s">
        <v>263</v>
      </c>
      <c r="J51" s="87" t="s">
        <v>451</v>
      </c>
      <c r="K51" s="86" t="s">
        <v>267</v>
      </c>
      <c r="L51" s="86" t="s">
        <v>267</v>
      </c>
      <c r="M51" s="111"/>
    </row>
    <row r="52" spans="1:13" ht="26" customHeight="1">
      <c r="A52" s="86">
        <v>34</v>
      </c>
      <c r="B52" s="86" t="s">
        <v>388</v>
      </c>
      <c r="C52" s="86" t="s">
        <v>354</v>
      </c>
      <c r="D52" s="86" t="s">
        <v>282</v>
      </c>
      <c r="E52" s="86">
        <v>8</v>
      </c>
      <c r="F52" s="87">
        <v>9</v>
      </c>
      <c r="G52" s="87">
        <v>10.15</v>
      </c>
      <c r="H52" s="87">
        <v>0.8</v>
      </c>
      <c r="I52" s="86" t="s">
        <v>263</v>
      </c>
      <c r="J52" s="87" t="s">
        <v>435</v>
      </c>
      <c r="K52" s="86" t="s">
        <v>267</v>
      </c>
      <c r="L52" s="86" t="s">
        <v>267</v>
      </c>
      <c r="M52" s="111"/>
    </row>
    <row r="53" spans="1:13" ht="26" customHeight="1">
      <c r="A53" s="86">
        <v>35</v>
      </c>
      <c r="B53" s="86" t="s">
        <v>389</v>
      </c>
      <c r="C53" s="86" t="s">
        <v>355</v>
      </c>
      <c r="D53" s="86" t="s">
        <v>282</v>
      </c>
      <c r="E53" s="86">
        <v>8</v>
      </c>
      <c r="F53" s="87">
        <v>9</v>
      </c>
      <c r="G53" s="87">
        <v>18.28</v>
      </c>
      <c r="H53" s="87">
        <v>0.8</v>
      </c>
      <c r="I53" s="86" t="s">
        <v>263</v>
      </c>
      <c r="J53" s="87" t="s">
        <v>436</v>
      </c>
      <c r="K53" s="86" t="s">
        <v>267</v>
      </c>
      <c r="L53" s="86" t="s">
        <v>267</v>
      </c>
      <c r="M53" s="111"/>
    </row>
    <row r="54" spans="1:13" ht="26" customHeight="1">
      <c r="A54" s="86">
        <v>38</v>
      </c>
      <c r="B54" s="86" t="s">
        <v>390</v>
      </c>
      <c r="C54" s="86" t="s">
        <v>218</v>
      </c>
      <c r="D54" s="86" t="s">
        <v>281</v>
      </c>
      <c r="E54" s="86" t="s">
        <v>262</v>
      </c>
      <c r="F54" s="87">
        <v>8.6999999999999993</v>
      </c>
      <c r="G54" s="87">
        <v>3.5</v>
      </c>
      <c r="H54" s="87">
        <v>0.8</v>
      </c>
      <c r="I54" s="86" t="s">
        <v>405</v>
      </c>
      <c r="J54" s="87" t="s">
        <v>437</v>
      </c>
      <c r="K54" s="86" t="s">
        <v>267</v>
      </c>
      <c r="L54" s="86" t="s">
        <v>267</v>
      </c>
      <c r="M54" s="111"/>
    </row>
    <row r="55" spans="1:13" ht="26" customHeight="1">
      <c r="A55" s="86">
        <v>39</v>
      </c>
      <c r="B55" s="86" t="s">
        <v>391</v>
      </c>
      <c r="C55" s="86" t="s">
        <v>219</v>
      </c>
      <c r="D55" s="86" t="s">
        <v>281</v>
      </c>
      <c r="E55" s="86" t="s">
        <v>262</v>
      </c>
      <c r="F55" s="87">
        <v>6.86</v>
      </c>
      <c r="G55" s="87">
        <v>3.5</v>
      </c>
      <c r="H55" s="87">
        <v>0.8</v>
      </c>
      <c r="I55" s="86" t="s">
        <v>405</v>
      </c>
      <c r="J55" s="87" t="s">
        <v>438</v>
      </c>
      <c r="K55" s="86" t="s">
        <v>267</v>
      </c>
      <c r="L55" s="86" t="s">
        <v>267</v>
      </c>
      <c r="M55" s="111"/>
    </row>
    <row r="56" spans="1:13" ht="26" customHeight="1">
      <c r="A56" s="86">
        <v>40</v>
      </c>
      <c r="B56" s="86" t="s">
        <v>392</v>
      </c>
      <c r="C56" s="86" t="s">
        <v>220</v>
      </c>
      <c r="D56" s="86" t="s">
        <v>281</v>
      </c>
      <c r="E56" s="86" t="s">
        <v>262</v>
      </c>
      <c r="F56" s="87">
        <v>4.0599999999999996</v>
      </c>
      <c r="G56" s="87">
        <v>3.5</v>
      </c>
      <c r="H56" s="87">
        <v>0.8</v>
      </c>
      <c r="I56" s="86" t="s">
        <v>405</v>
      </c>
      <c r="J56" s="87" t="s">
        <v>439</v>
      </c>
      <c r="K56" s="86" t="s">
        <v>267</v>
      </c>
      <c r="L56" s="86" t="s">
        <v>267</v>
      </c>
      <c r="M56" s="111"/>
    </row>
    <row r="57" spans="1:13" ht="26" customHeight="1">
      <c r="A57" s="86">
        <v>41</v>
      </c>
      <c r="B57" s="86" t="s">
        <v>393</v>
      </c>
      <c r="C57" s="86" t="s">
        <v>221</v>
      </c>
      <c r="D57" s="86" t="s">
        <v>281</v>
      </c>
      <c r="E57" s="86" t="s">
        <v>262</v>
      </c>
      <c r="F57" s="87">
        <v>2.2999999999999998</v>
      </c>
      <c r="G57" s="87">
        <v>3.5</v>
      </c>
      <c r="H57" s="87">
        <v>0.8</v>
      </c>
      <c r="I57" s="86" t="s">
        <v>405</v>
      </c>
      <c r="J57" s="87" t="s">
        <v>440</v>
      </c>
      <c r="K57" s="86" t="s">
        <v>267</v>
      </c>
      <c r="L57" s="86" t="s">
        <v>267</v>
      </c>
      <c r="M57" s="111"/>
    </row>
    <row r="58" spans="1:13" ht="26" customHeight="1">
      <c r="A58" s="86">
        <v>42</v>
      </c>
      <c r="B58" s="86" t="s">
        <v>394</v>
      </c>
      <c r="C58" s="86" t="s">
        <v>222</v>
      </c>
      <c r="D58" s="86" t="s">
        <v>281</v>
      </c>
      <c r="E58" s="86" t="s">
        <v>262</v>
      </c>
      <c r="F58" s="87">
        <v>5.46</v>
      </c>
      <c r="G58" s="87">
        <v>3.5</v>
      </c>
      <c r="H58" s="87">
        <v>0.8</v>
      </c>
      <c r="I58" s="86" t="s">
        <v>405</v>
      </c>
      <c r="J58" s="87" t="s">
        <v>441</v>
      </c>
      <c r="K58" s="86" t="s">
        <v>267</v>
      </c>
      <c r="L58" s="86" t="s">
        <v>267</v>
      </c>
      <c r="M58" s="111"/>
    </row>
    <row r="59" spans="1:13" ht="26" customHeight="1">
      <c r="A59" s="86">
        <v>43</v>
      </c>
      <c r="B59" s="86" t="s">
        <v>395</v>
      </c>
      <c r="C59" s="86" t="s">
        <v>223</v>
      </c>
      <c r="D59" s="86" t="s">
        <v>281</v>
      </c>
      <c r="E59" s="86" t="s">
        <v>285</v>
      </c>
      <c r="F59" s="87">
        <v>8</v>
      </c>
      <c r="G59" s="87">
        <v>5.8</v>
      </c>
      <c r="H59" s="87">
        <v>0.8</v>
      </c>
      <c r="I59" s="86" t="s">
        <v>405</v>
      </c>
      <c r="J59" s="87" t="s">
        <v>442</v>
      </c>
      <c r="K59" s="86" t="s">
        <v>267</v>
      </c>
      <c r="L59" s="86" t="s">
        <v>267</v>
      </c>
      <c r="M59" s="111"/>
    </row>
    <row r="60" spans="1:13" ht="26" customHeight="1">
      <c r="A60" s="86">
        <v>44</v>
      </c>
      <c r="B60" s="86" t="s">
        <v>396</v>
      </c>
      <c r="C60" s="86" t="s">
        <v>224</v>
      </c>
      <c r="D60" s="86" t="s">
        <v>281</v>
      </c>
      <c r="E60" s="86" t="s">
        <v>285</v>
      </c>
      <c r="F60" s="87">
        <v>4.5</v>
      </c>
      <c r="G60" s="87">
        <v>5.8</v>
      </c>
      <c r="H60" s="87">
        <v>0.8</v>
      </c>
      <c r="I60" s="86" t="s">
        <v>405</v>
      </c>
      <c r="J60" s="87" t="s">
        <v>443</v>
      </c>
      <c r="K60" s="86" t="s">
        <v>267</v>
      </c>
      <c r="L60" s="86" t="s">
        <v>267</v>
      </c>
      <c r="M60" s="111"/>
    </row>
    <row r="61" spans="1:13" ht="26" customHeight="1">
      <c r="A61" s="86">
        <v>45</v>
      </c>
      <c r="B61" s="86" t="s">
        <v>397</v>
      </c>
      <c r="C61" s="86" t="s">
        <v>225</v>
      </c>
      <c r="D61" s="86" t="s">
        <v>281</v>
      </c>
      <c r="E61" s="86" t="s">
        <v>285</v>
      </c>
      <c r="F61" s="87">
        <v>7</v>
      </c>
      <c r="G61" s="87">
        <v>5.8</v>
      </c>
      <c r="H61" s="87">
        <v>0.8</v>
      </c>
      <c r="I61" s="86" t="s">
        <v>405</v>
      </c>
      <c r="J61" s="87" t="s">
        <v>444</v>
      </c>
      <c r="K61" s="86" t="s">
        <v>267</v>
      </c>
      <c r="L61" s="86" t="s">
        <v>267</v>
      </c>
      <c r="M61" s="111"/>
    </row>
    <row r="62" spans="1:13" ht="26" customHeight="1">
      <c r="A62" s="86">
        <v>46</v>
      </c>
      <c r="B62" s="86" t="s">
        <v>398</v>
      </c>
      <c r="C62" s="86" t="s">
        <v>226</v>
      </c>
      <c r="D62" s="86" t="s">
        <v>281</v>
      </c>
      <c r="E62" s="86" t="s">
        <v>285</v>
      </c>
      <c r="F62" s="87">
        <v>2.8</v>
      </c>
      <c r="G62" s="87">
        <v>5.8</v>
      </c>
      <c r="H62" s="87">
        <v>0.8</v>
      </c>
      <c r="I62" s="86" t="s">
        <v>405</v>
      </c>
      <c r="J62" s="87" t="s">
        <v>445</v>
      </c>
      <c r="K62" s="86" t="s">
        <v>267</v>
      </c>
      <c r="L62" s="86" t="s">
        <v>267</v>
      </c>
      <c r="M62" s="111"/>
    </row>
    <row r="63" spans="1:13" ht="26" customHeight="1">
      <c r="A63" s="86">
        <v>47</v>
      </c>
      <c r="B63" s="86" t="s">
        <v>399</v>
      </c>
      <c r="C63" s="86" t="s">
        <v>227</v>
      </c>
      <c r="D63" s="86" t="s">
        <v>281</v>
      </c>
      <c r="E63" s="86" t="s">
        <v>285</v>
      </c>
      <c r="F63" s="87">
        <v>10.5</v>
      </c>
      <c r="G63" s="87">
        <v>5.8</v>
      </c>
      <c r="H63" s="87">
        <v>0.8</v>
      </c>
      <c r="I63" s="86" t="s">
        <v>405</v>
      </c>
      <c r="J63" s="87" t="s">
        <v>446</v>
      </c>
      <c r="K63" s="86" t="s">
        <v>267</v>
      </c>
      <c r="L63" s="86" t="s">
        <v>267</v>
      </c>
      <c r="M63" s="111"/>
    </row>
    <row r="64" spans="1:13" ht="26" customHeight="1">
      <c r="A64" s="86">
        <v>48</v>
      </c>
      <c r="B64" s="86" t="s">
        <v>400</v>
      </c>
      <c r="C64" s="86" t="s">
        <v>228</v>
      </c>
      <c r="D64" s="86" t="s">
        <v>281</v>
      </c>
      <c r="E64" s="86" t="s">
        <v>285</v>
      </c>
      <c r="F64" s="87">
        <v>11</v>
      </c>
      <c r="G64" s="87">
        <v>5.8</v>
      </c>
      <c r="H64" s="87">
        <v>0.8</v>
      </c>
      <c r="I64" s="86" t="s">
        <v>405</v>
      </c>
      <c r="J64" s="87" t="s">
        <v>264</v>
      </c>
      <c r="K64" s="86" t="s">
        <v>267</v>
      </c>
      <c r="L64" s="86" t="s">
        <v>267</v>
      </c>
      <c r="M64" s="111"/>
    </row>
    <row r="65" spans="1:13" ht="26" customHeight="1">
      <c r="A65" s="86">
        <v>49</v>
      </c>
      <c r="B65" s="86" t="s">
        <v>401</v>
      </c>
      <c r="C65" s="86" t="s">
        <v>229</v>
      </c>
      <c r="D65" s="86" t="s">
        <v>281</v>
      </c>
      <c r="E65" s="86" t="s">
        <v>262</v>
      </c>
      <c r="F65" s="87">
        <v>3.5</v>
      </c>
      <c r="G65" s="87">
        <v>3.5</v>
      </c>
      <c r="H65" s="87">
        <v>0.8</v>
      </c>
      <c r="I65" s="86" t="s">
        <v>405</v>
      </c>
      <c r="J65" s="87" t="s">
        <v>447</v>
      </c>
      <c r="K65" s="86" t="s">
        <v>267</v>
      </c>
      <c r="L65" s="86" t="s">
        <v>267</v>
      </c>
      <c r="M65" s="111"/>
    </row>
    <row r="66" spans="1:13" ht="26" customHeight="1">
      <c r="A66" s="86">
        <v>50</v>
      </c>
      <c r="B66" s="86" t="s">
        <v>402</v>
      </c>
      <c r="C66" s="86" t="s">
        <v>213</v>
      </c>
      <c r="D66" s="86" t="s">
        <v>282</v>
      </c>
      <c r="E66" s="86" t="s">
        <v>284</v>
      </c>
      <c r="F66" s="87">
        <v>3.5</v>
      </c>
      <c r="G66" s="87">
        <v>12.85</v>
      </c>
      <c r="H66" s="87">
        <v>0.8</v>
      </c>
      <c r="I66" s="86" t="s">
        <v>263</v>
      </c>
      <c r="J66" s="87" t="s">
        <v>448</v>
      </c>
      <c r="K66" s="86" t="s">
        <v>267</v>
      </c>
      <c r="L66" s="86" t="s">
        <v>267</v>
      </c>
      <c r="M66" s="111"/>
    </row>
    <row r="67" spans="1:13" ht="26" customHeight="1">
      <c r="A67" s="86">
        <v>51</v>
      </c>
      <c r="B67" s="86" t="s">
        <v>403</v>
      </c>
      <c r="C67" s="86" t="s">
        <v>214</v>
      </c>
      <c r="D67" s="86" t="s">
        <v>282</v>
      </c>
      <c r="E67" s="86" t="s">
        <v>284</v>
      </c>
      <c r="F67" s="87">
        <v>9.35</v>
      </c>
      <c r="G67" s="87">
        <v>5.5</v>
      </c>
      <c r="H67" s="87">
        <v>0.8</v>
      </c>
      <c r="I67" s="86" t="s">
        <v>263</v>
      </c>
      <c r="J67" s="87" t="s">
        <v>449</v>
      </c>
      <c r="K67" s="86" t="s">
        <v>267</v>
      </c>
      <c r="L67" s="86" t="s">
        <v>267</v>
      </c>
      <c r="M67" s="111"/>
    </row>
  </sheetData>
  <dataConsolidate/>
  <mergeCells count="9">
    <mergeCell ref="A12:A13"/>
    <mergeCell ref="B12:B13"/>
    <mergeCell ref="K12:K13"/>
    <mergeCell ref="I12:J13"/>
    <mergeCell ref="I14:J14"/>
    <mergeCell ref="I15:J15"/>
    <mergeCell ref="I16:J16"/>
    <mergeCell ref="L12:L13"/>
    <mergeCell ref="C12:H12"/>
  </mergeCells>
  <phoneticPr fontId="14" type="noConversion"/>
  <conditionalFormatting sqref="C19">
    <cfRule type="duplicateValues" dxfId="1" priority="4"/>
  </conditionalFormatting>
  <dataValidations count="1">
    <dataValidation type="list" showInputMessage="1" showErrorMessage="1" sqref="C14:H16" xr:uid="{8774D007-1524-C349-A096-7FF53B666066}">
      <formula1>"Yes, -"</formula1>
    </dataValidation>
  </dataValidations>
  <hyperlinks>
    <hyperlink ref="B6" location="IQC!A1" display="IQC" xr:uid="{6C89A819-A4FE-BF43-869D-8AD897064A72}"/>
    <hyperlink ref="B7" location="Machining!A1" display="Machining" xr:uid="{98E90FEE-DB79-E244-A131-12018887CF53}"/>
    <hyperlink ref="B8" location="'Surface Treatment'!A1" display="Surface Treatment" xr:uid="{F7DE2D65-27A1-D24F-B9EC-6918E7186F40}"/>
    <hyperlink ref="B9" location="Assy!A1" display="Assy" xr:uid="{1FFFC351-EB2F-814B-BD15-61336D103E14}"/>
    <hyperlink ref="B10" location="OQC!A1" display="OQC" xr:uid="{4618CF93-FF28-9641-8450-56933EE08E8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D2E90-FEEC-E94A-BA14-681C03AD3826}">
  <dimension ref="A1:H12"/>
  <sheetViews>
    <sheetView showGridLines="0" showRuler="0" zoomScale="92" zoomScaleNormal="100" zoomScaleSheetLayoutView="55" workbookViewId="0">
      <pane xSplit="2" ySplit="7" topLeftCell="C10" activePane="bottomRight" state="frozen"/>
      <selection activeCell="B13" sqref="B13:B17"/>
      <selection pane="topRight" activeCell="B13" sqref="B13:B17"/>
      <selection pane="bottomLeft" activeCell="B13" sqref="B13:B17"/>
      <selection pane="bottomRight" activeCell="E12" sqref="E12"/>
    </sheetView>
  </sheetViews>
  <sheetFormatPr baseColWidth="10" defaultColWidth="8.83203125" defaultRowHeight="22" customHeight="1"/>
  <cols>
    <col min="1" max="4" width="25.83203125" style="13" customWidth="1"/>
    <col min="5" max="5" width="25.83203125" style="14" customWidth="1"/>
    <col min="6" max="8" width="25.83203125" style="13" customWidth="1"/>
    <col min="9" max="16384" width="8.83203125" style="13"/>
  </cols>
  <sheetData>
    <row r="1" spans="1:8" s="20" customFormat="1" ht="24" customHeight="1">
      <c r="A1" s="11" t="s">
        <v>6</v>
      </c>
      <c r="B1" s="11" t="s">
        <v>8</v>
      </c>
      <c r="C1" s="9"/>
      <c r="D1" s="9"/>
      <c r="E1" s="9"/>
      <c r="F1" s="9"/>
      <c r="G1" s="9"/>
      <c r="H1" s="9"/>
    </row>
    <row r="2" spans="1:8" s="20" customFormat="1" ht="24" customHeight="1">
      <c r="A2" s="21" t="str">
        <f>IF(Revision!A4="","",Revision!A4)</f>
        <v>R240</v>
      </c>
      <c r="B2" s="21" t="str">
        <f>IF(Revision!B4="","",Revision!B4)</f>
        <v>DVT</v>
      </c>
      <c r="C2" s="7"/>
      <c r="D2" s="9"/>
      <c r="E2" s="9"/>
      <c r="F2" s="9"/>
      <c r="G2" s="9"/>
      <c r="H2" s="9"/>
    </row>
    <row r="3" spans="1:8" s="20" customFormat="1" ht="24" customHeight="1">
      <c r="A3" s="11" t="s">
        <v>18</v>
      </c>
      <c r="B3" s="11" t="s">
        <v>60</v>
      </c>
      <c r="C3" s="9"/>
      <c r="D3" s="9"/>
      <c r="E3" s="9"/>
      <c r="F3" s="9"/>
      <c r="G3" s="9"/>
      <c r="H3" s="9"/>
    </row>
    <row r="4" spans="1:8" s="20" customFormat="1" ht="24" customHeight="1">
      <c r="A4" s="43" t="str">
        <f>IF(Revision!A6="","",Revision!A6)</f>
        <v>099-53721-08</v>
      </c>
      <c r="B4" s="21" t="str">
        <f>IF(Revision!B6="","",Revision!B6)</f>
        <v>IQC</v>
      </c>
      <c r="C4" s="7"/>
      <c r="D4" s="9"/>
      <c r="E4" s="6"/>
      <c r="F4" s="6"/>
      <c r="G4" s="6"/>
      <c r="H4" s="6"/>
    </row>
    <row r="5" spans="1:8" s="20" customFormat="1" ht="7" customHeight="1">
      <c r="E5" s="22"/>
    </row>
    <row r="6" spans="1:8" s="23" customFormat="1" ht="37" customHeight="1">
      <c r="A6" s="124" t="s">
        <v>21</v>
      </c>
      <c r="B6" s="124" t="s">
        <v>18</v>
      </c>
      <c r="C6" s="124" t="s">
        <v>62</v>
      </c>
      <c r="D6" s="123" t="s">
        <v>25</v>
      </c>
      <c r="E6" s="124" t="s">
        <v>28</v>
      </c>
      <c r="F6" s="126" t="s">
        <v>52</v>
      </c>
      <c r="G6" s="127"/>
      <c r="H6" s="128"/>
    </row>
    <row r="7" spans="1:8" s="23" customFormat="1" ht="22" customHeight="1">
      <c r="A7" s="125"/>
      <c r="B7" s="125"/>
      <c r="C7" s="125"/>
      <c r="D7" s="123"/>
      <c r="E7" s="125"/>
      <c r="F7" s="24" t="s">
        <v>39</v>
      </c>
      <c r="G7" s="25" t="s">
        <v>22</v>
      </c>
      <c r="H7" s="25" t="s">
        <v>19</v>
      </c>
    </row>
    <row r="8" spans="1:8" s="57" customFormat="1" ht="101" customHeight="1">
      <c r="A8" s="62" t="s">
        <v>231</v>
      </c>
      <c r="B8" s="63" t="s">
        <v>150</v>
      </c>
      <c r="C8" s="63">
        <v>1</v>
      </c>
      <c r="D8" s="63" t="s">
        <v>63</v>
      </c>
      <c r="E8" s="64" t="s">
        <v>337</v>
      </c>
      <c r="F8" s="64" t="s">
        <v>145</v>
      </c>
      <c r="G8" s="64" t="s">
        <v>146</v>
      </c>
      <c r="H8" s="60" t="s">
        <v>64</v>
      </c>
    </row>
    <row r="9" spans="1:8" s="57" customFormat="1" ht="101" customHeight="1">
      <c r="A9" s="62" t="s">
        <v>231</v>
      </c>
      <c r="B9" s="63" t="s">
        <v>150</v>
      </c>
      <c r="C9" s="63">
        <v>1</v>
      </c>
      <c r="D9" s="63" t="s">
        <v>63</v>
      </c>
      <c r="E9" s="64" t="s">
        <v>338</v>
      </c>
      <c r="F9" s="64" t="s">
        <v>145</v>
      </c>
      <c r="G9" s="64" t="s">
        <v>146</v>
      </c>
      <c r="H9" s="60" t="s">
        <v>64</v>
      </c>
    </row>
    <row r="10" spans="1:8" s="57" customFormat="1" ht="101" customHeight="1">
      <c r="A10" s="62" t="s">
        <v>231</v>
      </c>
      <c r="B10" s="63" t="s">
        <v>150</v>
      </c>
      <c r="C10" s="63">
        <v>1</v>
      </c>
      <c r="D10" s="63" t="s">
        <v>63</v>
      </c>
      <c r="E10" s="64" t="s">
        <v>339</v>
      </c>
      <c r="F10" s="64" t="s">
        <v>145</v>
      </c>
      <c r="G10" s="64" t="s">
        <v>146</v>
      </c>
      <c r="H10" s="60" t="s">
        <v>64</v>
      </c>
    </row>
    <row r="11" spans="1:8" s="57" customFormat="1" ht="106" customHeight="1">
      <c r="A11" s="62" t="s">
        <v>231</v>
      </c>
      <c r="B11" s="63" t="s">
        <v>150</v>
      </c>
      <c r="C11" s="63">
        <v>1</v>
      </c>
      <c r="D11" s="63" t="s">
        <v>63</v>
      </c>
      <c r="E11" s="64" t="s">
        <v>147</v>
      </c>
      <c r="F11" s="64" t="s">
        <v>145</v>
      </c>
      <c r="G11" s="64" t="s">
        <v>149</v>
      </c>
      <c r="H11" s="60" t="s">
        <v>64</v>
      </c>
    </row>
    <row r="12" spans="1:8" s="57" customFormat="1" ht="106" customHeight="1">
      <c r="A12" s="62" t="s">
        <v>231</v>
      </c>
      <c r="B12" s="63" t="s">
        <v>150</v>
      </c>
      <c r="C12" s="63">
        <v>1</v>
      </c>
      <c r="D12" s="63" t="s">
        <v>63</v>
      </c>
      <c r="E12" s="64" t="s">
        <v>148</v>
      </c>
      <c r="F12" s="64" t="s">
        <v>145</v>
      </c>
      <c r="G12" s="64" t="s">
        <v>149</v>
      </c>
      <c r="H12" s="60" t="s">
        <v>64</v>
      </c>
    </row>
  </sheetData>
  <sheetProtection sort="0" autoFilter="0" pivotTables="0"/>
  <dataConsolidate/>
  <mergeCells count="6">
    <mergeCell ref="D6:D7"/>
    <mergeCell ref="A6:A7"/>
    <mergeCell ref="F6:H6"/>
    <mergeCell ref="B6:B7"/>
    <mergeCell ref="E6:E7"/>
    <mergeCell ref="C6:C7"/>
  </mergeCells>
  <phoneticPr fontId="14" type="noConversion"/>
  <dataValidations count="2">
    <dataValidation type="list" allowBlank="1" showInputMessage="1" showErrorMessage="1" sqref="H8:H12" xr:uid="{96643AB1-FE91-3A49-8876-95B464C73945}">
      <formula1>"0收1退(Ac=0),CPK≥1.33,Yield&gt;99.5%,No Alert(65%)"</formula1>
    </dataValidation>
    <dataValidation type="list" allowBlank="1" showInputMessage="1" showErrorMessage="1" sqref="D8:D12" xr:uid="{728FBA92-FEB8-9E4B-9E4E-DD132C467283}">
      <formula1>"Dim, Cos, Function, ORT, Rel"</formula1>
    </dataValidation>
  </dataValidations>
  <pageMargins left="0" right="0" top="0" bottom="0" header="0" footer="0"/>
  <pageSetup scale="53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08DAF-E376-D948-928A-1295E922159D}">
  <dimension ref="A1:O75"/>
  <sheetViews>
    <sheetView showGridLines="0" showRuler="0" zoomScale="68" zoomScaleNormal="80" zoomScaleSheetLayoutView="55" workbookViewId="0">
      <pane ySplit="7" topLeftCell="A8" activePane="bottomLeft" state="frozen"/>
      <selection activeCell="B13" sqref="B13:B17"/>
      <selection pane="bottomLeft" activeCell="A14" sqref="A14:XFD17"/>
    </sheetView>
  </sheetViews>
  <sheetFormatPr baseColWidth="10" defaultColWidth="8.83203125" defaultRowHeight="22" customHeight="1" outlineLevelCol="1"/>
  <cols>
    <col min="1" max="2" width="25.83203125" style="13" customWidth="1"/>
    <col min="3" max="5" width="22.83203125" style="13" customWidth="1" outlineLevel="1"/>
    <col min="6" max="6" width="22.83203125" style="14" customWidth="1"/>
    <col min="7" max="7" width="32.83203125" style="14" bestFit="1" customWidth="1"/>
    <col min="8" max="8" width="22.83203125" style="14" customWidth="1"/>
    <col min="9" max="9" width="22.83203125" style="13" customWidth="1"/>
    <col min="10" max="10" width="33.33203125" style="13" bestFit="1" customWidth="1"/>
    <col min="11" max="11" width="22.83203125" style="13" customWidth="1"/>
    <col min="12" max="12" width="33.33203125" style="13" bestFit="1" customWidth="1"/>
    <col min="13" max="14" width="22.83203125" style="13" customWidth="1"/>
    <col min="15" max="15" width="17.1640625" style="13" customWidth="1"/>
    <col min="16" max="16384" width="8.83203125" style="13"/>
  </cols>
  <sheetData>
    <row r="1" spans="1:14" s="20" customFormat="1" ht="24" customHeight="1">
      <c r="A1" s="11" t="s">
        <v>6</v>
      </c>
      <c r="B1" s="11" t="s">
        <v>8</v>
      </c>
      <c r="F1" s="7"/>
      <c r="G1" s="7"/>
      <c r="H1" s="7"/>
      <c r="I1" s="7"/>
      <c r="J1" s="7"/>
      <c r="K1" s="7"/>
      <c r="L1" s="7"/>
    </row>
    <row r="2" spans="1:14" s="20" customFormat="1" ht="24" customHeight="1">
      <c r="A2" s="21" t="str">
        <f>IF(Revision!A4="","",Revision!A4)</f>
        <v>R240</v>
      </c>
      <c r="B2" s="21" t="str">
        <f>IF(Revision!B4="","",Revision!B4)</f>
        <v>DVT</v>
      </c>
      <c r="F2" s="7"/>
      <c r="G2" s="7"/>
      <c r="H2" s="7"/>
      <c r="I2" s="7"/>
      <c r="J2" s="7"/>
      <c r="K2" s="7"/>
      <c r="L2" s="7"/>
    </row>
    <row r="3" spans="1:14" s="20" customFormat="1" ht="24" customHeight="1">
      <c r="A3" s="11" t="s">
        <v>18</v>
      </c>
      <c r="B3" s="11" t="s">
        <v>0</v>
      </c>
      <c r="F3" s="7"/>
      <c r="G3" s="7"/>
      <c r="H3" s="7"/>
      <c r="I3" s="7"/>
      <c r="J3" s="7"/>
      <c r="K3" s="7"/>
      <c r="L3" s="7"/>
    </row>
    <row r="4" spans="1:14" s="20" customFormat="1" ht="24" customHeight="1">
      <c r="A4" s="43" t="str">
        <f>IF(Revision!A7="","",Revision!A7)</f>
        <v>099-53721-08</v>
      </c>
      <c r="B4" s="21" t="str">
        <f>IF(Revision!B7="","",Revision!B7)</f>
        <v>Machining</v>
      </c>
      <c r="F4" s="7"/>
      <c r="G4" s="7"/>
      <c r="H4" s="7"/>
      <c r="I4" s="7"/>
      <c r="J4" s="129"/>
      <c r="K4" s="129"/>
      <c r="L4" s="129"/>
      <c r="M4" s="129"/>
      <c r="N4" s="129"/>
    </row>
    <row r="5" spans="1:14" s="20" customFormat="1" ht="7" customHeight="1">
      <c r="F5" s="22"/>
      <c r="G5" s="22"/>
      <c r="H5" s="22"/>
    </row>
    <row r="6" spans="1:14" s="23" customFormat="1" ht="37" customHeight="1">
      <c r="A6" s="123" t="s">
        <v>67</v>
      </c>
      <c r="B6" s="130" t="s">
        <v>48</v>
      </c>
      <c r="C6" s="132" t="s">
        <v>26</v>
      </c>
      <c r="D6" s="132"/>
      <c r="E6" s="132"/>
      <c r="F6" s="133" t="s">
        <v>49</v>
      </c>
      <c r="G6" s="134"/>
      <c r="H6" s="134"/>
      <c r="I6" s="135"/>
      <c r="J6" s="136" t="s">
        <v>72</v>
      </c>
      <c r="K6" s="137"/>
      <c r="L6" s="138" t="s">
        <v>51</v>
      </c>
      <c r="M6" s="138"/>
      <c r="N6" s="137"/>
    </row>
    <row r="7" spans="1:14" s="23" customFormat="1" ht="22" customHeight="1">
      <c r="A7" s="123"/>
      <c r="B7" s="131"/>
      <c r="C7" s="26" t="s">
        <v>12</v>
      </c>
      <c r="D7" s="26" t="s">
        <v>13</v>
      </c>
      <c r="E7" s="26" t="s">
        <v>11</v>
      </c>
      <c r="F7" s="10" t="s">
        <v>14</v>
      </c>
      <c r="G7" s="10" t="s">
        <v>11</v>
      </c>
      <c r="H7" s="10" t="s">
        <v>60</v>
      </c>
      <c r="I7" s="10" t="s">
        <v>10</v>
      </c>
      <c r="J7" s="27" t="s">
        <v>42</v>
      </c>
      <c r="K7" s="24" t="s">
        <v>76</v>
      </c>
      <c r="L7" s="24" t="s">
        <v>43</v>
      </c>
      <c r="M7" s="24" t="s">
        <v>39</v>
      </c>
      <c r="N7" s="25" t="s">
        <v>47</v>
      </c>
    </row>
    <row r="8" spans="1:14" s="18" customFormat="1" ht="40" customHeight="1">
      <c r="A8" s="44" t="s">
        <v>130</v>
      </c>
      <c r="B8" s="15" t="s">
        <v>66</v>
      </c>
      <c r="C8" s="42" t="s">
        <v>41</v>
      </c>
      <c r="D8" s="42" t="s">
        <v>41</v>
      </c>
      <c r="E8" s="42" t="s">
        <v>41</v>
      </c>
      <c r="F8" s="40" t="s">
        <v>151</v>
      </c>
      <c r="G8" s="48" t="s">
        <v>457</v>
      </c>
      <c r="H8" s="15" t="s">
        <v>78</v>
      </c>
      <c r="I8" s="16" t="s">
        <v>82</v>
      </c>
      <c r="J8" s="40" t="s">
        <v>483</v>
      </c>
      <c r="K8" s="17" t="s">
        <v>127</v>
      </c>
      <c r="L8" s="48" t="s">
        <v>489</v>
      </c>
      <c r="M8" s="17" t="s">
        <v>127</v>
      </c>
      <c r="N8" s="42" t="s">
        <v>80</v>
      </c>
    </row>
    <row r="9" spans="1:14" s="18" customFormat="1" ht="40" customHeight="1">
      <c r="A9" s="44" t="s">
        <v>131</v>
      </c>
      <c r="B9" s="15" t="s">
        <v>66</v>
      </c>
      <c r="C9" s="42" t="s">
        <v>41</v>
      </c>
      <c r="D9" s="42" t="s">
        <v>41</v>
      </c>
      <c r="E9" s="42" t="s">
        <v>41</v>
      </c>
      <c r="F9" s="40" t="s">
        <v>151</v>
      </c>
      <c r="G9" s="48" t="s">
        <v>458</v>
      </c>
      <c r="H9" s="15" t="s">
        <v>78</v>
      </c>
      <c r="I9" s="16" t="s">
        <v>82</v>
      </c>
      <c r="J9" s="40" t="s">
        <v>484</v>
      </c>
      <c r="K9" s="17" t="s">
        <v>127</v>
      </c>
      <c r="L9" s="48" t="s">
        <v>490</v>
      </c>
      <c r="M9" s="17" t="s">
        <v>127</v>
      </c>
      <c r="N9" s="42" t="s">
        <v>80</v>
      </c>
    </row>
    <row r="10" spans="1:14" s="18" customFormat="1" ht="40" customHeight="1">
      <c r="A10" s="44" t="s">
        <v>132</v>
      </c>
      <c r="B10" s="15" t="s">
        <v>66</v>
      </c>
      <c r="C10" s="42" t="s">
        <v>41</v>
      </c>
      <c r="D10" s="42" t="s">
        <v>41</v>
      </c>
      <c r="E10" s="42" t="s">
        <v>41</v>
      </c>
      <c r="F10" s="40" t="s">
        <v>71</v>
      </c>
      <c r="G10" s="48" t="s">
        <v>459</v>
      </c>
      <c r="H10" s="15" t="s">
        <v>79</v>
      </c>
      <c r="I10" s="16" t="s">
        <v>82</v>
      </c>
      <c r="J10" s="40" t="s">
        <v>485</v>
      </c>
      <c r="K10" s="17" t="s">
        <v>127</v>
      </c>
      <c r="L10" s="48" t="s">
        <v>491</v>
      </c>
      <c r="M10" s="17" t="s">
        <v>127</v>
      </c>
      <c r="N10" s="42" t="s">
        <v>80</v>
      </c>
    </row>
    <row r="11" spans="1:14" s="18" customFormat="1" ht="40" customHeight="1">
      <c r="A11" s="44" t="s">
        <v>133</v>
      </c>
      <c r="B11" s="15" t="s">
        <v>66</v>
      </c>
      <c r="C11" s="42" t="s">
        <v>41</v>
      </c>
      <c r="D11" s="42" t="s">
        <v>41</v>
      </c>
      <c r="E11" s="42" t="s">
        <v>41</v>
      </c>
      <c r="F11" s="40" t="s">
        <v>71</v>
      </c>
      <c r="G11" s="48" t="s">
        <v>460</v>
      </c>
      <c r="H11" s="15" t="s">
        <v>79</v>
      </c>
      <c r="I11" s="16" t="s">
        <v>82</v>
      </c>
      <c r="J11" s="40" t="s">
        <v>486</v>
      </c>
      <c r="K11" s="17" t="s">
        <v>127</v>
      </c>
      <c r="L11" s="48" t="s">
        <v>492</v>
      </c>
      <c r="M11" s="17" t="s">
        <v>127</v>
      </c>
      <c r="N11" s="42" t="s">
        <v>80</v>
      </c>
    </row>
    <row r="12" spans="1:14" s="18" customFormat="1" ht="40" customHeight="1">
      <c r="A12" s="44" t="s">
        <v>134</v>
      </c>
      <c r="B12" s="15" t="s">
        <v>66</v>
      </c>
      <c r="C12" s="42" t="s">
        <v>41</v>
      </c>
      <c r="D12" s="42" t="s">
        <v>41</v>
      </c>
      <c r="E12" s="42" t="s">
        <v>41</v>
      </c>
      <c r="F12" s="40" t="s">
        <v>152</v>
      </c>
      <c r="G12" s="48" t="s">
        <v>461</v>
      </c>
      <c r="H12" s="15" t="s">
        <v>77</v>
      </c>
      <c r="I12" s="16" t="s">
        <v>82</v>
      </c>
      <c r="J12" s="40" t="s">
        <v>487</v>
      </c>
      <c r="K12" s="17" t="s">
        <v>70</v>
      </c>
      <c r="L12" s="48" t="s">
        <v>493</v>
      </c>
      <c r="M12" s="17" t="s">
        <v>70</v>
      </c>
      <c r="N12" s="42" t="s">
        <v>80</v>
      </c>
    </row>
    <row r="13" spans="1:14" s="18" customFormat="1" ht="40" customHeight="1">
      <c r="A13" s="44" t="s">
        <v>135</v>
      </c>
      <c r="B13" s="15" t="s">
        <v>66</v>
      </c>
      <c r="C13" s="42" t="s">
        <v>41</v>
      </c>
      <c r="D13" s="42" t="s">
        <v>41</v>
      </c>
      <c r="E13" s="42" t="s">
        <v>41</v>
      </c>
      <c r="F13" s="40" t="s">
        <v>152</v>
      </c>
      <c r="G13" s="48" t="s">
        <v>462</v>
      </c>
      <c r="H13" s="15" t="s">
        <v>77</v>
      </c>
      <c r="I13" s="16" t="s">
        <v>82</v>
      </c>
      <c r="J13" s="40" t="s">
        <v>488</v>
      </c>
      <c r="K13" s="17" t="s">
        <v>70</v>
      </c>
      <c r="L13" s="48" t="s">
        <v>494</v>
      </c>
      <c r="M13" s="17" t="s">
        <v>70</v>
      </c>
      <c r="N13" s="42" t="s">
        <v>80</v>
      </c>
    </row>
    <row r="14" spans="1:14" s="18" customFormat="1" ht="40" customHeight="1">
      <c r="A14" s="65" t="s">
        <v>153</v>
      </c>
      <c r="B14" s="15" t="s">
        <v>66</v>
      </c>
      <c r="C14" s="42" t="s">
        <v>41</v>
      </c>
      <c r="D14" s="42" t="s">
        <v>41</v>
      </c>
      <c r="E14" s="42" t="s">
        <v>41</v>
      </c>
      <c r="F14" s="40" t="s">
        <v>73</v>
      </c>
      <c r="G14" s="48" t="s">
        <v>463</v>
      </c>
      <c r="H14" s="15" t="s">
        <v>78</v>
      </c>
      <c r="I14" s="16" t="s">
        <v>82</v>
      </c>
      <c r="J14" s="40" t="s">
        <v>499</v>
      </c>
      <c r="K14" s="17" t="s">
        <v>127</v>
      </c>
      <c r="L14" s="48" t="s">
        <v>500</v>
      </c>
      <c r="M14" s="17" t="s">
        <v>127</v>
      </c>
      <c r="N14" s="42" t="s">
        <v>137</v>
      </c>
    </row>
    <row r="15" spans="1:14" s="18" customFormat="1" ht="40" customHeight="1">
      <c r="A15" s="65" t="s">
        <v>153</v>
      </c>
      <c r="B15" s="15" t="s">
        <v>66</v>
      </c>
      <c r="C15" s="42" t="s">
        <v>41</v>
      </c>
      <c r="D15" s="42" t="s">
        <v>41</v>
      </c>
      <c r="E15" s="42" t="s">
        <v>41</v>
      </c>
      <c r="F15" s="40" t="s">
        <v>74</v>
      </c>
      <c r="G15" s="48" t="s">
        <v>464</v>
      </c>
      <c r="H15" s="15" t="s">
        <v>79</v>
      </c>
      <c r="I15" s="16" t="s">
        <v>82</v>
      </c>
      <c r="J15" s="40" t="s">
        <v>497</v>
      </c>
      <c r="K15" s="17" t="s">
        <v>127</v>
      </c>
      <c r="L15" s="48" t="s">
        <v>501</v>
      </c>
      <c r="M15" s="17" t="s">
        <v>127</v>
      </c>
      <c r="N15" s="42" t="s">
        <v>137</v>
      </c>
    </row>
    <row r="16" spans="1:14" s="18" customFormat="1" ht="40" customHeight="1">
      <c r="A16" s="65" t="s">
        <v>153</v>
      </c>
      <c r="B16" s="15" t="s">
        <v>66</v>
      </c>
      <c r="C16" s="42" t="s">
        <v>41</v>
      </c>
      <c r="D16" s="42" t="s">
        <v>41</v>
      </c>
      <c r="E16" s="42" t="s">
        <v>41</v>
      </c>
      <c r="F16" s="40" t="s">
        <v>75</v>
      </c>
      <c r="G16" s="48" t="s">
        <v>465</v>
      </c>
      <c r="H16" s="16" t="s">
        <v>77</v>
      </c>
      <c r="I16" s="16" t="s">
        <v>82</v>
      </c>
      <c r="J16" s="40" t="s">
        <v>498</v>
      </c>
      <c r="K16" s="17" t="s">
        <v>70</v>
      </c>
      <c r="L16" s="48" t="s">
        <v>502</v>
      </c>
      <c r="M16" s="17" t="s">
        <v>70</v>
      </c>
      <c r="N16" s="42" t="s">
        <v>137</v>
      </c>
    </row>
    <row r="17" spans="1:15" s="18" customFormat="1" ht="40" customHeight="1">
      <c r="A17" s="65" t="s">
        <v>153</v>
      </c>
      <c r="B17" s="15" t="s">
        <v>66</v>
      </c>
      <c r="C17" s="42" t="s">
        <v>41</v>
      </c>
      <c r="D17" s="42" t="s">
        <v>41</v>
      </c>
      <c r="E17" s="42" t="s">
        <v>41</v>
      </c>
      <c r="F17" s="40" t="s">
        <v>155</v>
      </c>
      <c r="G17" s="48" t="s">
        <v>496</v>
      </c>
      <c r="H17" s="16" t="s">
        <v>157</v>
      </c>
      <c r="I17" s="16" t="s">
        <v>82</v>
      </c>
      <c r="J17" s="114" t="s">
        <v>495</v>
      </c>
      <c r="K17" s="17" t="s">
        <v>156</v>
      </c>
      <c r="L17" s="48" t="s">
        <v>297</v>
      </c>
      <c r="M17" s="17" t="s">
        <v>70</v>
      </c>
      <c r="N17" s="42" t="s">
        <v>137</v>
      </c>
    </row>
    <row r="18" spans="1:15" ht="14" customHeight="1"/>
    <row r="19" spans="1:15" ht="42" customHeight="1">
      <c r="A19" s="112" t="s">
        <v>454</v>
      </c>
      <c r="F19" s="112" t="s">
        <v>455</v>
      </c>
      <c r="N19" s="14"/>
      <c r="O19" s="14"/>
    </row>
    <row r="20" spans="1:15" ht="23" customHeight="1">
      <c r="A20" s="45" t="s">
        <v>68</v>
      </c>
      <c r="B20" s="66" t="s">
        <v>288</v>
      </c>
      <c r="C20" s="66" t="s">
        <v>289</v>
      </c>
      <c r="D20" s="66" t="s">
        <v>290</v>
      </c>
      <c r="E20" s="14"/>
      <c r="F20" s="45" t="s">
        <v>68</v>
      </c>
      <c r="G20" s="66" t="s">
        <v>288</v>
      </c>
      <c r="H20" s="66" t="s">
        <v>289</v>
      </c>
      <c r="I20" s="66" t="s">
        <v>290</v>
      </c>
      <c r="J20" s="66" t="s">
        <v>154</v>
      </c>
    </row>
    <row r="21" spans="1:15" ht="23" customHeight="1">
      <c r="A21" s="46" t="s">
        <v>241</v>
      </c>
      <c r="B21" s="47">
        <v>10.17</v>
      </c>
      <c r="C21" s="47">
        <v>4.55</v>
      </c>
      <c r="D21" s="47">
        <v>0.9</v>
      </c>
      <c r="E21" s="14"/>
      <c r="F21" s="46" t="s">
        <v>205</v>
      </c>
      <c r="G21" s="47">
        <v>8.6999999999999993</v>
      </c>
      <c r="H21" s="47">
        <v>8.85</v>
      </c>
      <c r="I21" s="47">
        <v>0.8</v>
      </c>
      <c r="J21" s="47" t="s">
        <v>496</v>
      </c>
    </row>
    <row r="22" spans="1:15" ht="23" customHeight="1">
      <c r="A22" s="46" t="s">
        <v>242</v>
      </c>
      <c r="B22" s="47">
        <v>5.69</v>
      </c>
      <c r="C22" s="47">
        <v>5.8</v>
      </c>
      <c r="D22" s="47">
        <v>0.9</v>
      </c>
      <c r="E22" s="14"/>
      <c r="F22" s="46" t="s">
        <v>206</v>
      </c>
      <c r="G22" s="47">
        <v>9</v>
      </c>
      <c r="H22" s="47">
        <v>20.28</v>
      </c>
      <c r="I22" s="47">
        <v>0.8</v>
      </c>
      <c r="J22" s="47" t="s">
        <v>496</v>
      </c>
    </row>
    <row r="23" spans="1:15" ht="23" customHeight="1">
      <c r="A23" s="46" t="s">
        <v>243</v>
      </c>
      <c r="B23" s="47">
        <v>5.96</v>
      </c>
      <c r="C23" s="47">
        <v>4.55</v>
      </c>
      <c r="D23" s="47">
        <v>0.9</v>
      </c>
      <c r="E23" s="14"/>
      <c r="F23" s="46" t="s">
        <v>207</v>
      </c>
      <c r="G23" s="47">
        <v>6.86</v>
      </c>
      <c r="H23" s="47">
        <v>8.85</v>
      </c>
      <c r="I23" s="47">
        <v>0.8</v>
      </c>
      <c r="J23" s="47" t="s">
        <v>496</v>
      </c>
    </row>
    <row r="24" spans="1:15" ht="23" customHeight="1">
      <c r="A24" s="46" t="s">
        <v>244</v>
      </c>
      <c r="B24" s="47">
        <v>12.38</v>
      </c>
      <c r="C24" s="47">
        <v>4.55</v>
      </c>
      <c r="D24" s="47">
        <v>0.9</v>
      </c>
      <c r="E24" s="14"/>
      <c r="F24" s="46" t="s">
        <v>208</v>
      </c>
      <c r="G24" s="47">
        <v>4.0599999999999996</v>
      </c>
      <c r="H24" s="47">
        <v>8.85</v>
      </c>
      <c r="I24" s="47">
        <v>0.8</v>
      </c>
      <c r="J24" s="47" t="s">
        <v>496</v>
      </c>
    </row>
    <row r="25" spans="1:15" ht="23" customHeight="1">
      <c r="A25" s="46" t="s">
        <v>245</v>
      </c>
      <c r="B25" s="47">
        <v>5.18</v>
      </c>
      <c r="C25" s="47">
        <v>5.8</v>
      </c>
      <c r="D25" s="47">
        <v>0.9</v>
      </c>
      <c r="E25" s="14"/>
      <c r="F25" s="46" t="s">
        <v>209</v>
      </c>
      <c r="G25" s="47">
        <v>5.46</v>
      </c>
      <c r="H25" s="47">
        <v>8.85</v>
      </c>
      <c r="I25" s="47">
        <v>0.8</v>
      </c>
      <c r="J25" s="47" t="s">
        <v>496</v>
      </c>
    </row>
    <row r="26" spans="1:15" ht="23" customHeight="1">
      <c r="A26" s="46" t="s">
        <v>246</v>
      </c>
      <c r="B26" s="47">
        <v>4.7</v>
      </c>
      <c r="C26" s="47">
        <v>5.8</v>
      </c>
      <c r="D26" s="47">
        <v>0.9</v>
      </c>
      <c r="E26" s="14"/>
      <c r="F26" s="46" t="s">
        <v>250</v>
      </c>
      <c r="G26" s="47">
        <v>15.58</v>
      </c>
      <c r="H26" s="47">
        <v>5.8</v>
      </c>
      <c r="I26" s="47">
        <v>0.7</v>
      </c>
      <c r="J26" s="47" t="s">
        <v>496</v>
      </c>
    </row>
    <row r="27" spans="1:15" ht="23" customHeight="1">
      <c r="A27" s="46" t="s">
        <v>247</v>
      </c>
      <c r="B27" s="47">
        <v>11.2</v>
      </c>
      <c r="C27" s="47">
        <v>5.8</v>
      </c>
      <c r="D27" s="47">
        <v>0.9</v>
      </c>
      <c r="E27" s="14"/>
      <c r="F27" s="46" t="s">
        <v>251</v>
      </c>
      <c r="G27" s="47">
        <v>20.79</v>
      </c>
      <c r="H27" s="47">
        <v>5.8</v>
      </c>
      <c r="I27" s="47">
        <v>0.7</v>
      </c>
      <c r="J27" s="47" t="s">
        <v>496</v>
      </c>
    </row>
    <row r="28" spans="1:15" ht="23" customHeight="1">
      <c r="A28" s="46" t="s">
        <v>248</v>
      </c>
      <c r="B28" s="47">
        <v>12.56</v>
      </c>
      <c r="C28" s="47">
        <v>4.55</v>
      </c>
      <c r="D28" s="47">
        <v>0.9</v>
      </c>
      <c r="E28" s="14"/>
      <c r="F28" s="46" t="s">
        <v>210</v>
      </c>
      <c r="G28" s="47">
        <v>12</v>
      </c>
      <c r="H28" s="47">
        <v>11</v>
      </c>
      <c r="I28" s="47">
        <v>0.8</v>
      </c>
      <c r="J28" s="47" t="s">
        <v>496</v>
      </c>
    </row>
    <row r="29" spans="1:15" ht="23" customHeight="1">
      <c r="A29" s="46" t="s">
        <v>249</v>
      </c>
      <c r="B29" s="47">
        <v>11.41</v>
      </c>
      <c r="C29" s="47">
        <v>4.55</v>
      </c>
      <c r="D29" s="47">
        <v>0.9</v>
      </c>
      <c r="E29" s="14"/>
      <c r="F29" s="46" t="s">
        <v>211</v>
      </c>
      <c r="G29" s="47">
        <v>3.5</v>
      </c>
      <c r="H29" s="47">
        <v>12.85</v>
      </c>
      <c r="I29" s="47">
        <v>1.1000000000000001</v>
      </c>
      <c r="J29" s="47" t="s">
        <v>496</v>
      </c>
    </row>
    <row r="30" spans="1:15" ht="23" customHeight="1">
      <c r="A30" s="46" t="s">
        <v>215</v>
      </c>
      <c r="B30" s="47">
        <v>12</v>
      </c>
      <c r="C30" s="47">
        <v>10.050000000000001</v>
      </c>
      <c r="D30" s="47">
        <v>0.7</v>
      </c>
      <c r="E30" s="14"/>
      <c r="F30" s="46" t="s">
        <v>212</v>
      </c>
      <c r="G30" s="47">
        <v>9.35</v>
      </c>
      <c r="H30" s="47">
        <v>5.5</v>
      </c>
      <c r="I30" s="47">
        <v>1.1000000000000001</v>
      </c>
      <c r="J30" s="47" t="s">
        <v>496</v>
      </c>
    </row>
    <row r="31" spans="1:15" ht="23" customHeight="1">
      <c r="A31" s="46" t="s">
        <v>216</v>
      </c>
      <c r="B31" s="47">
        <v>8</v>
      </c>
      <c r="C31" s="47">
        <v>10</v>
      </c>
      <c r="D31" s="47">
        <v>0.8</v>
      </c>
      <c r="E31" s="14"/>
      <c r="F31" s="46" t="s">
        <v>354</v>
      </c>
      <c r="G31" s="47">
        <v>9</v>
      </c>
      <c r="H31" s="47">
        <v>10.15</v>
      </c>
      <c r="I31" s="47">
        <v>0.8</v>
      </c>
      <c r="J31" s="47" t="s">
        <v>496</v>
      </c>
    </row>
    <row r="32" spans="1:15" ht="23" customHeight="1">
      <c r="A32" s="46" t="s">
        <v>252</v>
      </c>
      <c r="B32" s="47">
        <v>9.15</v>
      </c>
      <c r="C32" s="47">
        <v>6.2</v>
      </c>
      <c r="D32" s="47">
        <v>1.1499999999999999</v>
      </c>
      <c r="E32" s="14"/>
      <c r="F32" s="46" t="s">
        <v>355</v>
      </c>
      <c r="G32" s="47">
        <v>9</v>
      </c>
      <c r="H32" s="47">
        <v>18.28</v>
      </c>
      <c r="I32" s="47">
        <v>0.8</v>
      </c>
      <c r="J32" s="47" t="s">
        <v>496</v>
      </c>
    </row>
    <row r="33" spans="1:10" ht="23" customHeight="1">
      <c r="A33" s="46" t="s">
        <v>253</v>
      </c>
      <c r="B33" s="47">
        <v>5.69</v>
      </c>
      <c r="C33" s="47">
        <v>6.2</v>
      </c>
      <c r="D33" s="47">
        <v>1.1499999999999999</v>
      </c>
      <c r="E33" s="14"/>
      <c r="F33" s="46" t="s">
        <v>213</v>
      </c>
      <c r="G33" s="47">
        <v>3.5</v>
      </c>
      <c r="H33" s="47">
        <v>12.85</v>
      </c>
      <c r="I33" s="47">
        <v>0.8</v>
      </c>
      <c r="J33" s="47" t="s">
        <v>496</v>
      </c>
    </row>
    <row r="34" spans="1:10" ht="23" customHeight="1">
      <c r="A34" s="46" t="s">
        <v>254</v>
      </c>
      <c r="B34" s="47">
        <v>5.95</v>
      </c>
      <c r="C34" s="47">
        <v>6.2</v>
      </c>
      <c r="D34" s="47">
        <v>1.1499999999999999</v>
      </c>
      <c r="E34" s="14"/>
      <c r="F34" s="46" t="s">
        <v>214</v>
      </c>
      <c r="G34" s="47">
        <v>9.35</v>
      </c>
      <c r="H34" s="47">
        <v>5.5</v>
      </c>
      <c r="I34" s="47">
        <v>0.8</v>
      </c>
      <c r="J34" s="47" t="s">
        <v>496</v>
      </c>
    </row>
    <row r="35" spans="1:10" ht="23" customHeight="1">
      <c r="A35" s="46" t="s">
        <v>255</v>
      </c>
      <c r="B35" s="47">
        <v>12.38</v>
      </c>
      <c r="C35" s="47">
        <v>6.2</v>
      </c>
      <c r="D35" s="47">
        <v>1.1499999999999999</v>
      </c>
      <c r="E35" s="14"/>
      <c r="F35" s="13"/>
      <c r="G35" s="13"/>
      <c r="H35" s="13"/>
    </row>
    <row r="36" spans="1:10" ht="23" customHeight="1">
      <c r="A36" s="46" t="s">
        <v>256</v>
      </c>
      <c r="B36" s="47">
        <v>5.18</v>
      </c>
      <c r="C36" s="47">
        <v>6.2</v>
      </c>
      <c r="D36" s="47">
        <v>1.1499999999999999</v>
      </c>
      <c r="E36" s="14"/>
      <c r="F36" s="76"/>
      <c r="G36" s="76"/>
      <c r="H36" s="76"/>
    </row>
    <row r="37" spans="1:10" ht="23" customHeight="1">
      <c r="A37" s="46" t="s">
        <v>257</v>
      </c>
      <c r="B37" s="47">
        <v>4.7</v>
      </c>
      <c r="C37" s="47">
        <v>6.2</v>
      </c>
      <c r="D37" s="47">
        <v>1.1499999999999999</v>
      </c>
      <c r="E37" s="14"/>
      <c r="F37" s="76"/>
      <c r="G37" s="76"/>
      <c r="H37" s="76"/>
    </row>
    <row r="38" spans="1:10" ht="23" customHeight="1">
      <c r="A38" s="46" t="s">
        <v>258</v>
      </c>
      <c r="B38" s="47">
        <v>11.2</v>
      </c>
      <c r="C38" s="47">
        <v>6.2</v>
      </c>
      <c r="D38" s="47">
        <v>1.1499999999999999</v>
      </c>
      <c r="E38" s="14"/>
      <c r="F38" s="76"/>
      <c r="G38" s="76"/>
      <c r="H38" s="76"/>
    </row>
    <row r="39" spans="1:10" ht="23" customHeight="1">
      <c r="A39" s="46" t="s">
        <v>259</v>
      </c>
      <c r="B39" s="47">
        <v>12.56</v>
      </c>
      <c r="C39" s="47">
        <v>6.2</v>
      </c>
      <c r="D39" s="47">
        <v>1.1499999999999999</v>
      </c>
      <c r="E39" s="14"/>
      <c r="F39" s="76"/>
      <c r="G39" s="76"/>
      <c r="H39" s="76"/>
    </row>
    <row r="40" spans="1:10" ht="23" customHeight="1">
      <c r="A40" s="46" t="s">
        <v>260</v>
      </c>
      <c r="B40" s="47">
        <v>11.41</v>
      </c>
      <c r="C40" s="47">
        <v>3.67</v>
      </c>
      <c r="D40" s="47">
        <v>1.1499999999999999</v>
      </c>
      <c r="E40" s="14"/>
      <c r="F40" s="76"/>
      <c r="G40" s="76"/>
      <c r="H40" s="76"/>
    </row>
    <row r="41" spans="1:10" ht="23" customHeight="1">
      <c r="A41" s="46" t="s">
        <v>261</v>
      </c>
      <c r="B41" s="47">
        <v>11.85</v>
      </c>
      <c r="C41" s="47">
        <v>3.8</v>
      </c>
      <c r="D41" s="47">
        <v>0.8</v>
      </c>
      <c r="E41" s="14"/>
      <c r="F41" s="76"/>
      <c r="G41" s="76"/>
      <c r="H41" s="76"/>
    </row>
    <row r="42" spans="1:10" ht="23" customHeight="1">
      <c r="A42" s="46" t="s">
        <v>217</v>
      </c>
      <c r="B42" s="47">
        <v>7</v>
      </c>
      <c r="C42" s="47">
        <v>4</v>
      </c>
      <c r="D42" s="47">
        <v>0.8</v>
      </c>
      <c r="E42" s="14"/>
      <c r="F42" s="76"/>
      <c r="G42" s="76"/>
      <c r="H42" s="76"/>
    </row>
    <row r="43" spans="1:10" ht="23" customHeight="1">
      <c r="A43" s="46" t="s">
        <v>218</v>
      </c>
      <c r="B43" s="47">
        <v>8.6999999999999993</v>
      </c>
      <c r="C43" s="47">
        <v>3.5</v>
      </c>
      <c r="D43" s="47">
        <v>0.8</v>
      </c>
      <c r="E43" s="14"/>
      <c r="F43" s="76"/>
      <c r="G43" s="76"/>
      <c r="H43" s="76"/>
    </row>
    <row r="44" spans="1:10" ht="23" customHeight="1">
      <c r="A44" s="46" t="s">
        <v>219</v>
      </c>
      <c r="B44" s="47">
        <v>6.86</v>
      </c>
      <c r="C44" s="47">
        <v>3.5</v>
      </c>
      <c r="D44" s="47">
        <v>0.8</v>
      </c>
      <c r="E44" s="14"/>
      <c r="F44" s="76"/>
      <c r="G44" s="76"/>
      <c r="H44" s="76"/>
    </row>
    <row r="45" spans="1:10" ht="23" customHeight="1">
      <c r="A45" s="46" t="s">
        <v>220</v>
      </c>
      <c r="B45" s="47">
        <v>4.0599999999999996</v>
      </c>
      <c r="C45" s="47">
        <v>3.5</v>
      </c>
      <c r="D45" s="47">
        <v>0.8</v>
      </c>
      <c r="E45" s="14"/>
      <c r="F45" s="76"/>
      <c r="G45" s="76"/>
      <c r="H45" s="76"/>
    </row>
    <row r="46" spans="1:10" ht="23" customHeight="1">
      <c r="A46" s="46" t="s">
        <v>221</v>
      </c>
      <c r="B46" s="47">
        <v>2.2999999999999998</v>
      </c>
      <c r="C46" s="47">
        <v>3.5</v>
      </c>
      <c r="D46" s="47">
        <v>0.8</v>
      </c>
      <c r="E46" s="14"/>
      <c r="F46" s="76"/>
      <c r="G46" s="76"/>
      <c r="H46" s="76"/>
    </row>
    <row r="47" spans="1:10" ht="23" customHeight="1">
      <c r="A47" s="46" t="s">
        <v>222</v>
      </c>
      <c r="B47" s="47">
        <v>5.46</v>
      </c>
      <c r="C47" s="47">
        <v>3.5</v>
      </c>
      <c r="D47" s="47">
        <v>0.8</v>
      </c>
      <c r="E47" s="14"/>
      <c r="F47" s="76"/>
      <c r="G47" s="76"/>
      <c r="H47" s="76"/>
    </row>
    <row r="48" spans="1:10" ht="23" customHeight="1">
      <c r="A48" s="46" t="s">
        <v>223</v>
      </c>
      <c r="B48" s="47">
        <v>8</v>
      </c>
      <c r="C48" s="47">
        <v>5.8</v>
      </c>
      <c r="D48" s="47">
        <v>0.8</v>
      </c>
      <c r="E48" s="14"/>
      <c r="F48" s="76"/>
      <c r="G48" s="76"/>
      <c r="H48" s="76"/>
    </row>
    <row r="49" spans="1:11" ht="23" customHeight="1">
      <c r="A49" s="46" t="s">
        <v>224</v>
      </c>
      <c r="B49" s="47">
        <v>4.5</v>
      </c>
      <c r="C49" s="47">
        <v>5.8</v>
      </c>
      <c r="D49" s="47">
        <v>0.8</v>
      </c>
      <c r="E49" s="14"/>
      <c r="F49" s="76"/>
      <c r="G49" s="76"/>
      <c r="H49" s="76"/>
    </row>
    <row r="50" spans="1:11" ht="23" customHeight="1">
      <c r="A50" s="46" t="s">
        <v>225</v>
      </c>
      <c r="B50" s="47">
        <v>7</v>
      </c>
      <c r="C50" s="47">
        <v>5.8</v>
      </c>
      <c r="D50" s="47">
        <v>0.8</v>
      </c>
      <c r="E50" s="14"/>
      <c r="F50" s="76"/>
      <c r="G50" s="76"/>
      <c r="H50" s="76"/>
    </row>
    <row r="51" spans="1:11" ht="23" customHeight="1">
      <c r="A51" s="46" t="s">
        <v>226</v>
      </c>
      <c r="B51" s="47">
        <v>2.8</v>
      </c>
      <c r="C51" s="47">
        <v>5.8</v>
      </c>
      <c r="D51" s="47">
        <v>0.8</v>
      </c>
      <c r="E51" s="14"/>
      <c r="F51" s="76"/>
      <c r="G51" s="76"/>
      <c r="H51" s="76"/>
    </row>
    <row r="52" spans="1:11" ht="23" customHeight="1">
      <c r="A52" s="46" t="s">
        <v>227</v>
      </c>
      <c r="B52" s="47">
        <v>10.5</v>
      </c>
      <c r="C52" s="47">
        <v>5.8</v>
      </c>
      <c r="D52" s="47">
        <v>0.8</v>
      </c>
      <c r="E52" s="14"/>
      <c r="I52" s="76"/>
      <c r="J52" s="76"/>
    </row>
    <row r="53" spans="1:11" ht="23" customHeight="1">
      <c r="A53" s="46" t="s">
        <v>228</v>
      </c>
      <c r="B53" s="47">
        <v>11</v>
      </c>
      <c r="C53" s="47">
        <v>5.8</v>
      </c>
      <c r="D53" s="47">
        <v>0.8</v>
      </c>
      <c r="E53" s="14"/>
      <c r="I53" s="76"/>
      <c r="J53" s="76"/>
    </row>
    <row r="54" spans="1:11" ht="23" customHeight="1">
      <c r="A54" s="46" t="s">
        <v>229</v>
      </c>
      <c r="B54" s="47">
        <v>3.5</v>
      </c>
      <c r="C54" s="47">
        <v>3.5</v>
      </c>
      <c r="D54" s="47">
        <v>0.8</v>
      </c>
      <c r="E54" s="14"/>
      <c r="I54" s="76"/>
      <c r="J54" s="76"/>
    </row>
    <row r="55" spans="1:11" ht="22" customHeight="1">
      <c r="I55" s="76"/>
      <c r="J55" s="76"/>
      <c r="K55" s="76"/>
    </row>
    <row r="56" spans="1:11" ht="22" customHeight="1">
      <c r="I56" s="76"/>
      <c r="J56" s="76"/>
      <c r="K56" s="76"/>
    </row>
    <row r="57" spans="1:11" ht="22" customHeight="1">
      <c r="I57" s="76"/>
      <c r="J57" s="76"/>
      <c r="K57" s="76"/>
    </row>
    <row r="58" spans="1:11" ht="22" customHeight="1">
      <c r="I58" s="76"/>
      <c r="J58" s="76"/>
      <c r="K58" s="76"/>
    </row>
    <row r="59" spans="1:11" ht="22" customHeight="1">
      <c r="I59" s="76"/>
      <c r="J59" s="76"/>
      <c r="K59" s="76"/>
    </row>
    <row r="60" spans="1:11" ht="22" customHeight="1">
      <c r="I60" s="76"/>
      <c r="J60" s="76"/>
      <c r="K60" s="76"/>
    </row>
    <row r="61" spans="1:11" ht="22" customHeight="1">
      <c r="I61" s="76"/>
      <c r="J61" s="76"/>
      <c r="K61" s="76"/>
    </row>
    <row r="62" spans="1:11" ht="22" customHeight="1">
      <c r="I62" s="76"/>
      <c r="J62" s="76"/>
      <c r="K62" s="76"/>
    </row>
    <row r="63" spans="1:11" ht="22" customHeight="1">
      <c r="I63" s="76"/>
      <c r="J63" s="76"/>
      <c r="K63" s="76"/>
    </row>
    <row r="64" spans="1:11" ht="22" customHeight="1">
      <c r="I64" s="76"/>
      <c r="J64" s="76"/>
      <c r="K64" s="76"/>
    </row>
    <row r="65" spans="9:11" ht="22" customHeight="1">
      <c r="I65" s="76"/>
      <c r="J65" s="76"/>
      <c r="K65" s="76"/>
    </row>
    <row r="66" spans="9:11" ht="22" customHeight="1">
      <c r="I66" s="76"/>
      <c r="J66" s="76"/>
      <c r="K66" s="76"/>
    </row>
    <row r="67" spans="9:11" ht="22" customHeight="1">
      <c r="I67" s="76"/>
      <c r="J67" s="76"/>
      <c r="K67" s="76"/>
    </row>
    <row r="68" spans="9:11" ht="22" customHeight="1">
      <c r="I68" s="76"/>
      <c r="J68" s="76"/>
      <c r="K68" s="76"/>
    </row>
    <row r="69" spans="9:11" ht="22" customHeight="1">
      <c r="I69" s="76"/>
      <c r="J69" s="76"/>
      <c r="K69" s="76"/>
    </row>
    <row r="70" spans="9:11" ht="22" customHeight="1">
      <c r="I70" s="76"/>
      <c r="J70" s="76"/>
      <c r="K70" s="76"/>
    </row>
    <row r="71" spans="9:11" ht="22" customHeight="1">
      <c r="I71" s="76"/>
      <c r="J71" s="76"/>
      <c r="K71" s="76"/>
    </row>
    <row r="72" spans="9:11" ht="22" customHeight="1">
      <c r="I72" s="76"/>
      <c r="J72" s="76"/>
      <c r="K72" s="76"/>
    </row>
    <row r="73" spans="9:11" ht="22" customHeight="1">
      <c r="K73" s="76"/>
    </row>
    <row r="74" spans="9:11" ht="22" customHeight="1">
      <c r="K74" s="76"/>
    </row>
    <row r="75" spans="9:11" ht="22" customHeight="1">
      <c r="K75" s="76"/>
    </row>
  </sheetData>
  <sheetProtection formatColumns="0" sort="0" autoFilter="0" pivotTables="0"/>
  <dataConsolidate/>
  <mergeCells count="7">
    <mergeCell ref="J4:N4"/>
    <mergeCell ref="A6:A7"/>
    <mergeCell ref="B6:B7"/>
    <mergeCell ref="C6:E6"/>
    <mergeCell ref="F6:I6"/>
    <mergeCell ref="J6:K6"/>
    <mergeCell ref="L6:N6"/>
  </mergeCells>
  <phoneticPr fontId="14" type="noConversion"/>
  <dataValidations count="2">
    <dataValidation type="list" allowBlank="1" showInputMessage="1" showErrorMessage="1" sqref="I8:I17" xr:uid="{E4336F45-8929-094F-AB21-4EBC7E3BE74E}">
      <formula1>"Critical to ID feature, Critical to FATP, Critical to HSG assembly, NUD (new/unique/difficult), Not CTQ"</formula1>
    </dataValidation>
    <dataValidation type="list" allowBlank="1" showInputMessage="1" showErrorMessage="1" sqref="B8:B17" xr:uid="{0AAB6A0C-6392-F642-A89A-4B3D4D511E86}">
      <formula1>"Dim, Cos, Function, ORT"</formula1>
    </dataValidation>
  </dataValidations>
  <pageMargins left="0" right="0" top="0" bottom="0" header="0" footer="0"/>
  <pageSetup scale="5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1D383-0590-2444-9FF0-76202D3AC1A1}">
  <dimension ref="A1:N28"/>
  <sheetViews>
    <sheetView showGridLines="0" showRuler="0" zoomScale="82" zoomScaleNormal="63" zoomScaleSheetLayoutView="55" workbookViewId="0">
      <pane ySplit="7" topLeftCell="A8" activePane="bottomLeft" state="frozen"/>
      <selection activeCell="B13" sqref="B13:B17"/>
      <selection pane="bottomLeft" activeCell="B30" sqref="B30"/>
    </sheetView>
  </sheetViews>
  <sheetFormatPr baseColWidth="10" defaultColWidth="8.83203125" defaultRowHeight="22" customHeight="1" outlineLevelCol="1"/>
  <cols>
    <col min="1" max="2" width="25.83203125" style="13" customWidth="1"/>
    <col min="3" max="5" width="17" style="13" customWidth="1" outlineLevel="1"/>
    <col min="6" max="6" width="16.1640625" style="14" customWidth="1"/>
    <col min="7" max="8" width="22.83203125" style="14" customWidth="1"/>
    <col min="9" max="14" width="22.83203125" style="13" customWidth="1"/>
    <col min="15" max="16384" width="8.83203125" style="13"/>
  </cols>
  <sheetData>
    <row r="1" spans="1:14" s="20" customFormat="1" ht="24" customHeight="1">
      <c r="A1" s="11" t="s">
        <v>6</v>
      </c>
      <c r="B1" s="11" t="s">
        <v>8</v>
      </c>
      <c r="F1" s="7"/>
      <c r="G1" s="7"/>
      <c r="H1" s="7"/>
      <c r="I1" s="7"/>
      <c r="J1" s="7"/>
      <c r="K1" s="7"/>
      <c r="L1" s="7"/>
    </row>
    <row r="2" spans="1:14" s="20" customFormat="1" ht="24" customHeight="1">
      <c r="A2" s="21" t="str">
        <f>IF(Revision!A4="","",Revision!A4)</f>
        <v>R240</v>
      </c>
      <c r="B2" s="21" t="str">
        <f>IF(Revision!B4="","",Revision!B4)</f>
        <v>DVT</v>
      </c>
      <c r="F2" s="7"/>
      <c r="G2" s="7"/>
      <c r="H2" s="7"/>
      <c r="I2" s="7"/>
      <c r="J2" s="7"/>
      <c r="K2" s="7"/>
      <c r="L2" s="7"/>
    </row>
    <row r="3" spans="1:14" s="20" customFormat="1" ht="24" customHeight="1">
      <c r="A3" s="11" t="s">
        <v>18</v>
      </c>
      <c r="B3" s="11" t="s">
        <v>0</v>
      </c>
      <c r="F3" s="7"/>
      <c r="G3" s="7"/>
      <c r="H3" s="7"/>
      <c r="I3" s="7"/>
      <c r="J3" s="7"/>
      <c r="K3" s="7"/>
      <c r="L3" s="7"/>
    </row>
    <row r="4" spans="1:14" s="20" customFormat="1" ht="24" customHeight="1">
      <c r="A4" s="43" t="str">
        <f>Revision!A8</f>
        <v>099-53721-08</v>
      </c>
      <c r="B4" s="21" t="str">
        <f>Revision!B8</f>
        <v>Surface Treatment</v>
      </c>
      <c r="F4" s="7"/>
      <c r="G4" s="7"/>
      <c r="H4" s="7"/>
      <c r="I4" s="7"/>
      <c r="J4" s="129"/>
      <c r="K4" s="129"/>
      <c r="L4" s="129"/>
      <c r="M4" s="129"/>
      <c r="N4" s="129"/>
    </row>
    <row r="5" spans="1:14" s="20" customFormat="1" ht="7" customHeight="1">
      <c r="F5" s="22"/>
      <c r="G5" s="22"/>
      <c r="H5" s="22"/>
    </row>
    <row r="6" spans="1:14" s="23" customFormat="1" ht="37" customHeight="1">
      <c r="A6" s="123" t="s">
        <v>24</v>
      </c>
      <c r="B6" s="130" t="s">
        <v>48</v>
      </c>
      <c r="C6" s="132" t="s">
        <v>26</v>
      </c>
      <c r="D6" s="132"/>
      <c r="E6" s="132"/>
      <c r="F6" s="133" t="s">
        <v>49</v>
      </c>
      <c r="G6" s="134"/>
      <c r="H6" s="134"/>
      <c r="I6" s="135"/>
      <c r="J6" s="136" t="s">
        <v>50</v>
      </c>
      <c r="K6" s="137"/>
      <c r="L6" s="138" t="s">
        <v>51</v>
      </c>
      <c r="M6" s="138"/>
      <c r="N6" s="137"/>
    </row>
    <row r="7" spans="1:14" s="23" customFormat="1" ht="22" customHeight="1">
      <c r="A7" s="123"/>
      <c r="B7" s="131"/>
      <c r="C7" s="26" t="s">
        <v>12</v>
      </c>
      <c r="D7" s="26" t="s">
        <v>13</v>
      </c>
      <c r="E7" s="26" t="s">
        <v>11</v>
      </c>
      <c r="F7" s="10" t="s">
        <v>14</v>
      </c>
      <c r="G7" s="10" t="s">
        <v>11</v>
      </c>
      <c r="H7" s="10" t="s">
        <v>0</v>
      </c>
      <c r="I7" s="10" t="s">
        <v>10</v>
      </c>
      <c r="J7" s="27" t="s">
        <v>42</v>
      </c>
      <c r="K7" s="24" t="s">
        <v>39</v>
      </c>
      <c r="L7" s="24" t="s">
        <v>43</v>
      </c>
      <c r="M7" s="24" t="s">
        <v>39</v>
      </c>
      <c r="N7" s="25" t="s">
        <v>47</v>
      </c>
    </row>
    <row r="8" spans="1:14" s="18" customFormat="1" ht="40" customHeight="1">
      <c r="A8" s="88" t="s">
        <v>270</v>
      </c>
      <c r="B8" s="15" t="s">
        <v>81</v>
      </c>
      <c r="C8" s="15" t="s">
        <v>41</v>
      </c>
      <c r="D8" s="15" t="s">
        <v>41</v>
      </c>
      <c r="E8" s="15" t="s">
        <v>41</v>
      </c>
      <c r="F8" s="16" t="s">
        <v>54</v>
      </c>
      <c r="G8" s="16" t="s">
        <v>298</v>
      </c>
      <c r="H8" s="16" t="s">
        <v>271</v>
      </c>
      <c r="I8" s="16" t="s">
        <v>82</v>
      </c>
      <c r="J8" s="16" t="s">
        <v>298</v>
      </c>
      <c r="K8" s="1" t="s">
        <v>83</v>
      </c>
      <c r="L8" s="16" t="s">
        <v>298</v>
      </c>
      <c r="M8" s="1" t="s">
        <v>83</v>
      </c>
      <c r="N8" s="1" t="s">
        <v>84</v>
      </c>
    </row>
    <row r="9" spans="1:14" s="18" customFormat="1" ht="65" customHeight="1">
      <c r="A9" s="139" t="s">
        <v>272</v>
      </c>
      <c r="B9" s="15" t="s">
        <v>66</v>
      </c>
      <c r="C9" s="15" t="s">
        <v>41</v>
      </c>
      <c r="D9" s="15" t="s">
        <v>41</v>
      </c>
      <c r="E9" s="15" t="s">
        <v>41</v>
      </c>
      <c r="F9" s="15" t="s">
        <v>158</v>
      </c>
      <c r="G9" s="58" t="s">
        <v>167</v>
      </c>
      <c r="H9" s="89" t="s">
        <v>160</v>
      </c>
      <c r="I9" s="16" t="s">
        <v>82</v>
      </c>
      <c r="J9" s="58" t="s">
        <v>167</v>
      </c>
      <c r="K9" s="79" t="s">
        <v>273</v>
      </c>
      <c r="L9" s="58" t="s">
        <v>167</v>
      </c>
      <c r="M9" s="79" t="s">
        <v>273</v>
      </c>
      <c r="N9" s="90" t="s">
        <v>87</v>
      </c>
    </row>
    <row r="10" spans="1:14" s="18" customFormat="1" ht="45">
      <c r="A10" s="140"/>
      <c r="B10" s="15" t="s">
        <v>66</v>
      </c>
      <c r="C10" s="15" t="s">
        <v>41</v>
      </c>
      <c r="D10" s="15" t="s">
        <v>41</v>
      </c>
      <c r="E10" s="15" t="s">
        <v>41</v>
      </c>
      <c r="F10" s="15" t="s">
        <v>158</v>
      </c>
      <c r="G10" s="58" t="s">
        <v>161</v>
      </c>
      <c r="H10" s="89" t="s">
        <v>162</v>
      </c>
      <c r="I10" s="16" t="s">
        <v>82</v>
      </c>
      <c r="J10" s="58" t="s">
        <v>161</v>
      </c>
      <c r="K10" s="81" t="s">
        <v>88</v>
      </c>
      <c r="L10" s="58" t="s">
        <v>161</v>
      </c>
      <c r="M10" s="81" t="s">
        <v>88</v>
      </c>
      <c r="N10" s="90" t="s">
        <v>230</v>
      </c>
    </row>
    <row r="11" spans="1:14" s="18" customFormat="1" ht="55" customHeight="1">
      <c r="A11" s="140"/>
      <c r="B11" s="15" t="s">
        <v>66</v>
      </c>
      <c r="C11" s="15" t="s">
        <v>41</v>
      </c>
      <c r="D11" s="15" t="s">
        <v>41</v>
      </c>
      <c r="E11" s="15" t="s">
        <v>41</v>
      </c>
      <c r="F11" s="15" t="s">
        <v>158</v>
      </c>
      <c r="G11" s="58" t="s">
        <v>163</v>
      </c>
      <c r="H11" s="91" t="s">
        <v>89</v>
      </c>
      <c r="I11" s="16" t="s">
        <v>82</v>
      </c>
      <c r="J11" s="58" t="s">
        <v>163</v>
      </c>
      <c r="K11" s="81" t="s">
        <v>90</v>
      </c>
      <c r="L11" s="58" t="s">
        <v>163</v>
      </c>
      <c r="M11" s="81" t="s">
        <v>90</v>
      </c>
      <c r="N11" s="90" t="s">
        <v>87</v>
      </c>
    </row>
    <row r="12" spans="1:14" s="18" customFormat="1" ht="40" customHeight="1">
      <c r="A12" s="140"/>
      <c r="B12" s="15" t="s">
        <v>1</v>
      </c>
      <c r="C12" s="15" t="s">
        <v>41</v>
      </c>
      <c r="D12" s="15" t="s">
        <v>41</v>
      </c>
      <c r="E12" s="15" t="s">
        <v>41</v>
      </c>
      <c r="F12" s="15" t="s">
        <v>158</v>
      </c>
      <c r="G12" s="16" t="s">
        <v>92</v>
      </c>
      <c r="H12" s="92" t="s">
        <v>93</v>
      </c>
      <c r="I12" s="16" t="s">
        <v>82</v>
      </c>
      <c r="J12" s="16" t="s">
        <v>92</v>
      </c>
      <c r="K12" s="81" t="s">
        <v>94</v>
      </c>
      <c r="L12" s="16" t="s">
        <v>92</v>
      </c>
      <c r="M12" s="81" t="s">
        <v>94</v>
      </c>
      <c r="N12" s="90" t="s">
        <v>87</v>
      </c>
    </row>
    <row r="13" spans="1:14" s="18" customFormat="1" ht="40" customHeight="1">
      <c r="A13" s="140"/>
      <c r="B13" s="15" t="s">
        <v>91</v>
      </c>
      <c r="C13" s="15" t="s">
        <v>41</v>
      </c>
      <c r="D13" s="15" t="s">
        <v>41</v>
      </c>
      <c r="E13" s="15" t="s">
        <v>41</v>
      </c>
      <c r="F13" s="15" t="s">
        <v>158</v>
      </c>
      <c r="G13" s="16" t="s">
        <v>95</v>
      </c>
      <c r="H13" s="92" t="s">
        <v>164</v>
      </c>
      <c r="I13" s="16" t="s">
        <v>82</v>
      </c>
      <c r="J13" s="16" t="s">
        <v>95</v>
      </c>
      <c r="K13" s="79" t="s">
        <v>96</v>
      </c>
      <c r="L13" s="16" t="s">
        <v>95</v>
      </c>
      <c r="M13" s="79" t="s">
        <v>96</v>
      </c>
      <c r="N13" s="90" t="s">
        <v>87</v>
      </c>
    </row>
    <row r="14" spans="1:14" s="18" customFormat="1" ht="40" customHeight="1">
      <c r="A14" s="140"/>
      <c r="B14" s="15" t="s">
        <v>91</v>
      </c>
      <c r="C14" s="15" t="s">
        <v>41</v>
      </c>
      <c r="D14" s="15" t="s">
        <v>41</v>
      </c>
      <c r="E14" s="15" t="s">
        <v>41</v>
      </c>
      <c r="F14" s="15" t="s">
        <v>158</v>
      </c>
      <c r="G14" s="16" t="s">
        <v>115</v>
      </c>
      <c r="H14" s="16" t="s">
        <v>165</v>
      </c>
      <c r="I14" s="16" t="s">
        <v>97</v>
      </c>
      <c r="J14" s="16" t="s">
        <v>115</v>
      </c>
      <c r="K14" s="81" t="s">
        <v>98</v>
      </c>
      <c r="L14" s="16" t="s">
        <v>115</v>
      </c>
      <c r="M14" s="81" t="s">
        <v>98</v>
      </c>
      <c r="N14" s="90" t="s">
        <v>87</v>
      </c>
    </row>
    <row r="15" spans="1:14" s="18" customFormat="1" ht="48">
      <c r="A15" s="140"/>
      <c r="B15" s="15" t="s">
        <v>1</v>
      </c>
      <c r="C15" s="15" t="s">
        <v>41</v>
      </c>
      <c r="D15" s="15" t="s">
        <v>41</v>
      </c>
      <c r="E15" s="15" t="s">
        <v>41</v>
      </c>
      <c r="F15" s="15" t="s">
        <v>158</v>
      </c>
      <c r="G15" s="16" t="s">
        <v>99</v>
      </c>
      <c r="H15" s="93" t="s">
        <v>274</v>
      </c>
      <c r="I15" s="16" t="s">
        <v>82</v>
      </c>
      <c r="J15" s="16" t="s">
        <v>99</v>
      </c>
      <c r="K15" s="81" t="s">
        <v>100</v>
      </c>
      <c r="L15" s="16" t="s">
        <v>99</v>
      </c>
      <c r="M15" s="81" t="s">
        <v>100</v>
      </c>
      <c r="N15" s="90" t="s">
        <v>87</v>
      </c>
    </row>
    <row r="16" spans="1:14" s="18" customFormat="1" ht="41" customHeight="1">
      <c r="A16" s="140"/>
      <c r="B16" s="15" t="s">
        <v>66</v>
      </c>
      <c r="C16" s="15" t="s">
        <v>41</v>
      </c>
      <c r="D16" s="15" t="s">
        <v>41</v>
      </c>
      <c r="E16" s="15" t="s">
        <v>41</v>
      </c>
      <c r="F16" s="15" t="s">
        <v>158</v>
      </c>
      <c r="G16" s="58" t="s">
        <v>305</v>
      </c>
      <c r="H16" s="89" t="s">
        <v>159</v>
      </c>
      <c r="I16" s="16" t="s">
        <v>82</v>
      </c>
      <c r="J16" s="58" t="s">
        <v>305</v>
      </c>
      <c r="K16" s="79" t="s">
        <v>83</v>
      </c>
      <c r="L16" s="58" t="s">
        <v>305</v>
      </c>
      <c r="M16" s="79" t="s">
        <v>83</v>
      </c>
      <c r="N16" s="90" t="s">
        <v>87</v>
      </c>
    </row>
    <row r="17" spans="1:14" s="18" customFormat="1" ht="65" customHeight="1">
      <c r="A17" s="142" t="s">
        <v>275</v>
      </c>
      <c r="B17" s="15" t="s">
        <v>66</v>
      </c>
      <c r="C17" s="15" t="s">
        <v>41</v>
      </c>
      <c r="D17" s="15" t="s">
        <v>41</v>
      </c>
      <c r="E17" s="15" t="s">
        <v>41</v>
      </c>
      <c r="F17" s="15" t="s">
        <v>158</v>
      </c>
      <c r="G17" s="58" t="s">
        <v>344</v>
      </c>
      <c r="H17" s="89" t="s">
        <v>160</v>
      </c>
      <c r="I17" s="16" t="s">
        <v>82</v>
      </c>
      <c r="J17" s="58" t="s">
        <v>344</v>
      </c>
      <c r="K17" s="81" t="s">
        <v>88</v>
      </c>
      <c r="L17" s="58" t="s">
        <v>344</v>
      </c>
      <c r="M17" s="81" t="s">
        <v>88</v>
      </c>
      <c r="N17" s="90" t="s">
        <v>149</v>
      </c>
    </row>
    <row r="18" spans="1:14" s="18" customFormat="1" ht="40" customHeight="1">
      <c r="A18" s="143"/>
      <c r="B18" s="15" t="s">
        <v>1</v>
      </c>
      <c r="C18" s="15" t="s">
        <v>41</v>
      </c>
      <c r="D18" s="15" t="s">
        <v>41</v>
      </c>
      <c r="E18" s="15" t="s">
        <v>41</v>
      </c>
      <c r="F18" s="15" t="s">
        <v>158</v>
      </c>
      <c r="G18" s="16" t="s">
        <v>92</v>
      </c>
      <c r="H18" s="92" t="s">
        <v>93</v>
      </c>
      <c r="I18" s="16" t="s">
        <v>82</v>
      </c>
      <c r="J18" s="16" t="s">
        <v>92</v>
      </c>
      <c r="K18" s="81" t="s">
        <v>94</v>
      </c>
      <c r="L18" s="16" t="s">
        <v>92</v>
      </c>
      <c r="M18" s="81" t="s">
        <v>94</v>
      </c>
      <c r="N18" s="90" t="s">
        <v>456</v>
      </c>
    </row>
    <row r="19" spans="1:14" s="18" customFormat="1" ht="40" customHeight="1">
      <c r="A19" s="143"/>
      <c r="B19" s="15" t="s">
        <v>91</v>
      </c>
      <c r="C19" s="15" t="s">
        <v>41</v>
      </c>
      <c r="D19" s="15" t="s">
        <v>41</v>
      </c>
      <c r="E19" s="15" t="s">
        <v>41</v>
      </c>
      <c r="F19" s="15" t="s">
        <v>158</v>
      </c>
      <c r="G19" s="16" t="s">
        <v>95</v>
      </c>
      <c r="H19" s="92" t="s">
        <v>164</v>
      </c>
      <c r="I19" s="16" t="s">
        <v>82</v>
      </c>
      <c r="J19" s="16" t="s">
        <v>95</v>
      </c>
      <c r="K19" s="79" t="s">
        <v>96</v>
      </c>
      <c r="L19" s="16" t="s">
        <v>95</v>
      </c>
      <c r="M19" s="79" t="s">
        <v>96</v>
      </c>
      <c r="N19" s="90" t="s">
        <v>168</v>
      </c>
    </row>
    <row r="20" spans="1:14" s="18" customFormat="1" ht="40" customHeight="1">
      <c r="A20" s="143"/>
      <c r="B20" s="15" t="s">
        <v>91</v>
      </c>
      <c r="C20" s="15" t="s">
        <v>41</v>
      </c>
      <c r="D20" s="15" t="s">
        <v>41</v>
      </c>
      <c r="E20" s="15" t="s">
        <v>41</v>
      </c>
      <c r="F20" s="15" t="s">
        <v>158</v>
      </c>
      <c r="G20" s="16" t="s">
        <v>115</v>
      </c>
      <c r="H20" s="16" t="s">
        <v>165</v>
      </c>
      <c r="I20" s="16" t="s">
        <v>97</v>
      </c>
      <c r="J20" s="16" t="s">
        <v>115</v>
      </c>
      <c r="K20" s="81" t="s">
        <v>98</v>
      </c>
      <c r="L20" s="16" t="s">
        <v>115</v>
      </c>
      <c r="M20" s="81" t="s">
        <v>98</v>
      </c>
      <c r="N20" s="90" t="s">
        <v>168</v>
      </c>
    </row>
    <row r="21" spans="1:14" s="18" customFormat="1" ht="70" customHeight="1">
      <c r="A21" s="143"/>
      <c r="B21" s="15" t="s">
        <v>1</v>
      </c>
      <c r="C21" s="15" t="s">
        <v>41</v>
      </c>
      <c r="D21" s="15" t="s">
        <v>41</v>
      </c>
      <c r="E21" s="15" t="s">
        <v>41</v>
      </c>
      <c r="F21" s="15" t="s">
        <v>158</v>
      </c>
      <c r="G21" s="16" t="s">
        <v>99</v>
      </c>
      <c r="H21" s="93" t="s">
        <v>166</v>
      </c>
      <c r="I21" s="16" t="s">
        <v>82</v>
      </c>
      <c r="J21" s="16" t="s">
        <v>99</v>
      </c>
      <c r="K21" s="81" t="s">
        <v>100</v>
      </c>
      <c r="L21" s="16" t="s">
        <v>99</v>
      </c>
      <c r="M21" s="81" t="s">
        <v>100</v>
      </c>
      <c r="N21" s="90" t="s">
        <v>168</v>
      </c>
    </row>
    <row r="22" spans="1:14" s="18" customFormat="1" ht="74" customHeight="1">
      <c r="A22" s="143"/>
      <c r="B22" s="15" t="s">
        <v>66</v>
      </c>
      <c r="C22" s="15" t="s">
        <v>41</v>
      </c>
      <c r="D22" s="15" t="s">
        <v>41</v>
      </c>
      <c r="E22" s="15" t="s">
        <v>41</v>
      </c>
      <c r="F22" s="15" t="s">
        <v>158</v>
      </c>
      <c r="G22" s="58" t="s">
        <v>299</v>
      </c>
      <c r="H22" s="91" t="s">
        <v>304</v>
      </c>
      <c r="I22" s="16" t="s">
        <v>82</v>
      </c>
      <c r="J22" s="58" t="s">
        <v>306</v>
      </c>
      <c r="K22" s="79" t="s">
        <v>83</v>
      </c>
      <c r="L22" s="58" t="s">
        <v>306</v>
      </c>
      <c r="M22" s="79" t="s">
        <v>83</v>
      </c>
      <c r="N22" s="90" t="s">
        <v>168</v>
      </c>
    </row>
    <row r="23" spans="1:14" s="18" customFormat="1" ht="40" customHeight="1">
      <c r="A23" s="144"/>
      <c r="B23" s="15" t="s">
        <v>81</v>
      </c>
      <c r="C23" s="15" t="s">
        <v>41</v>
      </c>
      <c r="D23" s="15" t="s">
        <v>41</v>
      </c>
      <c r="E23" s="15" t="s">
        <v>41</v>
      </c>
      <c r="F23" s="17" t="s">
        <v>158</v>
      </c>
      <c r="G23" s="95" t="s">
        <v>307</v>
      </c>
      <c r="H23" s="95" t="s">
        <v>101</v>
      </c>
      <c r="I23" s="16" t="s">
        <v>82</v>
      </c>
      <c r="J23" s="95" t="s">
        <v>307</v>
      </c>
      <c r="K23" s="79" t="s">
        <v>102</v>
      </c>
      <c r="L23" s="95" t="s">
        <v>307</v>
      </c>
      <c r="M23" s="79" t="s">
        <v>102</v>
      </c>
      <c r="N23" s="83" t="s">
        <v>103</v>
      </c>
    </row>
    <row r="24" spans="1:14" s="18" customFormat="1" ht="40" customHeight="1">
      <c r="A24" s="139" t="s">
        <v>276</v>
      </c>
      <c r="B24" s="15" t="s">
        <v>66</v>
      </c>
      <c r="C24" s="96" t="s">
        <v>169</v>
      </c>
      <c r="D24" s="96" t="s">
        <v>170</v>
      </c>
      <c r="E24" s="96" t="s">
        <v>291</v>
      </c>
      <c r="F24" s="15" t="str">
        <f>D24&amp;"/"&amp;C24</f>
        <v>FAI 1/SPC A</v>
      </c>
      <c r="G24" s="96" t="s">
        <v>291</v>
      </c>
      <c r="H24" s="96" t="s">
        <v>108</v>
      </c>
      <c r="I24" s="16" t="s">
        <v>97</v>
      </c>
      <c r="J24" s="97" t="s">
        <v>346</v>
      </c>
      <c r="K24" s="19" t="s">
        <v>171</v>
      </c>
      <c r="L24" s="97" t="s">
        <v>341</v>
      </c>
      <c r="M24" s="19" t="s">
        <v>171</v>
      </c>
      <c r="N24" s="67">
        <v>1</v>
      </c>
    </row>
    <row r="25" spans="1:14" s="18" customFormat="1" ht="40" customHeight="1">
      <c r="A25" s="140"/>
      <c r="B25" s="15" t="s">
        <v>66</v>
      </c>
      <c r="C25" s="96" t="s">
        <v>110</v>
      </c>
      <c r="D25" s="96" t="s">
        <v>74</v>
      </c>
      <c r="E25" s="96" t="s">
        <v>292</v>
      </c>
      <c r="F25" s="15" t="str">
        <f>D25&amp;"/"&amp;C25</f>
        <v>FAI 2/SPC B</v>
      </c>
      <c r="G25" s="96" t="s">
        <v>292</v>
      </c>
      <c r="H25" s="92" t="s">
        <v>104</v>
      </c>
      <c r="I25" s="16" t="s">
        <v>97</v>
      </c>
      <c r="J25" s="97" t="s">
        <v>347</v>
      </c>
      <c r="K25" s="19" t="s">
        <v>171</v>
      </c>
      <c r="L25" s="97" t="s">
        <v>342</v>
      </c>
      <c r="M25" s="19" t="s">
        <v>171</v>
      </c>
      <c r="N25" s="67">
        <v>1</v>
      </c>
    </row>
    <row r="26" spans="1:14" s="18" customFormat="1" ht="40" customHeight="1">
      <c r="A26" s="140"/>
      <c r="B26" s="15" t="s">
        <v>66</v>
      </c>
      <c r="C26" s="96" t="s">
        <v>112</v>
      </c>
      <c r="D26" s="96" t="s">
        <v>75</v>
      </c>
      <c r="E26" s="96" t="s">
        <v>293</v>
      </c>
      <c r="F26" s="15" t="str">
        <f t="shared" ref="F26" si="0">D26&amp;"/"&amp;C26</f>
        <v>FAI 3/SPC C</v>
      </c>
      <c r="G26" s="96" t="s">
        <v>293</v>
      </c>
      <c r="H26" s="92" t="s">
        <v>105</v>
      </c>
      <c r="I26" s="16" t="s">
        <v>97</v>
      </c>
      <c r="J26" s="97" t="s">
        <v>348</v>
      </c>
      <c r="K26" s="19" t="s">
        <v>171</v>
      </c>
      <c r="L26" s="97" t="s">
        <v>343</v>
      </c>
      <c r="M26" s="19" t="s">
        <v>171</v>
      </c>
      <c r="N26" s="67">
        <v>1</v>
      </c>
    </row>
    <row r="27" spans="1:14" s="18" customFormat="1" ht="40" customHeight="1">
      <c r="A27" s="141"/>
      <c r="B27" s="15" t="s">
        <v>81</v>
      </c>
      <c r="C27" s="15" t="s">
        <v>41</v>
      </c>
      <c r="D27" s="15" t="s">
        <v>41</v>
      </c>
      <c r="E27" s="95" t="s">
        <v>307</v>
      </c>
      <c r="F27" s="15" t="s">
        <v>85</v>
      </c>
      <c r="G27" s="95" t="s">
        <v>345</v>
      </c>
      <c r="H27" s="92" t="s">
        <v>101</v>
      </c>
      <c r="I27" s="16" t="s">
        <v>82</v>
      </c>
      <c r="J27" s="95" t="s">
        <v>307</v>
      </c>
      <c r="K27" s="19" t="s">
        <v>126</v>
      </c>
      <c r="L27" s="95" t="s">
        <v>307</v>
      </c>
      <c r="M27" s="19" t="s">
        <v>171</v>
      </c>
      <c r="N27" s="67">
        <v>1</v>
      </c>
    </row>
    <row r="28" spans="1:14" s="18" customFormat="1" ht="61" customHeight="1">
      <c r="A28" s="99" t="s">
        <v>277</v>
      </c>
      <c r="B28" s="94" t="s">
        <v>63</v>
      </c>
      <c r="C28" s="98" t="s">
        <v>158</v>
      </c>
      <c r="D28" s="98" t="s">
        <v>158</v>
      </c>
      <c r="E28" s="98" t="s">
        <v>158</v>
      </c>
      <c r="F28" s="94" t="s">
        <v>158</v>
      </c>
      <c r="G28" s="85" t="s">
        <v>233</v>
      </c>
      <c r="H28" s="99" t="s">
        <v>278</v>
      </c>
      <c r="I28" s="80" t="s">
        <v>82</v>
      </c>
      <c r="J28" s="85" t="s">
        <v>233</v>
      </c>
      <c r="K28" s="81" t="s">
        <v>234</v>
      </c>
      <c r="L28" s="85" t="s">
        <v>233</v>
      </c>
      <c r="M28" s="81" t="s">
        <v>234</v>
      </c>
      <c r="N28" s="82" t="s">
        <v>235</v>
      </c>
    </row>
  </sheetData>
  <sheetProtection formatColumns="0" sort="0" autoFilter="0" pivotTables="0"/>
  <dataConsolidate/>
  <mergeCells count="10">
    <mergeCell ref="A9:A16"/>
    <mergeCell ref="A24:A27"/>
    <mergeCell ref="A17:A23"/>
    <mergeCell ref="J4:N4"/>
    <mergeCell ref="A6:A7"/>
    <mergeCell ref="B6:B7"/>
    <mergeCell ref="C6:E6"/>
    <mergeCell ref="F6:I6"/>
    <mergeCell ref="J6:K6"/>
    <mergeCell ref="L6:N6"/>
  </mergeCells>
  <phoneticPr fontId="14" type="noConversion"/>
  <dataValidations count="4">
    <dataValidation type="list" allowBlank="1" showInputMessage="1" showErrorMessage="1" sqref="I27:I28" xr:uid="{13475982-7F40-B04D-BC30-918A84EFA3E7}">
      <formula1>"Critical to ID feature, Critical to FATP, Critical to HSG assembly, NUD (new/unique/difficult), Not CTQ"</formula1>
    </dataValidation>
    <dataValidation type="list" allowBlank="1" showInputMessage="1" showErrorMessage="1" sqref="B8" xr:uid="{F387D425-CD2D-D04C-993E-90F9B43E4517}">
      <formula1>"Dim, Cos, Function, ORT"</formula1>
    </dataValidation>
    <dataValidation type="list" allowBlank="1" showInputMessage="1" showErrorMessage="1" sqref="I8:I26" xr:uid="{9F704D8B-E6B0-FC4E-B326-2D8FCF1E42DE}">
      <formula1>"Critical to ID feature, Critical to FATP, Critical to downstream assembly, NUD (new/unique/difficult), Not CTQ,Critical to Module"</formula1>
    </dataValidation>
    <dataValidation type="list" allowBlank="1" showInputMessage="1" showErrorMessage="1" sqref="B9:B28" xr:uid="{7EA2968C-3E87-4D4C-B386-F0F1B8F56C49}">
      <formula1>"Dim, Cos, Function, ORT, Rel"</formula1>
    </dataValidation>
  </dataValidations>
  <pageMargins left="0" right="0" top="0" bottom="0" header="0" footer="0"/>
  <pageSetup scale="53" orientation="landscape"/>
  <ignoredErrors>
    <ignoredError sqref="F24:F25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F7083-3349-CF47-9546-DD9ACFF8FD71}">
  <dimension ref="A1:V51"/>
  <sheetViews>
    <sheetView showGridLines="0" showRuler="0" zoomScale="75" zoomScaleNormal="80" zoomScaleSheetLayoutView="55" workbookViewId="0">
      <pane ySplit="7" topLeftCell="A39" activePane="bottomLeft" state="frozen"/>
      <selection activeCell="B13" sqref="B13:B17"/>
      <selection pane="bottomLeft" activeCell="E29" sqref="E29"/>
    </sheetView>
  </sheetViews>
  <sheetFormatPr baseColWidth="10" defaultColWidth="8.83203125" defaultRowHeight="22" customHeight="1" outlineLevelCol="1"/>
  <cols>
    <col min="1" max="2" width="25.83203125" style="13" customWidth="1"/>
    <col min="3" max="5" width="22.83203125" style="13" customWidth="1" outlineLevel="1"/>
    <col min="6" max="8" width="22.83203125" style="14" customWidth="1"/>
    <col min="9" max="13" width="22.83203125" style="13" customWidth="1"/>
    <col min="14" max="14" width="29.1640625" style="13" customWidth="1"/>
    <col min="15" max="16384" width="8.83203125" style="13"/>
  </cols>
  <sheetData>
    <row r="1" spans="1:14" s="20" customFormat="1" ht="24" customHeight="1">
      <c r="A1" s="11" t="s">
        <v>6</v>
      </c>
      <c r="B1" s="11" t="s">
        <v>8</v>
      </c>
      <c r="F1" s="7"/>
      <c r="G1" s="7"/>
      <c r="H1" s="7"/>
      <c r="I1" s="7"/>
      <c r="J1" s="7"/>
      <c r="K1" s="7"/>
      <c r="L1" s="7"/>
    </row>
    <row r="2" spans="1:14" s="20" customFormat="1" ht="24" customHeight="1">
      <c r="A2" s="21" t="str">
        <f>IF(Revision!A4="","",Revision!A4)</f>
        <v>R240</v>
      </c>
      <c r="B2" s="21" t="str">
        <f>IF(Revision!B4="","",Revision!B4)</f>
        <v>DVT</v>
      </c>
      <c r="F2" s="7"/>
      <c r="G2" s="7"/>
      <c r="H2" s="7"/>
      <c r="I2" s="7"/>
      <c r="J2" s="7"/>
      <c r="K2" s="7"/>
      <c r="L2" s="7"/>
    </row>
    <row r="3" spans="1:14" s="20" customFormat="1" ht="24" customHeight="1">
      <c r="A3" s="11" t="s">
        <v>18</v>
      </c>
      <c r="B3" s="11" t="s">
        <v>0</v>
      </c>
      <c r="F3" s="7"/>
      <c r="G3" s="7"/>
      <c r="H3" s="7"/>
      <c r="I3" s="7"/>
      <c r="J3" s="7"/>
      <c r="K3" s="7"/>
      <c r="L3" s="7"/>
    </row>
    <row r="4" spans="1:14" s="20" customFormat="1" ht="24" customHeight="1">
      <c r="A4" s="21" t="str">
        <f>IF(Revision!A10="","",Revision!A10)</f>
        <v>099-53721-08</v>
      </c>
      <c r="B4" s="21" t="s">
        <v>4</v>
      </c>
      <c r="F4" s="7"/>
      <c r="G4" s="7"/>
      <c r="H4" s="7"/>
      <c r="I4" s="7"/>
      <c r="J4" s="129"/>
      <c r="K4" s="129"/>
      <c r="L4" s="129"/>
      <c r="M4" s="129"/>
      <c r="N4" s="129"/>
    </row>
    <row r="5" spans="1:14" s="20" customFormat="1" ht="7" customHeight="1">
      <c r="F5" s="22"/>
      <c r="G5" s="22"/>
      <c r="H5" s="22"/>
    </row>
    <row r="6" spans="1:14" s="23" customFormat="1" ht="37" customHeight="1">
      <c r="A6" s="123" t="s">
        <v>24</v>
      </c>
      <c r="B6" s="130" t="s">
        <v>48</v>
      </c>
      <c r="C6" s="132" t="s">
        <v>26</v>
      </c>
      <c r="D6" s="132"/>
      <c r="E6" s="132"/>
      <c r="F6" s="133" t="s">
        <v>49</v>
      </c>
      <c r="G6" s="134"/>
      <c r="H6" s="134"/>
      <c r="I6" s="135"/>
      <c r="J6" s="136" t="s">
        <v>50</v>
      </c>
      <c r="K6" s="137"/>
      <c r="L6" s="138" t="s">
        <v>119</v>
      </c>
      <c r="M6" s="138"/>
      <c r="N6" s="137"/>
    </row>
    <row r="7" spans="1:14" s="23" customFormat="1" ht="22" customHeight="1">
      <c r="A7" s="123"/>
      <c r="B7" s="131"/>
      <c r="C7" s="26" t="s">
        <v>12</v>
      </c>
      <c r="D7" s="26" t="s">
        <v>13</v>
      </c>
      <c r="E7" s="26" t="s">
        <v>11</v>
      </c>
      <c r="F7" s="10" t="s">
        <v>14</v>
      </c>
      <c r="G7" s="10" t="s">
        <v>11</v>
      </c>
      <c r="H7" s="10" t="s">
        <v>0</v>
      </c>
      <c r="I7" s="10" t="s">
        <v>10</v>
      </c>
      <c r="J7" s="27" t="s">
        <v>42</v>
      </c>
      <c r="K7" s="24" t="s">
        <v>39</v>
      </c>
      <c r="L7" s="24" t="s">
        <v>43</v>
      </c>
      <c r="M7" s="24" t="s">
        <v>39</v>
      </c>
      <c r="N7" s="25" t="s">
        <v>47</v>
      </c>
    </row>
    <row r="8" spans="1:14" s="18" customFormat="1" ht="46" customHeight="1">
      <c r="A8" s="145" t="s">
        <v>480</v>
      </c>
      <c r="B8" s="40" t="s">
        <v>66</v>
      </c>
      <c r="C8" s="53" t="s">
        <v>169</v>
      </c>
      <c r="D8" s="53" t="s">
        <v>170</v>
      </c>
      <c r="E8" s="40" t="s">
        <v>466</v>
      </c>
      <c r="F8" s="42" t="str">
        <f>D8&amp;"/"&amp;C8</f>
        <v>FAI 1/SPC A</v>
      </c>
      <c r="G8" s="40" t="s">
        <v>469</v>
      </c>
      <c r="H8" s="53" t="s">
        <v>108</v>
      </c>
      <c r="I8" s="51" t="s">
        <v>97</v>
      </c>
      <c r="J8" s="40" t="s">
        <v>469</v>
      </c>
      <c r="K8" s="17" t="s">
        <v>127</v>
      </c>
      <c r="L8" s="40" t="s">
        <v>469</v>
      </c>
      <c r="M8" s="17" t="s">
        <v>117</v>
      </c>
      <c r="N8" s="56" t="s">
        <v>129</v>
      </c>
    </row>
    <row r="9" spans="1:14" s="18" customFormat="1" ht="46" customHeight="1">
      <c r="A9" s="146"/>
      <c r="B9" s="40" t="s">
        <v>66</v>
      </c>
      <c r="C9" s="53" t="s">
        <v>110</v>
      </c>
      <c r="D9" s="53" t="s">
        <v>74</v>
      </c>
      <c r="E9" s="40" t="s">
        <v>467</v>
      </c>
      <c r="F9" s="42" t="str">
        <f t="shared" ref="F9:F12" si="0">D9&amp;"/"&amp;C9</f>
        <v>FAI 2/SPC B</v>
      </c>
      <c r="G9" s="40" t="s">
        <v>470</v>
      </c>
      <c r="H9" s="52" t="s">
        <v>104</v>
      </c>
      <c r="I9" s="51" t="s">
        <v>97</v>
      </c>
      <c r="J9" s="40" t="s">
        <v>470</v>
      </c>
      <c r="K9" s="17" t="s">
        <v>117</v>
      </c>
      <c r="L9" s="40" t="s">
        <v>470</v>
      </c>
      <c r="M9" s="17" t="s">
        <v>117</v>
      </c>
      <c r="N9" s="56" t="s">
        <v>129</v>
      </c>
    </row>
    <row r="10" spans="1:14" s="18" customFormat="1" ht="46" customHeight="1">
      <c r="A10" s="146"/>
      <c r="B10" s="40" t="s">
        <v>66</v>
      </c>
      <c r="C10" s="53" t="s">
        <v>112</v>
      </c>
      <c r="D10" s="53" t="s">
        <v>75</v>
      </c>
      <c r="E10" s="40" t="s">
        <v>468</v>
      </c>
      <c r="F10" s="42" t="str">
        <f t="shared" si="0"/>
        <v>FAI 3/SPC C</v>
      </c>
      <c r="G10" s="40" t="s">
        <v>471</v>
      </c>
      <c r="H10" s="52" t="s">
        <v>105</v>
      </c>
      <c r="I10" s="51" t="s">
        <v>97</v>
      </c>
      <c r="J10" s="40" t="s">
        <v>471</v>
      </c>
      <c r="K10" s="17" t="s">
        <v>70</v>
      </c>
      <c r="L10" s="40" t="s">
        <v>471</v>
      </c>
      <c r="M10" s="17" t="s">
        <v>69</v>
      </c>
      <c r="N10" s="56" t="s">
        <v>129</v>
      </c>
    </row>
    <row r="11" spans="1:14" s="18" customFormat="1" ht="46" customHeight="1">
      <c r="A11" s="146"/>
      <c r="B11" s="40" t="s">
        <v>63</v>
      </c>
      <c r="C11" s="53" t="s">
        <v>111</v>
      </c>
      <c r="D11" s="53" t="s">
        <v>109</v>
      </c>
      <c r="E11" s="40" t="s">
        <v>173</v>
      </c>
      <c r="F11" s="42" t="str">
        <f t="shared" ref="F11" si="1">D11&amp;"/"&amp;C11</f>
        <v>FAI 4/SPC D</v>
      </c>
      <c r="G11" s="40" t="s">
        <v>173</v>
      </c>
      <c r="H11" s="51" t="s">
        <v>309</v>
      </c>
      <c r="I11" s="51" t="s">
        <v>97</v>
      </c>
      <c r="J11" s="40" t="s">
        <v>173</v>
      </c>
      <c r="K11" s="17" t="s">
        <v>118</v>
      </c>
      <c r="L11" s="40" t="s">
        <v>173</v>
      </c>
      <c r="M11" s="17" t="s">
        <v>118</v>
      </c>
      <c r="N11" s="56" t="s">
        <v>129</v>
      </c>
    </row>
    <row r="12" spans="1:14" s="18" customFormat="1" ht="46" customHeight="1">
      <c r="A12" s="146"/>
      <c r="B12" s="40" t="s">
        <v>63</v>
      </c>
      <c r="C12" s="53" t="s">
        <v>116</v>
      </c>
      <c r="D12" s="53" t="s">
        <v>107</v>
      </c>
      <c r="E12" s="40" t="s">
        <v>503</v>
      </c>
      <c r="F12" s="42" t="str">
        <f t="shared" si="0"/>
        <v>FAI 5/SPC E</v>
      </c>
      <c r="G12" s="40" t="s">
        <v>176</v>
      </c>
      <c r="H12" s="51" t="s">
        <v>310</v>
      </c>
      <c r="I12" s="51" t="s">
        <v>97</v>
      </c>
      <c r="J12" s="40" t="s">
        <v>176</v>
      </c>
      <c r="K12" s="17" t="s">
        <v>118</v>
      </c>
      <c r="L12" s="40" t="s">
        <v>176</v>
      </c>
      <c r="M12" s="17" t="s">
        <v>118</v>
      </c>
      <c r="N12" s="56" t="s">
        <v>129</v>
      </c>
    </row>
    <row r="13" spans="1:14" s="18" customFormat="1" ht="46" customHeight="1">
      <c r="A13" s="146"/>
      <c r="B13" s="17" t="s">
        <v>66</v>
      </c>
      <c r="C13" s="15" t="s">
        <v>41</v>
      </c>
      <c r="D13" s="96" t="s">
        <v>113</v>
      </c>
      <c r="E13" s="17" t="s">
        <v>294</v>
      </c>
      <c r="F13" s="96" t="s">
        <v>113</v>
      </c>
      <c r="G13" s="17" t="s">
        <v>294</v>
      </c>
      <c r="H13" s="95" t="s">
        <v>311</v>
      </c>
      <c r="I13" s="95" t="s">
        <v>97</v>
      </c>
      <c r="J13" s="17" t="s">
        <v>294</v>
      </c>
      <c r="K13" s="17" t="s">
        <v>117</v>
      </c>
      <c r="L13" s="17" t="s">
        <v>294</v>
      </c>
      <c r="M13" s="17" t="s">
        <v>117</v>
      </c>
      <c r="N13" s="101" t="s">
        <v>129</v>
      </c>
    </row>
    <row r="14" spans="1:14" s="18" customFormat="1" ht="46" customHeight="1">
      <c r="A14" s="146"/>
      <c r="B14" s="17" t="s">
        <v>66</v>
      </c>
      <c r="C14" s="15" t="s">
        <v>41</v>
      </c>
      <c r="D14" s="96" t="s">
        <v>174</v>
      </c>
      <c r="E14" s="17" t="s">
        <v>175</v>
      </c>
      <c r="F14" s="96" t="s">
        <v>174</v>
      </c>
      <c r="G14" s="17" t="s">
        <v>175</v>
      </c>
      <c r="H14" s="95" t="s">
        <v>312</v>
      </c>
      <c r="I14" s="95" t="s">
        <v>97</v>
      </c>
      <c r="J14" s="17" t="s">
        <v>303</v>
      </c>
      <c r="K14" s="17" t="s">
        <v>117</v>
      </c>
      <c r="L14" s="17" t="s">
        <v>303</v>
      </c>
      <c r="M14" s="17" t="s">
        <v>117</v>
      </c>
      <c r="N14" s="101" t="s">
        <v>138</v>
      </c>
    </row>
    <row r="15" spans="1:14" s="18" customFormat="1" ht="77" customHeight="1">
      <c r="A15" s="146"/>
      <c r="B15" s="40" t="s">
        <v>1</v>
      </c>
      <c r="C15" s="42" t="s">
        <v>41</v>
      </c>
      <c r="D15" s="42" t="s">
        <v>41</v>
      </c>
      <c r="E15" s="42" t="s">
        <v>41</v>
      </c>
      <c r="F15" s="40" t="s">
        <v>54</v>
      </c>
      <c r="G15" s="51" t="s">
        <v>92</v>
      </c>
      <c r="H15" s="51" t="s">
        <v>313</v>
      </c>
      <c r="I15" s="51" t="s">
        <v>82</v>
      </c>
      <c r="J15" s="51" t="s">
        <v>189</v>
      </c>
      <c r="K15" s="51" t="s">
        <v>314</v>
      </c>
      <c r="L15" s="51" t="s">
        <v>189</v>
      </c>
      <c r="M15" s="51" t="s">
        <v>314</v>
      </c>
      <c r="N15" s="56" t="s">
        <v>238</v>
      </c>
    </row>
    <row r="16" spans="1:14" s="18" customFormat="1" ht="46" customHeight="1">
      <c r="A16" s="146"/>
      <c r="B16" s="40" t="s">
        <v>91</v>
      </c>
      <c r="C16" s="42" t="s">
        <v>41</v>
      </c>
      <c r="D16" s="42" t="s">
        <v>41</v>
      </c>
      <c r="E16" s="42" t="s">
        <v>41</v>
      </c>
      <c r="F16" s="40" t="s">
        <v>54</v>
      </c>
      <c r="G16" s="51" t="s">
        <v>95</v>
      </c>
      <c r="H16" s="51" t="s">
        <v>315</v>
      </c>
      <c r="I16" s="51" t="s">
        <v>82</v>
      </c>
      <c r="J16" s="51" t="s">
        <v>95</v>
      </c>
      <c r="K16" s="51" t="s">
        <v>316</v>
      </c>
      <c r="L16" s="51" t="s">
        <v>95</v>
      </c>
      <c r="M16" s="51" t="s">
        <v>316</v>
      </c>
      <c r="N16" s="56" t="s">
        <v>238</v>
      </c>
    </row>
    <row r="17" spans="1:14" s="18" customFormat="1" ht="46" customHeight="1">
      <c r="A17" s="146"/>
      <c r="B17" s="40" t="s">
        <v>91</v>
      </c>
      <c r="C17" s="42" t="s">
        <v>41</v>
      </c>
      <c r="D17" s="42" t="s">
        <v>41</v>
      </c>
      <c r="E17" s="42" t="s">
        <v>41</v>
      </c>
      <c r="F17" s="40" t="s">
        <v>54</v>
      </c>
      <c r="G17" s="51" t="s">
        <v>115</v>
      </c>
      <c r="H17" s="51" t="s">
        <v>317</v>
      </c>
      <c r="I17" s="51" t="s">
        <v>97</v>
      </c>
      <c r="J17" s="51" t="s">
        <v>115</v>
      </c>
      <c r="K17" s="51" t="s">
        <v>318</v>
      </c>
      <c r="L17" s="51" t="s">
        <v>115</v>
      </c>
      <c r="M17" s="51" t="s">
        <v>318</v>
      </c>
      <c r="N17" s="56" t="s">
        <v>238</v>
      </c>
    </row>
    <row r="18" spans="1:14" s="18" customFormat="1" ht="83" customHeight="1">
      <c r="A18" s="146"/>
      <c r="B18" s="40" t="s">
        <v>91</v>
      </c>
      <c r="C18" s="42" t="s">
        <v>41</v>
      </c>
      <c r="D18" s="42" t="s">
        <v>41</v>
      </c>
      <c r="E18" s="42" t="s">
        <v>41</v>
      </c>
      <c r="F18" s="40" t="s">
        <v>54</v>
      </c>
      <c r="G18" s="58" t="s">
        <v>136</v>
      </c>
      <c r="H18" s="50" t="s">
        <v>180</v>
      </c>
      <c r="I18" s="49" t="s">
        <v>82</v>
      </c>
      <c r="J18" s="58" t="s">
        <v>136</v>
      </c>
      <c r="K18" s="50" t="s">
        <v>319</v>
      </c>
      <c r="L18" s="58" t="s">
        <v>136</v>
      </c>
      <c r="M18" s="50" t="s">
        <v>319</v>
      </c>
      <c r="N18" s="56" t="s">
        <v>238</v>
      </c>
    </row>
    <row r="19" spans="1:14" s="115" customFormat="1" ht="64" customHeight="1">
      <c r="A19" s="146"/>
      <c r="B19" s="40" t="s">
        <v>91</v>
      </c>
      <c r="C19" s="42" t="s">
        <v>41</v>
      </c>
      <c r="D19" s="42" t="s">
        <v>41</v>
      </c>
      <c r="E19" s="42" t="s">
        <v>41</v>
      </c>
      <c r="F19" s="40" t="s">
        <v>54</v>
      </c>
      <c r="G19" s="51" t="s">
        <v>232</v>
      </c>
      <c r="H19" s="54" t="s">
        <v>508</v>
      </c>
      <c r="I19" s="51" t="s">
        <v>82</v>
      </c>
      <c r="J19" s="51" t="s">
        <v>232</v>
      </c>
      <c r="K19" s="51" t="s">
        <v>179</v>
      </c>
      <c r="L19" s="51" t="s">
        <v>232</v>
      </c>
      <c r="M19" s="51" t="s">
        <v>179</v>
      </c>
      <c r="N19" s="56" t="s">
        <v>187</v>
      </c>
    </row>
    <row r="20" spans="1:14" s="18" customFormat="1" ht="64" customHeight="1">
      <c r="A20" s="146"/>
      <c r="B20" s="40" t="s">
        <v>81</v>
      </c>
      <c r="C20" s="42" t="s">
        <v>41</v>
      </c>
      <c r="D20" s="42" t="s">
        <v>41</v>
      </c>
      <c r="E20" s="51" t="s">
        <v>307</v>
      </c>
      <c r="F20" s="40" t="s">
        <v>54</v>
      </c>
      <c r="G20" s="51" t="s">
        <v>307</v>
      </c>
      <c r="H20" s="50" t="s">
        <v>101</v>
      </c>
      <c r="I20" s="51" t="s">
        <v>82</v>
      </c>
      <c r="J20" s="51" t="s">
        <v>307</v>
      </c>
      <c r="K20" s="40" t="s">
        <v>102</v>
      </c>
      <c r="L20" s="51" t="s">
        <v>307</v>
      </c>
      <c r="M20" s="40" t="s">
        <v>102</v>
      </c>
      <c r="N20" s="55" t="s">
        <v>103</v>
      </c>
    </row>
    <row r="21" spans="1:14" s="18" customFormat="1" ht="64" customHeight="1">
      <c r="A21" s="146"/>
      <c r="B21" s="40" t="s">
        <v>66</v>
      </c>
      <c r="C21" s="42" t="s">
        <v>41</v>
      </c>
      <c r="D21" s="42" t="s">
        <v>41</v>
      </c>
      <c r="E21" s="42" t="s">
        <v>41</v>
      </c>
      <c r="F21" s="40" t="s">
        <v>237</v>
      </c>
      <c r="G21" s="51" t="s">
        <v>177</v>
      </c>
      <c r="H21" s="51" t="s">
        <v>320</v>
      </c>
      <c r="I21" s="51" t="s">
        <v>82</v>
      </c>
      <c r="J21" s="51" t="s">
        <v>177</v>
      </c>
      <c r="K21" s="51" t="s">
        <v>321</v>
      </c>
      <c r="L21" s="51" t="s">
        <v>177</v>
      </c>
      <c r="M21" s="51" t="s">
        <v>321</v>
      </c>
      <c r="N21" s="56" t="s">
        <v>238</v>
      </c>
    </row>
    <row r="22" spans="1:14" s="18" customFormat="1" ht="64" customHeight="1">
      <c r="A22" s="146"/>
      <c r="B22" s="40" t="s">
        <v>1</v>
      </c>
      <c r="C22" s="42" t="s">
        <v>41</v>
      </c>
      <c r="D22" s="42" t="s">
        <v>41</v>
      </c>
      <c r="E22" s="42" t="s">
        <v>41</v>
      </c>
      <c r="F22" s="40" t="s">
        <v>237</v>
      </c>
      <c r="G22" s="51" t="s">
        <v>509</v>
      </c>
      <c r="H22" s="51" t="s">
        <v>322</v>
      </c>
      <c r="I22" s="51" t="s">
        <v>82</v>
      </c>
      <c r="J22" s="51" t="s">
        <v>509</v>
      </c>
      <c r="K22" s="50" t="s">
        <v>323</v>
      </c>
      <c r="L22" s="51" t="s">
        <v>509</v>
      </c>
      <c r="M22" s="50" t="s">
        <v>323</v>
      </c>
      <c r="N22" s="56" t="s">
        <v>238</v>
      </c>
    </row>
    <row r="23" spans="1:14" s="18" customFormat="1" ht="64" customHeight="1">
      <c r="A23" s="146"/>
      <c r="B23" s="40" t="s">
        <v>1</v>
      </c>
      <c r="C23" s="42" t="s">
        <v>41</v>
      </c>
      <c r="D23" s="42" t="s">
        <v>41</v>
      </c>
      <c r="E23" s="42" t="s">
        <v>41</v>
      </c>
      <c r="F23" s="40" t="s">
        <v>237</v>
      </c>
      <c r="G23" s="51" t="s">
        <v>99</v>
      </c>
      <c r="H23" s="50" t="s">
        <v>239</v>
      </c>
      <c r="I23" s="51" t="s">
        <v>82</v>
      </c>
      <c r="J23" s="51" t="s">
        <v>99</v>
      </c>
      <c r="K23" s="50" t="s">
        <v>323</v>
      </c>
      <c r="L23" s="51" t="s">
        <v>99</v>
      </c>
      <c r="M23" s="50" t="s">
        <v>323</v>
      </c>
      <c r="N23" s="56" t="s">
        <v>238</v>
      </c>
    </row>
    <row r="24" spans="1:14" s="18" customFormat="1" ht="64" customHeight="1">
      <c r="A24" s="146"/>
      <c r="B24" s="40" t="s">
        <v>66</v>
      </c>
      <c r="C24" s="42" t="s">
        <v>41</v>
      </c>
      <c r="D24" s="42" t="s">
        <v>41</v>
      </c>
      <c r="E24" s="42" t="s">
        <v>41</v>
      </c>
      <c r="F24" s="40" t="s">
        <v>237</v>
      </c>
      <c r="G24" s="51" t="s">
        <v>178</v>
      </c>
      <c r="H24" s="50" t="s">
        <v>324</v>
      </c>
      <c r="I24" s="51" t="s">
        <v>82</v>
      </c>
      <c r="J24" s="51" t="s">
        <v>178</v>
      </c>
      <c r="K24" s="64" t="s">
        <v>86</v>
      </c>
      <c r="L24" s="51" t="s">
        <v>178</v>
      </c>
      <c r="M24" s="64" t="s">
        <v>86</v>
      </c>
      <c r="N24" s="56" t="s">
        <v>238</v>
      </c>
    </row>
    <row r="25" spans="1:14" s="18" customFormat="1" ht="46" customHeight="1">
      <c r="A25" s="145" t="s">
        <v>481</v>
      </c>
      <c r="B25" s="40" t="s">
        <v>66</v>
      </c>
      <c r="C25" s="53" t="s">
        <v>169</v>
      </c>
      <c r="D25" s="53" t="s">
        <v>170</v>
      </c>
      <c r="E25" s="40" t="s">
        <v>472</v>
      </c>
      <c r="F25" s="42" t="str">
        <f>D25&amp;"/"&amp;C25</f>
        <v>FAI 1/SPC A</v>
      </c>
      <c r="G25" s="40" t="s">
        <v>469</v>
      </c>
      <c r="H25" s="53" t="s">
        <v>108</v>
      </c>
      <c r="I25" s="51" t="s">
        <v>97</v>
      </c>
      <c r="J25" s="40" t="s">
        <v>469</v>
      </c>
      <c r="K25" s="40" t="s">
        <v>127</v>
      </c>
      <c r="L25" s="40" t="s">
        <v>469</v>
      </c>
      <c r="M25" s="40" t="s">
        <v>117</v>
      </c>
      <c r="N25" s="56" t="s">
        <v>129</v>
      </c>
    </row>
    <row r="26" spans="1:14" s="18" customFormat="1" ht="46" customHeight="1">
      <c r="A26" s="146"/>
      <c r="B26" s="40" t="s">
        <v>66</v>
      </c>
      <c r="C26" s="53" t="s">
        <v>110</v>
      </c>
      <c r="D26" s="53" t="s">
        <v>74</v>
      </c>
      <c r="E26" s="40" t="s">
        <v>467</v>
      </c>
      <c r="F26" s="42" t="str">
        <f t="shared" ref="F26:F28" si="2">D26&amp;"/"&amp;C26</f>
        <v>FAI 2/SPC B</v>
      </c>
      <c r="G26" s="40" t="s">
        <v>470</v>
      </c>
      <c r="H26" s="52" t="s">
        <v>104</v>
      </c>
      <c r="I26" s="51" t="s">
        <v>97</v>
      </c>
      <c r="J26" s="40" t="s">
        <v>470</v>
      </c>
      <c r="K26" s="40" t="s">
        <v>117</v>
      </c>
      <c r="L26" s="40" t="s">
        <v>470</v>
      </c>
      <c r="M26" s="40" t="s">
        <v>117</v>
      </c>
      <c r="N26" s="56" t="s">
        <v>129</v>
      </c>
    </row>
    <row r="27" spans="1:14" s="18" customFormat="1" ht="46" customHeight="1">
      <c r="A27" s="146"/>
      <c r="B27" s="40" t="s">
        <v>66</v>
      </c>
      <c r="C27" s="53" t="s">
        <v>112</v>
      </c>
      <c r="D27" s="53" t="s">
        <v>75</v>
      </c>
      <c r="E27" s="40" t="s">
        <v>468</v>
      </c>
      <c r="F27" s="42" t="str">
        <f t="shared" si="2"/>
        <v>FAI 3/SPC C</v>
      </c>
      <c r="G27" s="40" t="s">
        <v>471</v>
      </c>
      <c r="H27" s="52" t="s">
        <v>105</v>
      </c>
      <c r="I27" s="51" t="s">
        <v>97</v>
      </c>
      <c r="J27" s="40" t="s">
        <v>471</v>
      </c>
      <c r="K27" s="40" t="s">
        <v>70</v>
      </c>
      <c r="L27" s="40" t="s">
        <v>471</v>
      </c>
      <c r="M27" s="40" t="s">
        <v>69</v>
      </c>
      <c r="N27" s="56" t="s">
        <v>129</v>
      </c>
    </row>
    <row r="28" spans="1:14" s="18" customFormat="1" ht="46" customHeight="1">
      <c r="A28" s="146"/>
      <c r="B28" s="40" t="s">
        <v>63</v>
      </c>
      <c r="C28" s="53" t="s">
        <v>111</v>
      </c>
      <c r="D28" s="53" t="s">
        <v>109</v>
      </c>
      <c r="E28" s="40" t="s">
        <v>173</v>
      </c>
      <c r="F28" s="42" t="str">
        <f t="shared" si="2"/>
        <v>FAI 4/SPC D</v>
      </c>
      <c r="G28" s="40" t="s">
        <v>173</v>
      </c>
      <c r="H28" s="51" t="s">
        <v>309</v>
      </c>
      <c r="I28" s="51" t="s">
        <v>97</v>
      </c>
      <c r="J28" s="40" t="s">
        <v>173</v>
      </c>
      <c r="K28" s="40" t="s">
        <v>118</v>
      </c>
      <c r="L28" s="40" t="s">
        <v>173</v>
      </c>
      <c r="M28" s="40" t="s">
        <v>118</v>
      </c>
      <c r="N28" s="56" t="s">
        <v>129</v>
      </c>
    </row>
    <row r="29" spans="1:14" s="18" customFormat="1" ht="46" customHeight="1">
      <c r="A29" s="146"/>
      <c r="B29" s="17" t="s">
        <v>66</v>
      </c>
      <c r="C29" s="15" t="s">
        <v>41</v>
      </c>
      <c r="D29" s="96" t="s">
        <v>113</v>
      </c>
      <c r="E29" s="17" t="s">
        <v>295</v>
      </c>
      <c r="F29" s="96" t="s">
        <v>113</v>
      </c>
      <c r="G29" s="17" t="s">
        <v>295</v>
      </c>
      <c r="H29" s="95" t="s">
        <v>311</v>
      </c>
      <c r="I29" s="95" t="s">
        <v>97</v>
      </c>
      <c r="J29" s="17" t="s">
        <v>295</v>
      </c>
      <c r="K29" s="17" t="s">
        <v>117</v>
      </c>
      <c r="L29" s="17" t="s">
        <v>295</v>
      </c>
      <c r="M29" s="17" t="s">
        <v>117</v>
      </c>
      <c r="N29" s="101" t="s">
        <v>129</v>
      </c>
    </row>
    <row r="30" spans="1:14" s="18" customFormat="1" ht="46" customHeight="1">
      <c r="A30" s="146"/>
      <c r="B30" s="17" t="s">
        <v>66</v>
      </c>
      <c r="C30" s="15" t="s">
        <v>41</v>
      </c>
      <c r="D30" s="96" t="s">
        <v>174</v>
      </c>
      <c r="E30" s="17" t="s">
        <v>175</v>
      </c>
      <c r="F30" s="96" t="s">
        <v>174</v>
      </c>
      <c r="G30" s="17" t="s">
        <v>175</v>
      </c>
      <c r="H30" s="95" t="s">
        <v>312</v>
      </c>
      <c r="I30" s="95" t="s">
        <v>97</v>
      </c>
      <c r="J30" s="17" t="s">
        <v>303</v>
      </c>
      <c r="K30" s="17" t="s">
        <v>117</v>
      </c>
      <c r="L30" s="17" t="s">
        <v>303</v>
      </c>
      <c r="M30" s="17" t="s">
        <v>117</v>
      </c>
      <c r="N30" s="101" t="s">
        <v>138</v>
      </c>
    </row>
    <row r="31" spans="1:14" s="18" customFormat="1" ht="44" customHeight="1">
      <c r="A31" s="146"/>
      <c r="B31" s="40" t="s">
        <v>1</v>
      </c>
      <c r="C31" s="42" t="s">
        <v>41</v>
      </c>
      <c r="D31" s="42" t="s">
        <v>41</v>
      </c>
      <c r="E31" s="42" t="s">
        <v>41</v>
      </c>
      <c r="F31" s="40" t="s">
        <v>54</v>
      </c>
      <c r="G31" s="51" t="s">
        <v>92</v>
      </c>
      <c r="H31" s="51" t="s">
        <v>313</v>
      </c>
      <c r="I31" s="51" t="s">
        <v>82</v>
      </c>
      <c r="J31" s="51" t="s">
        <v>92</v>
      </c>
      <c r="K31" s="51" t="s">
        <v>314</v>
      </c>
      <c r="L31" s="51" t="s">
        <v>92</v>
      </c>
      <c r="M31" s="51" t="s">
        <v>314</v>
      </c>
      <c r="N31" s="56" t="s">
        <v>138</v>
      </c>
    </row>
    <row r="32" spans="1:14" s="18" customFormat="1" ht="46" customHeight="1">
      <c r="A32" s="146"/>
      <c r="B32" s="40" t="s">
        <v>91</v>
      </c>
      <c r="C32" s="42" t="s">
        <v>41</v>
      </c>
      <c r="D32" s="42" t="s">
        <v>41</v>
      </c>
      <c r="E32" s="42" t="s">
        <v>41</v>
      </c>
      <c r="F32" s="40" t="s">
        <v>54</v>
      </c>
      <c r="G32" s="51" t="s">
        <v>95</v>
      </c>
      <c r="H32" s="51" t="s">
        <v>315</v>
      </c>
      <c r="I32" s="51" t="s">
        <v>82</v>
      </c>
      <c r="J32" s="51" t="s">
        <v>95</v>
      </c>
      <c r="K32" s="51" t="s">
        <v>316</v>
      </c>
      <c r="L32" s="51" t="s">
        <v>95</v>
      </c>
      <c r="M32" s="51" t="s">
        <v>316</v>
      </c>
      <c r="N32" s="56" t="s">
        <v>138</v>
      </c>
    </row>
    <row r="33" spans="1:22" s="18" customFormat="1" ht="46" customHeight="1">
      <c r="A33" s="146"/>
      <c r="B33" s="40" t="s">
        <v>91</v>
      </c>
      <c r="C33" s="42" t="s">
        <v>41</v>
      </c>
      <c r="D33" s="42" t="s">
        <v>41</v>
      </c>
      <c r="E33" s="42" t="s">
        <v>41</v>
      </c>
      <c r="F33" s="40" t="s">
        <v>54</v>
      </c>
      <c r="G33" s="51" t="s">
        <v>115</v>
      </c>
      <c r="H33" s="51" t="s">
        <v>317</v>
      </c>
      <c r="I33" s="51" t="s">
        <v>97</v>
      </c>
      <c r="J33" s="51" t="s">
        <v>115</v>
      </c>
      <c r="K33" s="51" t="s">
        <v>318</v>
      </c>
      <c r="L33" s="51" t="s">
        <v>115</v>
      </c>
      <c r="M33" s="51" t="s">
        <v>318</v>
      </c>
      <c r="N33" s="56" t="s">
        <v>138</v>
      </c>
    </row>
    <row r="34" spans="1:22" s="18" customFormat="1" ht="83" customHeight="1">
      <c r="A34" s="146"/>
      <c r="B34" s="40" t="s">
        <v>1</v>
      </c>
      <c r="C34" s="42" t="s">
        <v>41</v>
      </c>
      <c r="D34" s="42" t="s">
        <v>41</v>
      </c>
      <c r="E34" s="42" t="s">
        <v>41</v>
      </c>
      <c r="F34" s="40" t="s">
        <v>54</v>
      </c>
      <c r="G34" s="51" t="s">
        <v>99</v>
      </c>
      <c r="H34" s="50" t="s">
        <v>325</v>
      </c>
      <c r="I34" s="51" t="s">
        <v>82</v>
      </c>
      <c r="J34" s="51" t="s">
        <v>99</v>
      </c>
      <c r="K34" s="50" t="s">
        <v>323</v>
      </c>
      <c r="L34" s="51" t="s">
        <v>99</v>
      </c>
      <c r="M34" s="50" t="s">
        <v>323</v>
      </c>
      <c r="N34" s="56" t="s">
        <v>138</v>
      </c>
    </row>
    <row r="35" spans="1:22" s="18" customFormat="1" ht="64" customHeight="1">
      <c r="A35" s="146"/>
      <c r="B35" s="40" t="s">
        <v>1</v>
      </c>
      <c r="C35" s="42" t="s">
        <v>41</v>
      </c>
      <c r="D35" s="42" t="s">
        <v>41</v>
      </c>
      <c r="E35" s="42" t="s">
        <v>41</v>
      </c>
      <c r="F35" s="40" t="s">
        <v>54</v>
      </c>
      <c r="G35" s="51" t="s">
        <v>509</v>
      </c>
      <c r="H35" s="51" t="s">
        <v>322</v>
      </c>
      <c r="I35" s="51" t="s">
        <v>82</v>
      </c>
      <c r="J35" s="51" t="s">
        <v>509</v>
      </c>
      <c r="K35" s="50" t="s">
        <v>323</v>
      </c>
      <c r="L35" s="51" t="s">
        <v>509</v>
      </c>
      <c r="M35" s="50" t="s">
        <v>323</v>
      </c>
      <c r="N35" s="56" t="s">
        <v>138</v>
      </c>
    </row>
    <row r="36" spans="1:22" s="18" customFormat="1" ht="64" customHeight="1">
      <c r="A36" s="146"/>
      <c r="B36" s="40" t="s">
        <v>91</v>
      </c>
      <c r="C36" s="42" t="s">
        <v>41</v>
      </c>
      <c r="D36" s="42" t="s">
        <v>41</v>
      </c>
      <c r="E36" s="42" t="s">
        <v>41</v>
      </c>
      <c r="F36" s="40"/>
      <c r="G36" s="51" t="s">
        <v>326</v>
      </c>
      <c r="H36" s="50" t="s">
        <v>327</v>
      </c>
      <c r="I36" s="51" t="s">
        <v>82</v>
      </c>
      <c r="J36" s="51" t="s">
        <v>326</v>
      </c>
      <c r="K36" s="50" t="s">
        <v>319</v>
      </c>
      <c r="L36" s="51" t="s">
        <v>326</v>
      </c>
      <c r="M36" s="50" t="s">
        <v>319</v>
      </c>
      <c r="N36" s="56" t="s">
        <v>187</v>
      </c>
    </row>
    <row r="37" spans="1:22" s="18" customFormat="1" ht="30">
      <c r="A37" s="148"/>
      <c r="B37" s="40" t="s">
        <v>81</v>
      </c>
      <c r="C37" s="42" t="s">
        <v>41</v>
      </c>
      <c r="D37" s="42" t="s">
        <v>41</v>
      </c>
      <c r="E37" s="51" t="s">
        <v>307</v>
      </c>
      <c r="F37" s="40" t="s">
        <v>54</v>
      </c>
      <c r="G37" s="51" t="s">
        <v>307</v>
      </c>
      <c r="H37" s="50" t="s">
        <v>101</v>
      </c>
      <c r="I37" s="51" t="s">
        <v>82</v>
      </c>
      <c r="J37" s="51" t="s">
        <v>307</v>
      </c>
      <c r="K37" s="40" t="s">
        <v>102</v>
      </c>
      <c r="L37" s="51" t="s">
        <v>307</v>
      </c>
      <c r="M37" s="40" t="s">
        <v>102</v>
      </c>
      <c r="N37" s="55" t="s">
        <v>103</v>
      </c>
    </row>
    <row r="38" spans="1:22" s="18" customFormat="1" ht="40" customHeight="1">
      <c r="A38" s="147" t="s">
        <v>186</v>
      </c>
      <c r="B38" s="40" t="s">
        <v>91</v>
      </c>
      <c r="C38" s="40" t="s">
        <v>54</v>
      </c>
      <c r="D38" s="40" t="s">
        <v>54</v>
      </c>
      <c r="E38" s="40" t="s">
        <v>54</v>
      </c>
      <c r="F38" s="51" t="s">
        <v>54</v>
      </c>
      <c r="G38" s="51" t="s">
        <v>115</v>
      </c>
      <c r="H38" s="103" t="s">
        <v>144</v>
      </c>
      <c r="I38" s="51" t="s">
        <v>97</v>
      </c>
      <c r="J38" s="17"/>
      <c r="K38" s="17"/>
      <c r="L38" s="51" t="s">
        <v>115</v>
      </c>
      <c r="M38" s="19" t="s">
        <v>98</v>
      </c>
      <c r="N38" s="19" t="s">
        <v>128</v>
      </c>
    </row>
    <row r="39" spans="1:22" s="18" customFormat="1" ht="48" customHeight="1">
      <c r="A39" s="146"/>
      <c r="B39" s="40" t="s">
        <v>63</v>
      </c>
      <c r="C39" s="40" t="s">
        <v>106</v>
      </c>
      <c r="D39" s="40" t="s">
        <v>109</v>
      </c>
      <c r="E39" s="40" t="s">
        <v>172</v>
      </c>
      <c r="F39" s="42" t="s">
        <v>181</v>
      </c>
      <c r="G39" s="40" t="s">
        <v>172</v>
      </c>
      <c r="H39" s="51" t="s">
        <v>309</v>
      </c>
      <c r="I39" s="51" t="s">
        <v>97</v>
      </c>
      <c r="J39" s="17" t="s">
        <v>172</v>
      </c>
      <c r="K39" s="17" t="s">
        <v>118</v>
      </c>
      <c r="L39" s="17" t="s">
        <v>172</v>
      </c>
      <c r="M39" s="19" t="s">
        <v>118</v>
      </c>
      <c r="N39" s="68" t="s">
        <v>183</v>
      </c>
    </row>
    <row r="40" spans="1:22" s="18" customFormat="1" ht="48" customHeight="1">
      <c r="A40" s="146"/>
      <c r="B40" s="40" t="s">
        <v>63</v>
      </c>
      <c r="C40" s="40" t="s">
        <v>114</v>
      </c>
      <c r="D40" s="40" t="s">
        <v>107</v>
      </c>
      <c r="E40" s="40" t="s">
        <v>503</v>
      </c>
      <c r="F40" s="42" t="s">
        <v>182</v>
      </c>
      <c r="G40" s="40" t="s">
        <v>176</v>
      </c>
      <c r="H40" s="51" t="s">
        <v>310</v>
      </c>
      <c r="I40" s="51" t="s">
        <v>97</v>
      </c>
      <c r="J40" s="17" t="s">
        <v>349</v>
      </c>
      <c r="K40" s="17" t="s">
        <v>118</v>
      </c>
      <c r="L40" s="17" t="s">
        <v>349</v>
      </c>
      <c r="M40" s="19" t="s">
        <v>118</v>
      </c>
      <c r="N40" s="68" t="s">
        <v>183</v>
      </c>
    </row>
    <row r="41" spans="1:22" s="18" customFormat="1" ht="56" customHeight="1">
      <c r="A41" s="146"/>
      <c r="B41" s="40" t="s">
        <v>63</v>
      </c>
      <c r="C41" s="42" t="s">
        <v>41</v>
      </c>
      <c r="D41" s="42" t="s">
        <v>41</v>
      </c>
      <c r="E41" s="42" t="s">
        <v>41</v>
      </c>
      <c r="F41" s="51" t="s">
        <v>54</v>
      </c>
      <c r="G41" s="51" t="s">
        <v>54</v>
      </c>
      <c r="H41" s="113" t="s">
        <v>482</v>
      </c>
      <c r="I41" s="51" t="s">
        <v>97</v>
      </c>
      <c r="J41" s="51" t="s">
        <v>54</v>
      </c>
      <c r="K41" s="51" t="s">
        <v>54</v>
      </c>
      <c r="L41" s="17" t="s">
        <v>123</v>
      </c>
      <c r="M41" s="19" t="s">
        <v>122</v>
      </c>
      <c r="N41" s="69">
        <v>1</v>
      </c>
    </row>
    <row r="42" spans="1:22" s="18" customFormat="1" ht="88" customHeight="1">
      <c r="A42" s="148"/>
      <c r="B42" s="40" t="s">
        <v>63</v>
      </c>
      <c r="C42" s="42" t="s">
        <v>41</v>
      </c>
      <c r="D42" s="42" t="s">
        <v>41</v>
      </c>
      <c r="E42" s="42" t="s">
        <v>41</v>
      </c>
      <c r="F42" s="51" t="s">
        <v>54</v>
      </c>
      <c r="G42" s="51" t="s">
        <v>54</v>
      </c>
      <c r="H42" s="77" t="s">
        <v>328</v>
      </c>
      <c r="I42" s="51" t="s">
        <v>97</v>
      </c>
      <c r="J42" s="51" t="s">
        <v>54</v>
      </c>
      <c r="K42" s="51" t="s">
        <v>54</v>
      </c>
      <c r="L42" s="17" t="s">
        <v>124</v>
      </c>
      <c r="M42" s="17" t="s">
        <v>121</v>
      </c>
      <c r="N42" s="69">
        <v>1</v>
      </c>
    </row>
    <row r="43" spans="1:22" s="18" customFormat="1" ht="51" customHeight="1">
      <c r="A43" s="147" t="s">
        <v>185</v>
      </c>
      <c r="B43" s="40" t="s">
        <v>66</v>
      </c>
      <c r="C43" s="40" t="s">
        <v>54</v>
      </c>
      <c r="D43" s="40" t="s">
        <v>54</v>
      </c>
      <c r="E43" s="40" t="s">
        <v>54</v>
      </c>
      <c r="F43" s="40" t="s">
        <v>54</v>
      </c>
      <c r="G43" s="40" t="s">
        <v>54</v>
      </c>
      <c r="H43" s="51" t="s">
        <v>120</v>
      </c>
      <c r="I43" s="51" t="s">
        <v>97</v>
      </c>
      <c r="J43" s="40" t="s">
        <v>54</v>
      </c>
      <c r="K43" s="19" t="s">
        <v>126</v>
      </c>
      <c r="L43" s="17" t="s">
        <v>125</v>
      </c>
      <c r="M43" s="19" t="s">
        <v>126</v>
      </c>
      <c r="N43" s="69">
        <v>1</v>
      </c>
    </row>
    <row r="44" spans="1:22" s="18" customFormat="1" ht="51" customHeight="1">
      <c r="A44" s="146"/>
      <c r="B44" s="40" t="s">
        <v>1</v>
      </c>
      <c r="C44" s="40" t="s">
        <v>54</v>
      </c>
      <c r="D44" s="40" t="s">
        <v>54</v>
      </c>
      <c r="E44" s="40" t="s">
        <v>54</v>
      </c>
      <c r="F44" s="51" t="s">
        <v>54</v>
      </c>
      <c r="G44" s="51" t="s">
        <v>92</v>
      </c>
      <c r="H44" s="51" t="s">
        <v>93</v>
      </c>
      <c r="I44" s="51" t="s">
        <v>82</v>
      </c>
      <c r="J44" s="51" t="s">
        <v>92</v>
      </c>
      <c r="K44" s="19" t="s">
        <v>94</v>
      </c>
      <c r="L44" s="17" t="s">
        <v>92</v>
      </c>
      <c r="M44" s="19" t="s">
        <v>94</v>
      </c>
      <c r="N44" s="84" t="s">
        <v>184</v>
      </c>
    </row>
    <row r="45" spans="1:22" s="18" customFormat="1" ht="51" customHeight="1">
      <c r="A45" s="146"/>
      <c r="B45" s="40" t="s">
        <v>91</v>
      </c>
      <c r="C45" s="42" t="s">
        <v>41</v>
      </c>
      <c r="D45" s="42" t="s">
        <v>41</v>
      </c>
      <c r="E45" s="42" t="s">
        <v>41</v>
      </c>
      <c r="F45" s="40" t="s">
        <v>54</v>
      </c>
      <c r="G45" s="51" t="s">
        <v>115</v>
      </c>
      <c r="H45" s="51" t="s">
        <v>317</v>
      </c>
      <c r="I45" s="51" t="s">
        <v>97</v>
      </c>
      <c r="J45" s="51" t="s">
        <v>115</v>
      </c>
      <c r="K45" s="51" t="s">
        <v>318</v>
      </c>
      <c r="L45" s="51" t="s">
        <v>115</v>
      </c>
      <c r="M45" s="51" t="s">
        <v>318</v>
      </c>
      <c r="N45" s="68" t="s">
        <v>184</v>
      </c>
    </row>
    <row r="46" spans="1:22" s="18" customFormat="1" ht="30">
      <c r="A46" s="148"/>
      <c r="B46" s="40" t="s">
        <v>81</v>
      </c>
      <c r="C46" s="42" t="s">
        <v>41</v>
      </c>
      <c r="D46" s="42" t="s">
        <v>41</v>
      </c>
      <c r="E46" s="51" t="s">
        <v>307</v>
      </c>
      <c r="F46" s="40" t="s">
        <v>54</v>
      </c>
      <c r="G46" s="51" t="s">
        <v>307</v>
      </c>
      <c r="H46" s="50" t="s">
        <v>101</v>
      </c>
      <c r="I46" s="51" t="s">
        <v>82</v>
      </c>
      <c r="J46" s="42" t="s">
        <v>307</v>
      </c>
      <c r="K46" s="15" t="s">
        <v>126</v>
      </c>
      <c r="L46" s="42" t="s">
        <v>307</v>
      </c>
      <c r="M46" s="15" t="s">
        <v>126</v>
      </c>
      <c r="N46" s="67">
        <v>1</v>
      </c>
    </row>
    <row r="47" spans="1:22" ht="38" customHeight="1">
      <c r="A47" s="104" t="s">
        <v>329</v>
      </c>
      <c r="B47" s="17" t="s">
        <v>66</v>
      </c>
      <c r="C47" s="17" t="s">
        <v>54</v>
      </c>
      <c r="D47" s="17" t="s">
        <v>54</v>
      </c>
      <c r="E47" s="17" t="s">
        <v>54</v>
      </c>
      <c r="F47" s="17" t="s">
        <v>54</v>
      </c>
      <c r="G47" s="17" t="s">
        <v>54</v>
      </c>
      <c r="H47" s="95" t="s">
        <v>279</v>
      </c>
      <c r="I47" s="95" t="s">
        <v>97</v>
      </c>
      <c r="J47" s="17" t="s">
        <v>54</v>
      </c>
      <c r="K47" s="19" t="s">
        <v>126</v>
      </c>
      <c r="L47" s="17" t="s">
        <v>125</v>
      </c>
      <c r="M47" s="19" t="s">
        <v>126</v>
      </c>
      <c r="N47" s="100">
        <v>1</v>
      </c>
      <c r="O47" s="18"/>
      <c r="P47" s="18"/>
      <c r="Q47" s="18"/>
      <c r="R47" s="18"/>
      <c r="S47" s="18"/>
      <c r="T47" s="18"/>
      <c r="U47" s="18"/>
      <c r="V47" s="18"/>
    </row>
    <row r="48" spans="1:22" s="18" customFormat="1" ht="50" customHeight="1">
      <c r="A48" s="104" t="s">
        <v>330</v>
      </c>
      <c r="B48" s="81" t="s">
        <v>63</v>
      </c>
      <c r="C48" s="81" t="s">
        <v>158</v>
      </c>
      <c r="D48" s="81" t="s">
        <v>158</v>
      </c>
      <c r="E48" s="81" t="s">
        <v>158</v>
      </c>
      <c r="F48" s="81" t="s">
        <v>158</v>
      </c>
      <c r="G48" s="81" t="s">
        <v>158</v>
      </c>
      <c r="H48" s="113" t="s">
        <v>482</v>
      </c>
      <c r="I48" s="81" t="s">
        <v>97</v>
      </c>
      <c r="J48" s="79" t="s">
        <v>123</v>
      </c>
      <c r="K48" s="83" t="s">
        <v>122</v>
      </c>
      <c r="L48" s="79" t="s">
        <v>123</v>
      </c>
      <c r="M48" s="83" t="s">
        <v>122</v>
      </c>
      <c r="N48" s="84" t="s">
        <v>236</v>
      </c>
    </row>
    <row r="49" spans="1:18" s="18" customFormat="1" ht="75">
      <c r="A49" s="106" t="s">
        <v>331</v>
      </c>
      <c r="B49" s="81" t="s">
        <v>63</v>
      </c>
      <c r="C49" s="81" t="s">
        <v>158</v>
      </c>
      <c r="D49" s="81" t="s">
        <v>158</v>
      </c>
      <c r="E49" s="81" t="s">
        <v>158</v>
      </c>
      <c r="F49" s="81" t="s">
        <v>158</v>
      </c>
      <c r="G49" s="81" t="s">
        <v>158</v>
      </c>
      <c r="H49" s="81" t="s">
        <v>308</v>
      </c>
      <c r="I49" s="81" t="s">
        <v>97</v>
      </c>
      <c r="J49" s="79" t="s">
        <v>124</v>
      </c>
      <c r="K49" s="79" t="s">
        <v>121</v>
      </c>
      <c r="L49" s="79" t="s">
        <v>124</v>
      </c>
      <c r="M49" s="79" t="s">
        <v>121</v>
      </c>
      <c r="N49" s="100">
        <v>1</v>
      </c>
    </row>
    <row r="50" spans="1:18" s="18" customFormat="1" ht="63">
      <c r="A50" s="106" t="s">
        <v>333</v>
      </c>
      <c r="B50" s="81" t="s">
        <v>63</v>
      </c>
      <c r="C50" s="81" t="s">
        <v>158</v>
      </c>
      <c r="D50" s="81" t="s">
        <v>158</v>
      </c>
      <c r="E50" s="81" t="s">
        <v>158</v>
      </c>
      <c r="F50" s="81" t="s">
        <v>158</v>
      </c>
      <c r="G50" s="81" t="s">
        <v>158</v>
      </c>
      <c r="H50" s="81" t="s">
        <v>334</v>
      </c>
      <c r="I50" s="81" t="s">
        <v>97</v>
      </c>
      <c r="J50" s="107" t="s">
        <v>335</v>
      </c>
      <c r="K50" s="79" t="s">
        <v>121</v>
      </c>
      <c r="L50" s="79" t="s">
        <v>336</v>
      </c>
      <c r="M50" s="79" t="s">
        <v>121</v>
      </c>
      <c r="N50" s="100">
        <v>1</v>
      </c>
    </row>
    <row r="51" spans="1:18" s="18" customFormat="1" ht="34" customHeight="1">
      <c r="A51" s="105" t="s">
        <v>332</v>
      </c>
      <c r="B51" s="81" t="s">
        <v>81</v>
      </c>
      <c r="C51" s="81" t="s">
        <v>158</v>
      </c>
      <c r="D51" s="81" t="s">
        <v>158</v>
      </c>
      <c r="E51" s="81" t="s">
        <v>307</v>
      </c>
      <c r="F51" s="81" t="s">
        <v>158</v>
      </c>
      <c r="G51" s="81" t="s">
        <v>307</v>
      </c>
      <c r="H51" s="81" t="s">
        <v>101</v>
      </c>
      <c r="I51" s="81" t="s">
        <v>82</v>
      </c>
      <c r="J51" s="81" t="s">
        <v>307</v>
      </c>
      <c r="K51" s="81" t="s">
        <v>126</v>
      </c>
      <c r="L51" s="85" t="s">
        <v>307</v>
      </c>
      <c r="M51" s="79" t="s">
        <v>126</v>
      </c>
      <c r="N51" s="84" t="s">
        <v>473</v>
      </c>
      <c r="O51" s="13"/>
      <c r="P51" s="13"/>
      <c r="Q51" s="13"/>
      <c r="R51" s="13"/>
    </row>
  </sheetData>
  <sheetProtection formatColumns="0" sort="0" autoFilter="0" pivotTables="0"/>
  <dataConsolidate/>
  <mergeCells count="11">
    <mergeCell ref="A8:A24"/>
    <mergeCell ref="A38:A42"/>
    <mergeCell ref="A25:A37"/>
    <mergeCell ref="A43:A46"/>
    <mergeCell ref="J4:N4"/>
    <mergeCell ref="A6:A7"/>
    <mergeCell ref="B6:B7"/>
    <mergeCell ref="C6:E6"/>
    <mergeCell ref="F6:I6"/>
    <mergeCell ref="J6:K6"/>
    <mergeCell ref="L6:N6"/>
  </mergeCells>
  <phoneticPr fontId="14" type="noConversion"/>
  <dataValidations count="2">
    <dataValidation type="list" allowBlank="1" showInputMessage="1" showErrorMessage="1" sqref="I8:I51" xr:uid="{4D1EDC79-A2A8-094E-9728-FD225D092FF3}">
      <formula1>"Critical to ID feature, Critical to FATP, Critical to downstream assembly, NUD (new/unique/difficult), Not CTQ,Critical to Module"</formula1>
    </dataValidation>
    <dataValidation type="list" allowBlank="1" showInputMessage="1" showErrorMessage="1" sqref="B8:B51" xr:uid="{DE21351E-2E27-B145-B5A2-7353BB45B9C1}">
      <formula1>"Dim, Cos, Function, ORT, Rel"</formula1>
    </dataValidation>
  </dataValidations>
  <pageMargins left="0" right="0" top="0" bottom="0" header="0" footer="0"/>
  <pageSetup scale="53" orientation="landscape"/>
  <rowBreaks count="1" manualBreakCount="1">
    <brk id="4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3F66-A059-C445-9133-0716E2D13E09}">
  <dimension ref="A1:L70"/>
  <sheetViews>
    <sheetView showGridLines="0" showRuler="0" zoomScale="93" zoomScaleNormal="100" zoomScaleSheetLayoutView="55" workbookViewId="0">
      <selection activeCell="A8" sqref="A8:A20"/>
    </sheetView>
  </sheetViews>
  <sheetFormatPr baseColWidth="10" defaultColWidth="8.83203125" defaultRowHeight="22" customHeight="1"/>
  <cols>
    <col min="1" max="4" width="25.83203125" style="13" customWidth="1"/>
    <col min="5" max="5" width="25.83203125" style="14" customWidth="1"/>
    <col min="6" max="8" width="25.83203125" style="13" customWidth="1"/>
    <col min="9" max="16384" width="8.83203125" style="13"/>
  </cols>
  <sheetData>
    <row r="1" spans="1:12" s="20" customFormat="1" ht="24" customHeight="1">
      <c r="A1" s="11" t="s">
        <v>6</v>
      </c>
      <c r="B1" s="11" t="s">
        <v>8</v>
      </c>
      <c r="C1" s="9"/>
      <c r="D1" s="9"/>
      <c r="E1" s="9"/>
      <c r="F1" s="9"/>
      <c r="G1" s="9"/>
      <c r="H1" s="9"/>
    </row>
    <row r="2" spans="1:12" s="20" customFormat="1" ht="24" customHeight="1">
      <c r="A2" s="21" t="str">
        <f>IF(Revision!A4="","",Revision!A4)</f>
        <v>R240</v>
      </c>
      <c r="B2" s="21" t="str">
        <f>IF(Revision!B4="","",Revision!B4)</f>
        <v>DVT</v>
      </c>
      <c r="C2" s="7"/>
      <c r="D2" s="9"/>
      <c r="E2" s="9"/>
      <c r="F2" s="9"/>
      <c r="G2" s="9"/>
      <c r="H2" s="9"/>
    </row>
    <row r="3" spans="1:12" s="20" customFormat="1" ht="24" customHeight="1">
      <c r="A3" s="11" t="s">
        <v>18</v>
      </c>
      <c r="B3" s="11" t="s">
        <v>60</v>
      </c>
      <c r="C3" s="9"/>
      <c r="D3" s="9"/>
      <c r="E3" s="9"/>
      <c r="F3" s="9"/>
      <c r="G3" s="9"/>
      <c r="H3" s="9"/>
    </row>
    <row r="4" spans="1:12" s="20" customFormat="1" ht="24" customHeight="1">
      <c r="A4" s="43" t="str">
        <f>IF(Revision!A10="","",Revision!A10)</f>
        <v>099-53721-08</v>
      </c>
      <c r="B4" s="21" t="str">
        <f>IF(Revision!B10="","",Revision!B10)</f>
        <v>OQC</v>
      </c>
      <c r="C4" s="7"/>
      <c r="D4" s="9"/>
      <c r="E4" s="6"/>
      <c r="F4" s="6"/>
      <c r="G4" s="6"/>
      <c r="H4" s="6"/>
    </row>
    <row r="5" spans="1:12" s="20" customFormat="1" ht="7" customHeight="1">
      <c r="E5" s="22"/>
    </row>
    <row r="6" spans="1:12" s="23" customFormat="1" ht="37" customHeight="1">
      <c r="A6" s="124" t="s">
        <v>21</v>
      </c>
      <c r="B6" s="124" t="s">
        <v>18</v>
      </c>
      <c r="C6" s="124" t="s">
        <v>62</v>
      </c>
      <c r="D6" s="123" t="s">
        <v>25</v>
      </c>
      <c r="E6" s="124" t="s">
        <v>28</v>
      </c>
      <c r="F6" s="126" t="s">
        <v>52</v>
      </c>
      <c r="G6" s="127"/>
      <c r="H6" s="128"/>
    </row>
    <row r="7" spans="1:12" s="23" customFormat="1" ht="22" customHeight="1">
      <c r="A7" s="125"/>
      <c r="B7" s="125"/>
      <c r="C7" s="125"/>
      <c r="D7" s="123"/>
      <c r="E7" s="125"/>
      <c r="F7" s="24" t="s">
        <v>39</v>
      </c>
      <c r="G7" s="25" t="s">
        <v>22</v>
      </c>
      <c r="H7" s="25" t="s">
        <v>19</v>
      </c>
    </row>
    <row r="8" spans="1:12" s="18" customFormat="1" ht="42" customHeight="1">
      <c r="A8" s="149" t="s">
        <v>507</v>
      </c>
      <c r="B8" s="139" t="str">
        <f>A4</f>
        <v>099-53721-08</v>
      </c>
      <c r="C8" s="15">
        <v>1</v>
      </c>
      <c r="D8" s="15" t="s">
        <v>66</v>
      </c>
      <c r="E8" s="51" t="s">
        <v>474</v>
      </c>
      <c r="F8" s="17" t="s">
        <v>127</v>
      </c>
      <c r="G8" s="40" t="s">
        <v>137</v>
      </c>
      <c r="H8" s="41" t="s">
        <v>139</v>
      </c>
      <c r="L8" s="57"/>
    </row>
    <row r="9" spans="1:12" s="18" customFormat="1" ht="42" customHeight="1">
      <c r="A9" s="150"/>
      <c r="B9" s="140"/>
      <c r="C9" s="15">
        <v>1</v>
      </c>
      <c r="D9" s="15" t="s">
        <v>66</v>
      </c>
      <c r="E9" s="51" t="s">
        <v>475</v>
      </c>
      <c r="F9" s="17" t="s">
        <v>127</v>
      </c>
      <c r="G9" s="40" t="s">
        <v>137</v>
      </c>
      <c r="H9" s="41" t="s">
        <v>139</v>
      </c>
      <c r="L9" s="57"/>
    </row>
    <row r="10" spans="1:12" s="18" customFormat="1" ht="42" customHeight="1">
      <c r="A10" s="150"/>
      <c r="B10" s="140"/>
      <c r="C10" s="15">
        <v>1</v>
      </c>
      <c r="D10" s="15" t="s">
        <v>66</v>
      </c>
      <c r="E10" s="51" t="s">
        <v>476</v>
      </c>
      <c r="F10" s="17" t="s">
        <v>70</v>
      </c>
      <c r="G10" s="40" t="s">
        <v>137</v>
      </c>
      <c r="H10" s="41" t="s">
        <v>139</v>
      </c>
      <c r="L10" s="57"/>
    </row>
    <row r="11" spans="1:12" s="18" customFormat="1" ht="42" customHeight="1">
      <c r="A11" s="150"/>
      <c r="B11" s="140"/>
      <c r="C11" s="15">
        <v>1</v>
      </c>
      <c r="D11" s="15" t="s">
        <v>63</v>
      </c>
      <c r="E11" s="51" t="s">
        <v>505</v>
      </c>
      <c r="F11" s="19" t="s">
        <v>118</v>
      </c>
      <c r="G11" s="40" t="s">
        <v>137</v>
      </c>
      <c r="H11" s="41" t="s">
        <v>139</v>
      </c>
      <c r="L11" s="57"/>
    </row>
    <row r="12" spans="1:12" s="18" customFormat="1" ht="42" customHeight="1">
      <c r="A12" s="150"/>
      <c r="B12" s="140"/>
      <c r="C12" s="15">
        <v>1</v>
      </c>
      <c r="D12" s="15" t="s">
        <v>63</v>
      </c>
      <c r="E12" s="51" t="s">
        <v>504</v>
      </c>
      <c r="F12" s="19" t="s">
        <v>118</v>
      </c>
      <c r="G12" s="40" t="s">
        <v>137</v>
      </c>
      <c r="H12" s="41" t="s">
        <v>351</v>
      </c>
      <c r="L12" s="57"/>
    </row>
    <row r="13" spans="1:12" s="18" customFormat="1" ht="42" customHeight="1">
      <c r="A13" s="150"/>
      <c r="B13" s="140"/>
      <c r="C13" s="15">
        <v>1</v>
      </c>
      <c r="D13" s="15" t="s">
        <v>66</v>
      </c>
      <c r="E13" s="95" t="s">
        <v>296</v>
      </c>
      <c r="F13" s="17" t="s">
        <v>127</v>
      </c>
      <c r="G13" s="40" t="s">
        <v>137</v>
      </c>
      <c r="H13" s="41" t="s">
        <v>188</v>
      </c>
      <c r="L13" s="57"/>
    </row>
    <row r="14" spans="1:12" s="18" customFormat="1" ht="42" customHeight="1">
      <c r="A14" s="150"/>
      <c r="B14" s="140"/>
      <c r="C14" s="15">
        <v>1</v>
      </c>
      <c r="D14" s="15" t="s">
        <v>66</v>
      </c>
      <c r="E14" s="95" t="s">
        <v>300</v>
      </c>
      <c r="F14" s="17" t="s">
        <v>127</v>
      </c>
      <c r="G14" s="40" t="s">
        <v>138</v>
      </c>
      <c r="H14" s="41" t="s">
        <v>188</v>
      </c>
      <c r="L14" s="57"/>
    </row>
    <row r="15" spans="1:12" s="18" customFormat="1" ht="42" customHeight="1">
      <c r="A15" s="150"/>
      <c r="B15" s="140"/>
      <c r="C15" s="15">
        <v>1</v>
      </c>
      <c r="D15" s="15" t="s">
        <v>63</v>
      </c>
      <c r="E15" s="16" t="s">
        <v>142</v>
      </c>
      <c r="F15" s="59" t="s">
        <v>140</v>
      </c>
      <c r="G15" s="58" t="s">
        <v>137</v>
      </c>
      <c r="H15" s="1" t="s">
        <v>64</v>
      </c>
      <c r="L15" s="57"/>
    </row>
    <row r="16" spans="1:12" s="18" customFormat="1" ht="42" customHeight="1">
      <c r="A16" s="150"/>
      <c r="B16" s="140"/>
      <c r="C16" s="15">
        <v>1</v>
      </c>
      <c r="D16" s="15" t="s">
        <v>63</v>
      </c>
      <c r="E16" s="77" t="s">
        <v>301</v>
      </c>
      <c r="F16" s="17" t="s">
        <v>141</v>
      </c>
      <c r="G16" s="58" t="s">
        <v>137</v>
      </c>
      <c r="H16" s="1" t="s">
        <v>64</v>
      </c>
      <c r="L16" s="57"/>
    </row>
    <row r="17" spans="1:12" s="18" customFormat="1" ht="42" customHeight="1">
      <c r="A17" s="150"/>
      <c r="B17" s="140"/>
      <c r="C17" s="15">
        <v>1</v>
      </c>
      <c r="D17" s="15" t="s">
        <v>63</v>
      </c>
      <c r="E17" s="77" t="s">
        <v>302</v>
      </c>
      <c r="F17" s="17" t="s">
        <v>141</v>
      </c>
      <c r="G17" s="58" t="s">
        <v>137</v>
      </c>
      <c r="H17" s="1" t="s">
        <v>64</v>
      </c>
      <c r="L17" s="57"/>
    </row>
    <row r="18" spans="1:12" s="18" customFormat="1" ht="43" customHeight="1">
      <c r="A18" s="150"/>
      <c r="B18" s="140"/>
      <c r="C18" s="15">
        <v>1</v>
      </c>
      <c r="D18" s="15" t="s">
        <v>1</v>
      </c>
      <c r="E18" s="109" t="s">
        <v>506</v>
      </c>
      <c r="F18" s="54" t="s">
        <v>94</v>
      </c>
      <c r="G18" s="58" t="s">
        <v>138</v>
      </c>
      <c r="H18" s="1" t="s">
        <v>64</v>
      </c>
      <c r="L18" s="57"/>
    </row>
    <row r="19" spans="1:12" s="18" customFormat="1" ht="42" customHeight="1">
      <c r="A19" s="150"/>
      <c r="B19" s="140"/>
      <c r="C19" s="15">
        <v>1</v>
      </c>
      <c r="D19" s="15" t="s">
        <v>1</v>
      </c>
      <c r="E19" s="54" t="s">
        <v>280</v>
      </c>
      <c r="F19" s="54" t="s">
        <v>98</v>
      </c>
      <c r="G19" s="58" t="s">
        <v>138</v>
      </c>
      <c r="H19" s="1" t="s">
        <v>64</v>
      </c>
      <c r="L19" s="57"/>
    </row>
    <row r="20" spans="1:12" s="18" customFormat="1" ht="42" customHeight="1">
      <c r="A20" s="151"/>
      <c r="B20" s="141"/>
      <c r="C20" s="70">
        <v>1</v>
      </c>
      <c r="D20" s="71" t="s">
        <v>81</v>
      </c>
      <c r="E20" s="72" t="s">
        <v>190</v>
      </c>
      <c r="F20" s="72" t="s">
        <v>126</v>
      </c>
      <c r="G20" s="72" t="s">
        <v>191</v>
      </c>
      <c r="H20" s="73" t="s">
        <v>64</v>
      </c>
      <c r="L20" s="57"/>
    </row>
    <row r="22" spans="1:12" ht="22" customHeight="1">
      <c r="A22" s="102" t="s">
        <v>192</v>
      </c>
      <c r="B22" s="102" t="s">
        <v>193</v>
      </c>
      <c r="C22" s="102" t="s">
        <v>196</v>
      </c>
      <c r="D22" s="102" t="s">
        <v>197</v>
      </c>
      <c r="E22" s="102" t="s">
        <v>198</v>
      </c>
      <c r="F22" s="102" t="s">
        <v>199</v>
      </c>
      <c r="G22" s="102" t="s">
        <v>350</v>
      </c>
    </row>
    <row r="23" spans="1:12" ht="22" customHeight="1">
      <c r="A23" s="86">
        <v>1</v>
      </c>
      <c r="B23" s="86" t="s">
        <v>241</v>
      </c>
      <c r="C23" s="86">
        <v>10.17</v>
      </c>
      <c r="D23" s="86">
        <v>4.55</v>
      </c>
      <c r="E23" s="87">
        <v>0.9</v>
      </c>
      <c r="F23" s="86" t="s">
        <v>404</v>
      </c>
      <c r="G23" s="87" t="s">
        <v>406</v>
      </c>
    </row>
    <row r="24" spans="1:12" ht="22" customHeight="1">
      <c r="A24" s="86">
        <v>2</v>
      </c>
      <c r="B24" s="86" t="s">
        <v>242</v>
      </c>
      <c r="C24" s="86">
        <v>5.69</v>
      </c>
      <c r="D24" s="87">
        <v>5.8</v>
      </c>
      <c r="E24" s="87">
        <v>0.9</v>
      </c>
      <c r="F24" s="86" t="s">
        <v>404</v>
      </c>
      <c r="G24" s="87" t="s">
        <v>407</v>
      </c>
    </row>
    <row r="25" spans="1:12" ht="22" customHeight="1">
      <c r="A25" s="86">
        <v>3</v>
      </c>
      <c r="B25" s="86" t="s">
        <v>243</v>
      </c>
      <c r="C25" s="86">
        <v>5.96</v>
      </c>
      <c r="D25" s="86">
        <v>4.55</v>
      </c>
      <c r="E25" s="87">
        <v>0.9</v>
      </c>
      <c r="F25" s="86" t="s">
        <v>404</v>
      </c>
      <c r="G25" s="87" t="s">
        <v>408</v>
      </c>
    </row>
    <row r="26" spans="1:12" ht="22" customHeight="1">
      <c r="A26" s="86">
        <v>4</v>
      </c>
      <c r="B26" s="86" t="s">
        <v>244</v>
      </c>
      <c r="C26" s="86">
        <v>12.38</v>
      </c>
      <c r="D26" s="86">
        <v>4.55</v>
      </c>
      <c r="E26" s="87">
        <v>0.9</v>
      </c>
      <c r="F26" s="86" t="s">
        <v>404</v>
      </c>
      <c r="G26" s="87" t="s">
        <v>409</v>
      </c>
    </row>
    <row r="27" spans="1:12" ht="22" customHeight="1">
      <c r="A27" s="86">
        <v>5</v>
      </c>
      <c r="B27" s="86" t="s">
        <v>245</v>
      </c>
      <c r="C27" s="86">
        <v>5.18</v>
      </c>
      <c r="D27" s="87">
        <v>5.8</v>
      </c>
      <c r="E27" s="87">
        <v>0.9</v>
      </c>
      <c r="F27" s="86" t="s">
        <v>404</v>
      </c>
      <c r="G27" s="87" t="s">
        <v>410</v>
      </c>
    </row>
    <row r="28" spans="1:12" ht="22" customHeight="1">
      <c r="A28" s="86">
        <v>6</v>
      </c>
      <c r="B28" s="86" t="s">
        <v>246</v>
      </c>
      <c r="C28" s="87">
        <v>4.7</v>
      </c>
      <c r="D28" s="87">
        <v>5.8</v>
      </c>
      <c r="E28" s="87">
        <v>0.9</v>
      </c>
      <c r="F28" s="86" t="s">
        <v>404</v>
      </c>
      <c r="G28" s="87" t="s">
        <v>411</v>
      </c>
    </row>
    <row r="29" spans="1:12" ht="22" customHeight="1">
      <c r="A29" s="86">
        <v>7</v>
      </c>
      <c r="B29" s="86" t="s">
        <v>247</v>
      </c>
      <c r="C29" s="87">
        <v>11.2</v>
      </c>
      <c r="D29" s="87">
        <v>5.8</v>
      </c>
      <c r="E29" s="87">
        <v>0.9</v>
      </c>
      <c r="F29" s="86" t="s">
        <v>404</v>
      </c>
      <c r="G29" s="87" t="s">
        <v>412</v>
      </c>
    </row>
    <row r="30" spans="1:12" ht="22" customHeight="1">
      <c r="A30" s="86">
        <v>8</v>
      </c>
      <c r="B30" s="86" t="s">
        <v>248</v>
      </c>
      <c r="C30" s="86">
        <v>12.56</v>
      </c>
      <c r="D30" s="86">
        <v>4.55</v>
      </c>
      <c r="E30" s="87">
        <v>0.9</v>
      </c>
      <c r="F30" s="86" t="s">
        <v>404</v>
      </c>
      <c r="G30" s="87" t="s">
        <v>413</v>
      </c>
    </row>
    <row r="31" spans="1:12" ht="22" customHeight="1">
      <c r="A31" s="86">
        <v>9</v>
      </c>
      <c r="B31" s="86" t="s">
        <v>249</v>
      </c>
      <c r="C31" s="86">
        <v>11.41</v>
      </c>
      <c r="D31" s="86">
        <v>4.55</v>
      </c>
      <c r="E31" s="87">
        <v>0.9</v>
      </c>
      <c r="F31" s="86" t="s">
        <v>404</v>
      </c>
      <c r="G31" s="87" t="s">
        <v>414</v>
      </c>
    </row>
    <row r="32" spans="1:12" ht="22" customHeight="1">
      <c r="A32" s="86">
        <v>10</v>
      </c>
      <c r="B32" s="86" t="s">
        <v>205</v>
      </c>
      <c r="C32" s="87">
        <v>8.6999999999999993</v>
      </c>
      <c r="D32" s="86">
        <v>8.85</v>
      </c>
      <c r="E32" s="87">
        <v>0.8</v>
      </c>
      <c r="F32" s="86" t="s">
        <v>263</v>
      </c>
      <c r="G32" s="87" t="s">
        <v>415</v>
      </c>
    </row>
    <row r="33" spans="1:7" ht="22" customHeight="1">
      <c r="A33" s="86">
        <v>11</v>
      </c>
      <c r="B33" s="86" t="s">
        <v>206</v>
      </c>
      <c r="C33" s="87">
        <v>9</v>
      </c>
      <c r="D33" s="86">
        <v>20.28</v>
      </c>
      <c r="E33" s="87">
        <v>0.8</v>
      </c>
      <c r="F33" s="86" t="s">
        <v>263</v>
      </c>
      <c r="G33" s="87" t="s">
        <v>416</v>
      </c>
    </row>
    <row r="34" spans="1:7" ht="22" customHeight="1">
      <c r="A34" s="86">
        <v>13</v>
      </c>
      <c r="B34" s="86" t="s">
        <v>207</v>
      </c>
      <c r="C34" s="87">
        <v>6.86</v>
      </c>
      <c r="D34" s="87">
        <v>8.85</v>
      </c>
      <c r="E34" s="87">
        <v>0.8</v>
      </c>
      <c r="F34" s="86" t="s">
        <v>263</v>
      </c>
      <c r="G34" s="87" t="s">
        <v>417</v>
      </c>
    </row>
    <row r="35" spans="1:7" ht="22" customHeight="1">
      <c r="A35" s="86">
        <v>14</v>
      </c>
      <c r="B35" s="86" t="s">
        <v>208</v>
      </c>
      <c r="C35" s="87">
        <v>4.0599999999999996</v>
      </c>
      <c r="D35" s="87">
        <v>8.85</v>
      </c>
      <c r="E35" s="87">
        <v>0.8</v>
      </c>
      <c r="F35" s="86" t="s">
        <v>263</v>
      </c>
      <c r="G35" s="87" t="s">
        <v>418</v>
      </c>
    </row>
    <row r="36" spans="1:7" ht="22" customHeight="1">
      <c r="A36" s="86">
        <v>15</v>
      </c>
      <c r="B36" s="86" t="s">
        <v>215</v>
      </c>
      <c r="C36" s="87">
        <v>12</v>
      </c>
      <c r="D36" s="87">
        <v>10.050000000000001</v>
      </c>
      <c r="E36" s="87">
        <v>0.7</v>
      </c>
      <c r="F36" s="86" t="s">
        <v>405</v>
      </c>
      <c r="G36" s="87" t="s">
        <v>419</v>
      </c>
    </row>
    <row r="37" spans="1:7" ht="22" customHeight="1">
      <c r="A37" s="86">
        <v>16</v>
      </c>
      <c r="B37" s="86" t="s">
        <v>216</v>
      </c>
      <c r="C37" s="87">
        <v>8</v>
      </c>
      <c r="D37" s="87">
        <v>10</v>
      </c>
      <c r="E37" s="87">
        <v>0.8</v>
      </c>
      <c r="F37" s="86" t="s">
        <v>405</v>
      </c>
      <c r="G37" s="87" t="s">
        <v>420</v>
      </c>
    </row>
    <row r="38" spans="1:7" ht="22" customHeight="1">
      <c r="A38" s="86">
        <v>17</v>
      </c>
      <c r="B38" s="86" t="s">
        <v>209</v>
      </c>
      <c r="C38" s="87">
        <v>5.46</v>
      </c>
      <c r="D38" s="87">
        <v>8.85</v>
      </c>
      <c r="E38" s="87">
        <v>0.8</v>
      </c>
      <c r="F38" s="86" t="s">
        <v>263</v>
      </c>
      <c r="G38" s="87" t="s">
        <v>421</v>
      </c>
    </row>
    <row r="39" spans="1:7" ht="22" customHeight="1">
      <c r="A39" s="86">
        <v>18</v>
      </c>
      <c r="B39" s="86" t="s">
        <v>250</v>
      </c>
      <c r="C39" s="87">
        <v>15.58</v>
      </c>
      <c r="D39" s="87">
        <v>5.8</v>
      </c>
      <c r="E39" s="87">
        <v>0.7</v>
      </c>
      <c r="F39" s="86" t="s">
        <v>263</v>
      </c>
      <c r="G39" s="87" t="s">
        <v>422</v>
      </c>
    </row>
    <row r="40" spans="1:7" ht="22" customHeight="1">
      <c r="A40" s="86">
        <v>19</v>
      </c>
      <c r="B40" s="86" t="s">
        <v>251</v>
      </c>
      <c r="C40" s="87">
        <v>20.79</v>
      </c>
      <c r="D40" s="87">
        <v>5.8</v>
      </c>
      <c r="E40" s="87">
        <v>0.7</v>
      </c>
      <c r="F40" s="86" t="s">
        <v>263</v>
      </c>
      <c r="G40" s="87" t="s">
        <v>423</v>
      </c>
    </row>
    <row r="41" spans="1:7" ht="22" customHeight="1">
      <c r="A41" s="86">
        <v>20</v>
      </c>
      <c r="B41" s="86" t="s">
        <v>252</v>
      </c>
      <c r="C41" s="87">
        <v>9.15</v>
      </c>
      <c r="D41" s="87">
        <v>6.2</v>
      </c>
      <c r="E41" s="87">
        <v>1.1499999999999999</v>
      </c>
      <c r="F41" s="86" t="s">
        <v>286</v>
      </c>
      <c r="G41" s="87" t="s">
        <v>424</v>
      </c>
    </row>
    <row r="42" spans="1:7" ht="22" customHeight="1">
      <c r="A42" s="86">
        <v>21</v>
      </c>
      <c r="B42" s="86" t="s">
        <v>253</v>
      </c>
      <c r="C42" s="87">
        <v>5.69</v>
      </c>
      <c r="D42" s="87">
        <v>6.2</v>
      </c>
      <c r="E42" s="87">
        <v>1.1499999999999999</v>
      </c>
      <c r="F42" s="86" t="s">
        <v>286</v>
      </c>
      <c r="G42" s="87" t="s">
        <v>414</v>
      </c>
    </row>
    <row r="43" spans="1:7" ht="22" customHeight="1">
      <c r="A43" s="86">
        <v>22</v>
      </c>
      <c r="B43" s="86" t="s">
        <v>254</v>
      </c>
      <c r="C43" s="87">
        <v>5.95</v>
      </c>
      <c r="D43" s="87">
        <v>6.2</v>
      </c>
      <c r="E43" s="87">
        <v>1.1499999999999999</v>
      </c>
      <c r="F43" s="86" t="s">
        <v>286</v>
      </c>
      <c r="G43" s="87" t="s">
        <v>425</v>
      </c>
    </row>
    <row r="44" spans="1:7" ht="22" customHeight="1">
      <c r="A44" s="86">
        <v>23</v>
      </c>
      <c r="B44" s="86" t="s">
        <v>255</v>
      </c>
      <c r="C44" s="87">
        <v>12.38</v>
      </c>
      <c r="D44" s="87">
        <v>6.2</v>
      </c>
      <c r="E44" s="87">
        <v>1.1499999999999999</v>
      </c>
      <c r="F44" s="86" t="s">
        <v>286</v>
      </c>
      <c r="G44" s="87" t="s">
        <v>426</v>
      </c>
    </row>
    <row r="45" spans="1:7" ht="22" customHeight="1">
      <c r="A45" s="86">
        <v>24</v>
      </c>
      <c r="B45" s="86" t="s">
        <v>256</v>
      </c>
      <c r="C45" s="87">
        <v>5.18</v>
      </c>
      <c r="D45" s="87">
        <v>6.2</v>
      </c>
      <c r="E45" s="87">
        <v>1.1499999999999999</v>
      </c>
      <c r="F45" s="86" t="s">
        <v>286</v>
      </c>
      <c r="G45" s="87" t="s">
        <v>427</v>
      </c>
    </row>
    <row r="46" spans="1:7" ht="22" customHeight="1">
      <c r="A46" s="86">
        <v>25</v>
      </c>
      <c r="B46" s="86" t="s">
        <v>257</v>
      </c>
      <c r="C46" s="87">
        <v>4.7</v>
      </c>
      <c r="D46" s="87">
        <v>6.2</v>
      </c>
      <c r="E46" s="87">
        <v>1.1499999999999999</v>
      </c>
      <c r="F46" s="86" t="s">
        <v>287</v>
      </c>
      <c r="G46" s="87" t="s">
        <v>428</v>
      </c>
    </row>
    <row r="47" spans="1:7" ht="22" customHeight="1">
      <c r="A47" s="86">
        <v>26</v>
      </c>
      <c r="B47" s="86" t="s">
        <v>258</v>
      </c>
      <c r="C47" s="87">
        <v>11.2</v>
      </c>
      <c r="D47" s="87">
        <v>6.2</v>
      </c>
      <c r="E47" s="87">
        <v>1.1499999999999999</v>
      </c>
      <c r="F47" s="86" t="s">
        <v>287</v>
      </c>
      <c r="G47" s="87" t="s">
        <v>429</v>
      </c>
    </row>
    <row r="48" spans="1:7" ht="22" customHeight="1">
      <c r="A48" s="86">
        <v>27</v>
      </c>
      <c r="B48" s="86" t="s">
        <v>259</v>
      </c>
      <c r="C48" s="87">
        <v>12.56</v>
      </c>
      <c r="D48" s="87">
        <v>6.2</v>
      </c>
      <c r="E48" s="87">
        <v>1.1499999999999999</v>
      </c>
      <c r="F48" s="86" t="s">
        <v>286</v>
      </c>
      <c r="G48" s="87" t="s">
        <v>430</v>
      </c>
    </row>
    <row r="49" spans="1:7" ht="22" customHeight="1">
      <c r="A49" s="86">
        <v>28</v>
      </c>
      <c r="B49" s="86" t="s">
        <v>260</v>
      </c>
      <c r="C49" s="87">
        <v>11.41</v>
      </c>
      <c r="D49" s="87">
        <v>3.67</v>
      </c>
      <c r="E49" s="87">
        <v>1.1499999999999999</v>
      </c>
      <c r="F49" s="86" t="s">
        <v>286</v>
      </c>
      <c r="G49" s="87" t="s">
        <v>431</v>
      </c>
    </row>
    <row r="50" spans="1:7" ht="22" customHeight="1">
      <c r="A50" s="86">
        <v>29</v>
      </c>
      <c r="B50" s="86" t="s">
        <v>261</v>
      </c>
      <c r="C50" s="87">
        <v>11.85</v>
      </c>
      <c r="D50" s="87">
        <v>3.8</v>
      </c>
      <c r="E50" s="87">
        <v>0.8</v>
      </c>
      <c r="F50" s="86" t="s">
        <v>405</v>
      </c>
      <c r="G50" s="87" t="s">
        <v>432</v>
      </c>
    </row>
    <row r="51" spans="1:7" ht="22" customHeight="1">
      <c r="A51" s="86">
        <v>30</v>
      </c>
      <c r="B51" s="86" t="s">
        <v>217</v>
      </c>
      <c r="C51" s="87">
        <v>7</v>
      </c>
      <c r="D51" s="87">
        <v>4</v>
      </c>
      <c r="E51" s="87">
        <v>0.8</v>
      </c>
      <c r="F51" s="86" t="s">
        <v>405</v>
      </c>
      <c r="G51" s="87" t="s">
        <v>433</v>
      </c>
    </row>
    <row r="52" spans="1:7" ht="22" customHeight="1">
      <c r="A52" s="86">
        <v>31</v>
      </c>
      <c r="B52" s="86" t="s">
        <v>210</v>
      </c>
      <c r="C52" s="87">
        <v>12</v>
      </c>
      <c r="D52" s="87">
        <v>11</v>
      </c>
      <c r="E52" s="87">
        <v>0.8</v>
      </c>
      <c r="F52" s="86" t="s">
        <v>263</v>
      </c>
      <c r="G52" s="87" t="s">
        <v>434</v>
      </c>
    </row>
    <row r="53" spans="1:7" ht="22" customHeight="1">
      <c r="A53" s="86">
        <v>32</v>
      </c>
      <c r="B53" s="86" t="s">
        <v>211</v>
      </c>
      <c r="C53" s="87">
        <v>3.5</v>
      </c>
      <c r="D53" s="87">
        <v>12.85</v>
      </c>
      <c r="E53" s="87">
        <v>1.1000000000000001</v>
      </c>
      <c r="F53" s="86" t="s">
        <v>263</v>
      </c>
      <c r="G53" s="87" t="s">
        <v>477</v>
      </c>
    </row>
    <row r="54" spans="1:7" ht="22" customHeight="1">
      <c r="A54" s="86">
        <v>33</v>
      </c>
      <c r="B54" s="86" t="s">
        <v>212</v>
      </c>
      <c r="C54" s="87">
        <v>9.35</v>
      </c>
      <c r="D54" s="87">
        <v>5.5</v>
      </c>
      <c r="E54" s="87">
        <v>1.1000000000000001</v>
      </c>
      <c r="F54" s="86" t="s">
        <v>263</v>
      </c>
      <c r="G54" s="87" t="s">
        <v>478</v>
      </c>
    </row>
    <row r="55" spans="1:7" ht="22" customHeight="1">
      <c r="A55" s="86">
        <v>34</v>
      </c>
      <c r="B55" s="86" t="s">
        <v>354</v>
      </c>
      <c r="C55" s="87">
        <v>9</v>
      </c>
      <c r="D55" s="87">
        <v>10.15</v>
      </c>
      <c r="E55" s="87">
        <v>0.8</v>
      </c>
      <c r="F55" s="86" t="s">
        <v>263</v>
      </c>
      <c r="G55" s="87" t="s">
        <v>435</v>
      </c>
    </row>
    <row r="56" spans="1:7" ht="22" customHeight="1">
      <c r="A56" s="86">
        <v>35</v>
      </c>
      <c r="B56" s="86" t="s">
        <v>355</v>
      </c>
      <c r="C56" s="87">
        <v>9</v>
      </c>
      <c r="D56" s="87">
        <v>18.28</v>
      </c>
      <c r="E56" s="87">
        <v>0.8</v>
      </c>
      <c r="F56" s="86" t="s">
        <v>263</v>
      </c>
      <c r="G56" s="87" t="s">
        <v>436</v>
      </c>
    </row>
    <row r="57" spans="1:7" ht="22" customHeight="1">
      <c r="A57" s="86">
        <v>38</v>
      </c>
      <c r="B57" s="86" t="s">
        <v>218</v>
      </c>
      <c r="C57" s="87">
        <v>8.6999999999999993</v>
      </c>
      <c r="D57" s="87">
        <v>3.5</v>
      </c>
      <c r="E57" s="87">
        <v>0.8</v>
      </c>
      <c r="F57" s="86" t="s">
        <v>405</v>
      </c>
      <c r="G57" s="87" t="s">
        <v>437</v>
      </c>
    </row>
    <row r="58" spans="1:7" ht="22" customHeight="1">
      <c r="A58" s="86">
        <v>39</v>
      </c>
      <c r="B58" s="86" t="s">
        <v>219</v>
      </c>
      <c r="C58" s="87">
        <v>6.86</v>
      </c>
      <c r="D58" s="87">
        <v>3.5</v>
      </c>
      <c r="E58" s="87">
        <v>0.8</v>
      </c>
      <c r="F58" s="86" t="s">
        <v>405</v>
      </c>
      <c r="G58" s="87" t="s">
        <v>438</v>
      </c>
    </row>
    <row r="59" spans="1:7" ht="22" customHeight="1">
      <c r="A59" s="86">
        <v>40</v>
      </c>
      <c r="B59" s="86" t="s">
        <v>220</v>
      </c>
      <c r="C59" s="87">
        <v>4.0599999999999996</v>
      </c>
      <c r="D59" s="87">
        <v>3.5</v>
      </c>
      <c r="E59" s="87">
        <v>0.8</v>
      </c>
      <c r="F59" s="86" t="s">
        <v>405</v>
      </c>
      <c r="G59" s="87" t="s">
        <v>439</v>
      </c>
    </row>
    <row r="60" spans="1:7" ht="22" customHeight="1">
      <c r="A60" s="86">
        <v>41</v>
      </c>
      <c r="B60" s="86" t="s">
        <v>221</v>
      </c>
      <c r="C60" s="87">
        <v>2.2999999999999998</v>
      </c>
      <c r="D60" s="87">
        <v>3.5</v>
      </c>
      <c r="E60" s="87">
        <v>0.8</v>
      </c>
      <c r="F60" s="86" t="s">
        <v>405</v>
      </c>
      <c r="G60" s="87" t="s">
        <v>440</v>
      </c>
    </row>
    <row r="61" spans="1:7" ht="22" customHeight="1">
      <c r="A61" s="86">
        <v>42</v>
      </c>
      <c r="B61" s="86" t="s">
        <v>222</v>
      </c>
      <c r="C61" s="87">
        <v>5.46</v>
      </c>
      <c r="D61" s="87">
        <v>3.5</v>
      </c>
      <c r="E61" s="87">
        <v>0.8</v>
      </c>
      <c r="F61" s="86" t="s">
        <v>405</v>
      </c>
      <c r="G61" s="87" t="s">
        <v>441</v>
      </c>
    </row>
    <row r="62" spans="1:7" ht="22" customHeight="1">
      <c r="A62" s="86">
        <v>43</v>
      </c>
      <c r="B62" s="86" t="s">
        <v>223</v>
      </c>
      <c r="C62" s="87">
        <v>8</v>
      </c>
      <c r="D62" s="87">
        <v>5.8</v>
      </c>
      <c r="E62" s="87">
        <v>0.8</v>
      </c>
      <c r="F62" s="86" t="s">
        <v>405</v>
      </c>
      <c r="G62" s="87" t="s">
        <v>442</v>
      </c>
    </row>
    <row r="63" spans="1:7" ht="22" customHeight="1">
      <c r="A63" s="86">
        <v>44</v>
      </c>
      <c r="B63" s="86" t="s">
        <v>224</v>
      </c>
      <c r="C63" s="87">
        <v>4.5</v>
      </c>
      <c r="D63" s="87">
        <v>5.8</v>
      </c>
      <c r="E63" s="87">
        <v>0.8</v>
      </c>
      <c r="F63" s="86" t="s">
        <v>405</v>
      </c>
      <c r="G63" s="87" t="s">
        <v>443</v>
      </c>
    </row>
    <row r="64" spans="1:7" ht="22" customHeight="1">
      <c r="A64" s="86">
        <v>45</v>
      </c>
      <c r="B64" s="86" t="s">
        <v>225</v>
      </c>
      <c r="C64" s="87">
        <v>7</v>
      </c>
      <c r="D64" s="87">
        <v>5.8</v>
      </c>
      <c r="E64" s="87">
        <v>0.8</v>
      </c>
      <c r="F64" s="86" t="s">
        <v>405</v>
      </c>
      <c r="G64" s="87" t="s">
        <v>444</v>
      </c>
    </row>
    <row r="65" spans="1:7" ht="22" customHeight="1">
      <c r="A65" s="86">
        <v>46</v>
      </c>
      <c r="B65" s="86" t="s">
        <v>226</v>
      </c>
      <c r="C65" s="87">
        <v>2.8</v>
      </c>
      <c r="D65" s="87">
        <v>5.8</v>
      </c>
      <c r="E65" s="87">
        <v>0.8</v>
      </c>
      <c r="F65" s="86" t="s">
        <v>405</v>
      </c>
      <c r="G65" s="87" t="s">
        <v>445</v>
      </c>
    </row>
    <row r="66" spans="1:7" ht="22" customHeight="1">
      <c r="A66" s="86">
        <v>47</v>
      </c>
      <c r="B66" s="86" t="s">
        <v>227</v>
      </c>
      <c r="C66" s="87">
        <v>10.5</v>
      </c>
      <c r="D66" s="87">
        <v>5.8</v>
      </c>
      <c r="E66" s="87">
        <v>0.8</v>
      </c>
      <c r="F66" s="86" t="s">
        <v>405</v>
      </c>
      <c r="G66" s="87" t="s">
        <v>446</v>
      </c>
    </row>
    <row r="67" spans="1:7" ht="22" customHeight="1">
      <c r="A67" s="86">
        <v>48</v>
      </c>
      <c r="B67" s="86" t="s">
        <v>228</v>
      </c>
      <c r="C67" s="87">
        <v>11</v>
      </c>
      <c r="D67" s="87">
        <v>5.8</v>
      </c>
      <c r="E67" s="87">
        <v>0.8</v>
      </c>
      <c r="F67" s="86" t="s">
        <v>405</v>
      </c>
      <c r="G67" s="87" t="s">
        <v>479</v>
      </c>
    </row>
    <row r="68" spans="1:7" ht="22" customHeight="1">
      <c r="A68" s="86">
        <v>49</v>
      </c>
      <c r="B68" s="86" t="s">
        <v>229</v>
      </c>
      <c r="C68" s="87">
        <v>3.5</v>
      </c>
      <c r="D68" s="87">
        <v>3.5</v>
      </c>
      <c r="E68" s="87">
        <v>0.8</v>
      </c>
      <c r="F68" s="86" t="s">
        <v>405</v>
      </c>
      <c r="G68" s="87" t="s">
        <v>447</v>
      </c>
    </row>
    <row r="69" spans="1:7" ht="22" customHeight="1">
      <c r="A69" s="86">
        <v>50</v>
      </c>
      <c r="B69" s="86" t="s">
        <v>213</v>
      </c>
      <c r="C69" s="87">
        <v>3.5</v>
      </c>
      <c r="D69" s="87">
        <v>12.85</v>
      </c>
      <c r="E69" s="87">
        <v>0.8</v>
      </c>
      <c r="F69" s="86" t="s">
        <v>263</v>
      </c>
      <c r="G69" s="87" t="s">
        <v>448</v>
      </c>
    </row>
    <row r="70" spans="1:7" ht="22" customHeight="1">
      <c r="A70" s="86">
        <v>51</v>
      </c>
      <c r="B70" s="86" t="s">
        <v>214</v>
      </c>
      <c r="C70" s="87">
        <v>9.35</v>
      </c>
      <c r="D70" s="87">
        <v>5.5</v>
      </c>
      <c r="E70" s="87">
        <v>0.8</v>
      </c>
      <c r="F70" s="86" t="s">
        <v>263</v>
      </c>
      <c r="G70" s="87" t="s">
        <v>449</v>
      </c>
    </row>
  </sheetData>
  <sheetProtection sort="0" autoFilter="0" pivotTables="0"/>
  <dataConsolidate/>
  <mergeCells count="8">
    <mergeCell ref="D6:D7"/>
    <mergeCell ref="E6:E7"/>
    <mergeCell ref="F6:H6"/>
    <mergeCell ref="A8:A20"/>
    <mergeCell ref="B8:B20"/>
    <mergeCell ref="A6:A7"/>
    <mergeCell ref="B6:B7"/>
    <mergeCell ref="C6:C7"/>
  </mergeCells>
  <phoneticPr fontId="14" type="noConversion"/>
  <conditionalFormatting sqref="B22">
    <cfRule type="duplicateValues" dxfId="0" priority="1"/>
  </conditionalFormatting>
  <dataValidations count="2">
    <dataValidation type="list" allowBlank="1" showInputMessage="1" showErrorMessage="1" sqref="H8:H20" xr:uid="{A025B0B4-C616-214B-ABDD-4272CE301422}">
      <formula1>"0收1退(Ac=0),CPK≥1.33,Yield&gt;99.5%,No Alert(65%)"</formula1>
    </dataValidation>
    <dataValidation type="list" allowBlank="1" showInputMessage="1" showErrorMessage="1" sqref="D8:D20" xr:uid="{1461D3F7-2B81-EB49-8610-06E901F8646D}">
      <formula1>"Dim, Cos, Function, ORT, Rel"</formula1>
    </dataValidation>
  </dataValidations>
  <pageMargins left="0" right="0" top="0" bottom="0" header="0" footer="0"/>
  <pageSetup scale="53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C5119-041D-0343-9175-DE5B34FCBC9F}">
  <dimension ref="A2:M115"/>
  <sheetViews>
    <sheetView showGridLines="0" zoomScale="84" zoomScaleNormal="100" workbookViewId="0">
      <selection activeCell="J11" sqref="J11"/>
    </sheetView>
  </sheetViews>
  <sheetFormatPr baseColWidth="10" defaultRowHeight="22" customHeight="1"/>
  <cols>
    <col min="1" max="1" width="5.5" style="30" customWidth="1"/>
    <col min="2" max="2" width="10.83203125" style="30" customWidth="1"/>
    <col min="3" max="3" width="14.83203125" style="30" customWidth="1"/>
    <col min="4" max="4" width="98.33203125" style="30" customWidth="1"/>
    <col min="5" max="15" width="10.83203125" style="30" customWidth="1"/>
    <col min="16" max="16384" width="10.83203125" style="30"/>
  </cols>
  <sheetData>
    <row r="2" spans="1:13" ht="22" customHeight="1">
      <c r="B2" s="38" t="s">
        <v>9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ht="22" customHeight="1">
      <c r="A3" s="28">
        <v>1</v>
      </c>
      <c r="B3" s="36" t="s">
        <v>40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ht="16">
      <c r="A4" s="28">
        <v>2</v>
      </c>
      <c r="B4" s="30" t="s">
        <v>32</v>
      </c>
    </row>
    <row r="5" spans="1:13" ht="22" customHeight="1">
      <c r="A5" s="28">
        <v>3</v>
      </c>
      <c r="B5" s="30" t="s">
        <v>340</v>
      </c>
    </row>
    <row r="6" spans="1:13" ht="22" customHeight="1">
      <c r="A6" s="28">
        <v>4</v>
      </c>
      <c r="B6" s="30" t="s">
        <v>33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</row>
    <row r="7" spans="1:13" ht="22" customHeight="1">
      <c r="A7" s="28">
        <v>5</v>
      </c>
      <c r="B7" s="30" t="s">
        <v>38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</row>
    <row r="8" spans="1:13" ht="22" customHeight="1">
      <c r="A8" s="28">
        <v>6</v>
      </c>
      <c r="B8" s="30" t="s">
        <v>34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</row>
    <row r="9" spans="1:13" ht="22" customHeight="1">
      <c r="A9" s="28">
        <v>7</v>
      </c>
      <c r="B9" s="30" t="s">
        <v>36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</row>
    <row r="10" spans="1:13" ht="22" customHeight="1">
      <c r="A10" s="28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</row>
    <row r="11" spans="1:13" ht="22" customHeight="1">
      <c r="B11" s="39" t="s">
        <v>31</v>
      </c>
    </row>
    <row r="35" spans="2:2" ht="22" customHeight="1">
      <c r="B35" s="39" t="s">
        <v>44</v>
      </c>
    </row>
    <row r="60" spans="2:2" ht="22" customHeight="1">
      <c r="B60" s="39" t="s">
        <v>45</v>
      </c>
    </row>
    <row r="81" spans="2:2" ht="22" customHeight="1">
      <c r="B81" s="39" t="s">
        <v>29</v>
      </c>
    </row>
    <row r="108" spans="2:4" ht="22" customHeight="1">
      <c r="B108" s="38" t="s">
        <v>30</v>
      </c>
    </row>
    <row r="109" spans="2:4" s="31" customFormat="1" ht="22" customHeight="1">
      <c r="B109" s="32" t="s">
        <v>15</v>
      </c>
      <c r="C109" s="32" t="s">
        <v>5</v>
      </c>
      <c r="D109" s="32" t="s">
        <v>0</v>
      </c>
    </row>
    <row r="110" spans="2:4" ht="22" customHeight="1">
      <c r="B110" s="33">
        <v>1</v>
      </c>
      <c r="C110" s="34">
        <v>45443</v>
      </c>
      <c r="D110" s="35" t="s">
        <v>3</v>
      </c>
    </row>
    <row r="111" spans="2:4" ht="22" customHeight="1">
      <c r="B111" s="33">
        <v>2</v>
      </c>
      <c r="C111" s="34">
        <v>45477</v>
      </c>
      <c r="D111" s="35" t="s">
        <v>35</v>
      </c>
    </row>
    <row r="112" spans="2:4" ht="22" customHeight="1">
      <c r="B112" s="33">
        <v>3</v>
      </c>
      <c r="C112" s="34">
        <v>45482</v>
      </c>
      <c r="D112" s="35" t="s">
        <v>37</v>
      </c>
    </row>
    <row r="113" spans="2:4" ht="22" customHeight="1">
      <c r="B113" s="33">
        <v>4</v>
      </c>
      <c r="C113" s="34">
        <v>45509</v>
      </c>
      <c r="D113" s="35" t="s">
        <v>46</v>
      </c>
    </row>
    <row r="114" spans="2:4" ht="22" customHeight="1">
      <c r="B114" s="33">
        <v>5</v>
      </c>
      <c r="C114" s="34">
        <v>45513</v>
      </c>
      <c r="D114" s="35" t="s">
        <v>65</v>
      </c>
    </row>
    <row r="115" spans="2:4" ht="22" customHeight="1">
      <c r="B115" s="33"/>
      <c r="C115" s="33"/>
      <c r="D115" s="35"/>
    </row>
  </sheetData>
  <phoneticPr fontId="1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Revision</vt:lpstr>
      <vt:lpstr>IQC</vt:lpstr>
      <vt:lpstr>Machining</vt:lpstr>
      <vt:lpstr>Surface Treatment</vt:lpstr>
      <vt:lpstr>Assy</vt:lpstr>
      <vt:lpstr>OQC</vt:lpstr>
      <vt:lpstr>Instruction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 Yu</dc:creator>
  <cp:lastModifiedBy>a23210</cp:lastModifiedBy>
  <dcterms:created xsi:type="dcterms:W3CDTF">2024-05-27T01:55:28Z</dcterms:created>
  <dcterms:modified xsi:type="dcterms:W3CDTF">2025-12-19T04:13:23Z</dcterms:modified>
</cp:coreProperties>
</file>
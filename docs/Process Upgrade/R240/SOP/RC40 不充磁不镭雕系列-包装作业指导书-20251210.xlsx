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廖总20251231\RC40  SOP\"/>
    </mc:Choice>
  </mc:AlternateContent>
  <bookViews>
    <workbookView xWindow="0" yWindow="0" windowWidth="28800" windowHeight="12240"/>
  </bookViews>
  <sheets>
    <sheet name="Sheet1 (2)" sheetId="4" r:id="rId1"/>
    <sheet name="截图" sheetId="6" r:id="rId2"/>
  </sheets>
  <definedNames>
    <definedName name="_xlnm.Print_Area" localSheetId="0">'Sheet1 (2)'!$A$1:$I$44</definedName>
  </definedNames>
  <calcPr calcId="162913"/>
</workbook>
</file>

<file path=xl/calcChain.xml><?xml version="1.0" encoding="utf-8"?>
<calcChain xmlns="http://schemas.openxmlformats.org/spreadsheetml/2006/main">
  <c r="H14" i="6" l="1"/>
  <c r="I14" i="6" s="1"/>
  <c r="H13" i="6"/>
  <c r="I13" i="6" s="1"/>
  <c r="H12" i="6"/>
  <c r="I12" i="6" s="1"/>
  <c r="H11" i="6"/>
  <c r="I11" i="6" s="1"/>
  <c r="H9" i="6" l="1"/>
  <c r="I9" i="6" s="1"/>
  <c r="H10" i="6"/>
  <c r="I10" i="6" s="1"/>
  <c r="H8" i="6"/>
  <c r="I8" i="6" s="1"/>
</calcChain>
</file>

<file path=xl/sharedStrings.xml><?xml version="1.0" encoding="utf-8"?>
<sst xmlns="http://schemas.openxmlformats.org/spreadsheetml/2006/main" count="74" uniqueCount="57">
  <si>
    <t>文件编号
File Number</t>
  </si>
  <si>
    <t>发行日期
Release Date</t>
  </si>
  <si>
    <t>版本号
Version</t>
  </si>
  <si>
    <t>页次
Page</t>
  </si>
  <si>
    <t>步骤
Steps</t>
  </si>
  <si>
    <t>作业要点
Operating points</t>
  </si>
  <si>
    <t>图示
Picture</t>
  </si>
  <si>
    <t>控制点</t>
  </si>
  <si>
    <t>安全防护</t>
  </si>
  <si>
    <t>泡棉
(100X90X3)
纸盒
(120X100X53)
8孔泡沫盒
小号空运箱
(350X265X140)</t>
    <phoneticPr fontId="7" type="noConversion"/>
  </si>
  <si>
    <r>
      <t xml:space="preserve">泡棉
</t>
    </r>
    <r>
      <rPr>
        <sz val="10"/>
        <color theme="1"/>
        <rFont val="Arial"/>
        <family val="2"/>
      </rPr>
      <t xml:space="preserve">(100X90X3)
</t>
    </r>
    <r>
      <rPr>
        <sz val="10"/>
        <color theme="1"/>
        <rFont val="宋体"/>
        <family val="3"/>
        <charset val="134"/>
      </rPr>
      <t xml:space="preserve">纸盒
</t>
    </r>
    <r>
      <rPr>
        <sz val="10"/>
        <color theme="1"/>
        <rFont val="Arial"/>
        <family val="2"/>
      </rPr>
      <t>(115X80X55)
4</t>
    </r>
    <r>
      <rPr>
        <sz val="10"/>
        <color theme="1"/>
        <rFont val="宋体"/>
        <family val="3"/>
        <charset val="134"/>
      </rPr>
      <t xml:space="preserve">孔泡沫盒
</t>
    </r>
    <r>
      <rPr>
        <sz val="10"/>
        <color theme="1"/>
        <rFont val="Arial"/>
        <family val="2"/>
      </rPr>
      <t xml:space="preserve">(310X220X80)
</t>
    </r>
    <r>
      <rPr>
        <sz val="10"/>
        <color theme="1"/>
        <rFont val="宋体"/>
        <family val="3"/>
        <charset val="134"/>
      </rPr>
      <t xml:space="preserve">纸箱
</t>
    </r>
    <r>
      <rPr>
        <sz val="10"/>
        <color theme="1"/>
        <rFont val="Arial"/>
        <family val="2"/>
      </rPr>
      <t xml:space="preserve">(315X225X158)
</t>
    </r>
    <r>
      <rPr>
        <sz val="10"/>
        <color theme="1"/>
        <rFont val="宋体"/>
        <family val="3"/>
        <charset val="134"/>
      </rPr>
      <t xml:space="preserve">方底袋
</t>
    </r>
    <r>
      <rPr>
        <sz val="10"/>
        <color theme="1"/>
        <rFont val="Arial"/>
        <family val="2"/>
      </rPr>
      <t xml:space="preserve">(400X350X450)
</t>
    </r>
    <r>
      <rPr>
        <sz val="10"/>
        <color theme="1"/>
        <rFont val="宋体"/>
        <family val="3"/>
        <charset val="134"/>
      </rPr>
      <t xml:space="preserve">双瓦衬板
</t>
    </r>
    <r>
      <rPr>
        <sz val="10"/>
        <color theme="1"/>
        <rFont val="Arial"/>
        <family val="2"/>
      </rPr>
      <t>(280X195)</t>
    </r>
    <phoneticPr fontId="7" type="noConversion"/>
  </si>
  <si>
    <t>1/2</t>
    <phoneticPr fontId="7" type="noConversion"/>
  </si>
  <si>
    <t>一、包装</t>
    <phoneticPr fontId="7" type="noConversion"/>
  </si>
  <si>
    <t>项目</t>
    <phoneticPr fontId="7" type="noConversion"/>
  </si>
  <si>
    <t>NO.</t>
    <phoneticPr fontId="7" type="noConversion"/>
  </si>
  <si>
    <t>图号</t>
    <phoneticPr fontId="7" type="noConversion"/>
  </si>
  <si>
    <t>1000</t>
    <phoneticPr fontId="11" type="noConversion"/>
  </si>
  <si>
    <t>05489</t>
    <phoneticPr fontId="11" type="noConversion"/>
  </si>
  <si>
    <t>2000</t>
    <phoneticPr fontId="11" type="noConversion"/>
  </si>
  <si>
    <t>3000</t>
    <phoneticPr fontId="11" type="noConversion"/>
  </si>
  <si>
    <t>4000</t>
    <phoneticPr fontId="11" type="noConversion"/>
  </si>
  <si>
    <t>5000</t>
    <phoneticPr fontId="11" type="noConversion"/>
  </si>
  <si>
    <t>500</t>
    <phoneticPr fontId="11" type="noConversion"/>
  </si>
  <si>
    <t>05523</t>
    <phoneticPr fontId="11" type="noConversion"/>
  </si>
  <si>
    <t>05525</t>
    <phoneticPr fontId="11" type="noConversion"/>
  </si>
  <si>
    <t>版本</t>
  </si>
  <si>
    <t>描述</t>
  </si>
  <si>
    <t>日期</t>
  </si>
  <si>
    <t>A/0</t>
  </si>
  <si>
    <t>initial relaease</t>
  </si>
  <si>
    <r>
      <t>1.</t>
    </r>
    <r>
      <rPr>
        <sz val="10"/>
        <rFont val="宋体"/>
        <family val="3"/>
        <charset val="134"/>
      </rPr>
      <t>数量要正确，尾数以实际为准；</t>
    </r>
    <r>
      <rPr>
        <sz val="10"/>
        <rFont val="Arial"/>
        <family val="2"/>
      </rPr>
      <t/>
    </r>
    <phoneticPr fontId="7" type="noConversion"/>
  </si>
  <si>
    <r>
      <t>1.</t>
    </r>
    <r>
      <rPr>
        <sz val="10"/>
        <rFont val="宋体"/>
        <family val="3"/>
        <charset val="134"/>
      </rPr>
      <t>数量要正确，尾数以实际为准；</t>
    </r>
    <phoneticPr fontId="7" type="noConversion"/>
  </si>
  <si>
    <t>每袋数量</t>
    <phoneticPr fontId="7" type="noConversion"/>
  </si>
  <si>
    <t>每盒数量</t>
    <phoneticPr fontId="7" type="noConversion"/>
  </si>
  <si>
    <t>每箱数量</t>
    <phoneticPr fontId="7" type="noConversion"/>
  </si>
  <si>
    <t>编制：高威                 审核：                         会签（品质：                        制造：                   ）   批准：</t>
    <phoneticPr fontId="7" type="noConversion"/>
  </si>
  <si>
    <t>1.1 检查已抽好真空的产品是否漏气；
1.2 在袋子表面贴上内标签（如 PIC1）；
1.3 将产品装入纸盒，两包之间用泡棉隔开(2包/盒)（如 PIC2），并用胶带封口；
1.4 将泡沫箱如图所示装入纸箱内,纸盒侧面朝上装入泡沫箱内(8盒/箱)，并贴上纸盒标签（如 PIC3）；具体数量见“每箱数量对照表”；
1.5 盖上箱盖，并贴上“外箱标签/客户代码标签”，“RoHS-Conform”标签（如 PIC4）；
注：各客户标签不同，注意不要贴错，标签信息内容详见《RE13产品标贴说明》；</t>
    <phoneticPr fontId="7" type="noConversion"/>
  </si>
  <si>
    <r>
      <t xml:space="preserve">工装/设备
</t>
    </r>
    <r>
      <rPr>
        <sz val="9"/>
        <color theme="1"/>
        <rFont val="宋体"/>
        <family val="3"/>
        <charset val="134"/>
        <scheme val="minor"/>
      </rPr>
      <t>Fixture/Equipment</t>
    </r>
    <phoneticPr fontId="7" type="noConversion"/>
  </si>
  <si>
    <t>MP-WI-T-05-1268</t>
    <phoneticPr fontId="7" type="noConversion"/>
  </si>
  <si>
    <t>RC40</t>
    <phoneticPr fontId="7" type="noConversion"/>
  </si>
  <si>
    <t>RC40</t>
  </si>
  <si>
    <t>05522/05531</t>
    <phoneticPr fontId="11" type="noConversion"/>
  </si>
  <si>
    <r>
      <t xml:space="preserve">  RC40 </t>
    </r>
    <r>
      <rPr>
        <sz val="11"/>
        <color theme="1"/>
        <rFont val="宋体"/>
        <family val="3"/>
        <charset val="134"/>
      </rPr>
      <t>包装作业指导书</t>
    </r>
    <r>
      <rPr>
        <sz val="11"/>
        <color theme="1"/>
        <rFont val="Arial"/>
        <family val="2"/>
      </rPr>
      <t>-</t>
    </r>
    <r>
      <rPr>
        <sz val="11"/>
        <color theme="1"/>
        <rFont val="宋体"/>
        <family val="3"/>
        <charset val="134"/>
      </rPr>
      <t>不充磁不镭雕系列</t>
    </r>
    <r>
      <rPr>
        <sz val="11"/>
        <color theme="1"/>
        <rFont val="Arial"/>
        <family val="2"/>
      </rPr>
      <t xml:space="preserve">        
       (05486/05487/05489/05503/05520/05521/05522/05523/
05525/05528/05529/05531/05532/06369/06372/06373/06375/06662)</t>
    </r>
    <phoneticPr fontId="7" type="noConversion"/>
  </si>
  <si>
    <t>MP-WI-T-05-1268</t>
    <phoneticPr fontId="7" type="noConversion"/>
  </si>
  <si>
    <t>增加图号06662</t>
    <phoneticPr fontId="7" type="noConversion"/>
  </si>
  <si>
    <t>A/1</t>
  </si>
  <si>
    <t>2/2</t>
    <phoneticPr fontId="7" type="noConversion"/>
  </si>
  <si>
    <t>二、包装</t>
    <phoneticPr fontId="7" type="noConversion"/>
  </si>
  <si>
    <t>2.1 检查已抽好真空的产品是否漏气；
2.2 在袋子表面贴上内标签（如 PIC1）；
2.3 将产品装入纸盒，两包之间用泡棉隔开(2包/盒)（如 PIC2），
2.4 在纸盒上贴上纸盒标签和重量标签，用胶带封口（如 PIC3），
2.5 将泡沫盒如图所示装入铺好方底袋的纸箱内,纸盒正面朝上装入泡沫盒内(4盒/泡沫盒，2泡沫盒/箱)（如 PIC4），具体数量见“每箱数量对照表”；
2.6 在泡沫盒上面放一张衬板，并将方底袋开口整理好（如 PIC5）；
2.7 盖上箱盖，并贴上外箱标签，“RoHS-Conform/HF”标签（如 PIC6）；
注：各客户标签不同，注意不要贴错，标签信息内容详见《RC40产品标贴说明》；</t>
    <phoneticPr fontId="7" type="noConversion"/>
  </si>
  <si>
    <r>
      <t xml:space="preserve">                RC40 </t>
    </r>
    <r>
      <rPr>
        <sz val="11"/>
        <color theme="1"/>
        <rFont val="宋体"/>
        <family val="3"/>
        <charset val="134"/>
      </rPr>
      <t>包装作业指导书</t>
    </r>
    <r>
      <rPr>
        <sz val="11"/>
        <color theme="1"/>
        <rFont val="Arial"/>
        <family val="2"/>
      </rPr>
      <t>-</t>
    </r>
    <r>
      <rPr>
        <sz val="11"/>
        <color theme="1"/>
        <rFont val="宋体"/>
        <family val="3"/>
        <charset val="134"/>
      </rPr>
      <t>不充磁不镭雕系列</t>
    </r>
    <r>
      <rPr>
        <sz val="11"/>
        <color theme="1"/>
        <rFont val="Arial"/>
        <family val="2"/>
      </rPr>
      <t xml:space="preserve">                  (05486/05487/05489/05503/05520/05521/05522/05523/
05525/05528/05529/05531/05532</t>
    </r>
    <r>
      <rPr>
        <sz val="11"/>
        <color theme="1"/>
        <rFont val="Arial"/>
        <family val="2"/>
      </rPr>
      <t>/06373/06375)</t>
    </r>
    <phoneticPr fontId="7" type="noConversion"/>
  </si>
  <si>
    <t>05503/05520/05521/05529</t>
    <phoneticPr fontId="11" type="noConversion"/>
  </si>
  <si>
    <t>05486/05487/05532/06375</t>
    <phoneticPr fontId="11" type="noConversion"/>
  </si>
  <si>
    <t>05528/06373</t>
    <phoneticPr fontId="11" type="noConversion"/>
  </si>
  <si>
    <t>A/2</t>
  </si>
  <si>
    <t>更新图纸</t>
    <phoneticPr fontId="7" type="noConversion"/>
  </si>
  <si>
    <t>A/2</t>
    <phoneticPr fontId="7" type="noConversion"/>
  </si>
  <si>
    <t>A/2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</si>
</sst>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6">
    <xf numFmtId="0" fontId="0" fillId="0" borderId="0" xfId="0">
      <alignment vertical="center"/>
    </xf>
    <xf numFmtId="0" fontId="0" fillId="0" borderId="8" xfId="0" applyNumberForma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0" fillId="0" borderId="8" xfId="0" applyBorder="1">
      <alignment vertical="center"/>
    </xf>
    <xf numFmtId="49" fontId="0" fillId="0" borderId="8" xfId="0" applyNumberFormat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8" xfId="0" applyNumberFormat="1" applyFont="1" applyFill="1" applyBorder="1" applyAlignment="1">
      <alignment horizontal="center" vertical="center"/>
    </xf>
    <xf numFmtId="0" fontId="0" fillId="0" borderId="8" xfId="0" applyNumberFormat="1" applyBorder="1">
      <alignment vertical="center"/>
    </xf>
    <xf numFmtId="0" fontId="0" fillId="0" borderId="8" xfId="0" applyNumberForma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49" fontId="7" fillId="5" borderId="8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49" fontId="7" fillId="5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9" xfId="0" applyNumberFormat="1" applyFill="1" applyBorder="1" applyAlignment="1">
      <alignment horizontal="center" vertical="center" wrapText="1"/>
    </xf>
    <xf numFmtId="0" fontId="0" fillId="0" borderId="10" xfId="0" applyNumberFormat="1" applyFill="1" applyBorder="1" applyAlignment="1">
      <alignment horizontal="center" vertical="center"/>
    </xf>
    <xf numFmtId="0" fontId="0" fillId="0" borderId="11" xfId="0" applyNumberForma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 wrapText="1"/>
    </xf>
    <xf numFmtId="0" fontId="0" fillId="0" borderId="13" xfId="0" applyNumberFormat="1" applyFill="1" applyBorder="1" applyAlignment="1">
      <alignment horizontal="center" vertical="center" wrapText="1"/>
    </xf>
    <xf numFmtId="0" fontId="0" fillId="0" borderId="5" xfId="0" applyNumberForma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/>
    </xf>
    <xf numFmtId="14" fontId="0" fillId="0" borderId="3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3" fillId="0" borderId="12" xfId="0" applyNumberFormat="1" applyFont="1" applyFill="1" applyBorder="1" applyAlignment="1">
      <alignment horizontal="left" vertical="center" wrapText="1"/>
    </xf>
    <xf numFmtId="0" fontId="3" fillId="0" borderId="4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Alignment="1">
      <alignment horizontal="left" vertical="center" wrapText="1"/>
    </xf>
    <xf numFmtId="0" fontId="3" fillId="0" borderId="14" xfId="0" applyNumberFormat="1" applyFont="1" applyFill="1" applyBorder="1" applyAlignment="1">
      <alignment horizontal="left" vertical="center" wrapText="1"/>
    </xf>
    <xf numFmtId="0" fontId="3" fillId="0" borderId="6" xfId="0" applyNumberFormat="1" applyFont="1" applyFill="1" applyBorder="1" applyAlignment="1">
      <alignment horizontal="left" vertical="center" wrapText="1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5" xfId="0" applyNumberFormat="1" applyFont="1" applyFill="1" applyBorder="1" applyAlignment="1">
      <alignment horizontal="left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1" fillId="0" borderId="13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12" xfId="0" applyNumberForma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14" xfId="0" applyNumberFormat="1" applyFill="1" applyBorder="1" applyAlignment="1">
      <alignment horizontal="center" vertical="center"/>
    </xf>
    <xf numFmtId="0" fontId="0" fillId="0" borderId="6" xfId="0" applyNumberFormat="1" applyFill="1" applyBorder="1" applyAlignment="1">
      <alignment horizontal="center" vertical="center"/>
    </xf>
    <xf numFmtId="0" fontId="0" fillId="0" borderId="7" xfId="0" applyNumberFormat="1" applyFill="1" applyBorder="1" applyAlignment="1">
      <alignment horizontal="center" vertical="center"/>
    </xf>
    <xf numFmtId="0" fontId="0" fillId="0" borderId="15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 wrapText="1"/>
    </xf>
    <xf numFmtId="0" fontId="0" fillId="0" borderId="5" xfId="0" applyNumberFormat="1" applyFill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8" xfId="0" applyNumberForma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12" xfId="0" applyNumberFormat="1" applyFill="1" applyBorder="1" applyAlignment="1">
      <alignment horizontal="left" vertical="center"/>
    </xf>
    <xf numFmtId="0" fontId="0" fillId="0" borderId="6" xfId="0" applyNumberFormat="1" applyFill="1" applyBorder="1" applyAlignment="1">
      <alignment horizontal="left" vertical="center"/>
    </xf>
    <xf numFmtId="0" fontId="0" fillId="0" borderId="7" xfId="0" applyNumberFormat="1" applyFill="1" applyBorder="1" applyAlignment="1">
      <alignment horizontal="left" vertical="center"/>
    </xf>
    <xf numFmtId="0" fontId="0" fillId="0" borderId="15" xfId="0" applyNumberFormat="1" applyFill="1" applyBorder="1" applyAlignment="1">
      <alignment horizontal="left" vertical="center"/>
    </xf>
    <xf numFmtId="0" fontId="0" fillId="0" borderId="9" xfId="0" applyNumberForma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8" fillId="0" borderId="1" xfId="0" applyNumberFormat="1" applyFont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0" borderId="12" xfId="0" applyNumberFormat="1" applyBorder="1" applyAlignment="1">
      <alignment horizontal="left" vertical="center"/>
    </xf>
    <xf numFmtId="0" fontId="0" fillId="0" borderId="6" xfId="0" applyNumberFormat="1" applyBorder="1" applyAlignment="1">
      <alignment horizontal="left" vertical="center"/>
    </xf>
    <xf numFmtId="0" fontId="0" fillId="0" borderId="7" xfId="0" applyNumberFormat="1" applyBorder="1" applyAlignment="1">
      <alignment horizontal="left" vertical="center"/>
    </xf>
    <xf numFmtId="0" fontId="0" fillId="0" borderId="15" xfId="0" applyNumberFormat="1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 wrapText="1"/>
    </xf>
    <xf numFmtId="0" fontId="0" fillId="0" borderId="13" xfId="0" applyNumberForma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49" fontId="5" fillId="0" borderId="12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5" fillId="0" borderId="14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49" fontId="5" fillId="0" borderId="15" xfId="0" applyNumberFormat="1" applyFont="1" applyBorder="1" applyAlignment="1">
      <alignment horizontal="left" vertical="center" wrapText="1"/>
    </xf>
    <xf numFmtId="0" fontId="0" fillId="0" borderId="1" xfId="0" applyNumberForma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0" fillId="0" borderId="1" xfId="0" applyNumberFormat="1" applyFont="1" applyBorder="1" applyAlignment="1">
      <alignment horizontal="left" vertical="center" wrapText="1"/>
    </xf>
    <xf numFmtId="0" fontId="10" fillId="0" borderId="2" xfId="0" applyNumberFormat="1" applyFont="1" applyBorder="1" applyAlignment="1">
      <alignment horizontal="left" vertical="center" wrapText="1"/>
    </xf>
    <xf numFmtId="0" fontId="10" fillId="0" borderId="12" xfId="0" applyNumberFormat="1" applyFont="1" applyBorder="1" applyAlignment="1">
      <alignment horizontal="left" vertical="center" wrapText="1"/>
    </xf>
    <xf numFmtId="0" fontId="10" fillId="0" borderId="4" xfId="0" applyNumberFormat="1" applyFont="1" applyBorder="1" applyAlignment="1">
      <alignment horizontal="left" vertical="center" wrapText="1"/>
    </xf>
    <xf numFmtId="0" fontId="10" fillId="0" borderId="0" xfId="0" applyNumberFormat="1" applyFont="1" applyAlignment="1">
      <alignment horizontal="left" vertical="center" wrapText="1"/>
    </xf>
    <xf numFmtId="0" fontId="10" fillId="0" borderId="14" xfId="0" applyNumberFormat="1" applyFont="1" applyBorder="1" applyAlignment="1">
      <alignment horizontal="left" vertical="center" wrapText="1"/>
    </xf>
    <xf numFmtId="0" fontId="10" fillId="0" borderId="6" xfId="0" applyNumberFormat="1" applyFont="1" applyBorder="1" applyAlignment="1">
      <alignment horizontal="left" vertical="center" wrapText="1"/>
    </xf>
    <xf numFmtId="0" fontId="10" fillId="0" borderId="7" xfId="0" applyNumberFormat="1" applyFont="1" applyBorder="1" applyAlignment="1">
      <alignment horizontal="left" vertical="center" wrapText="1"/>
    </xf>
    <xf numFmtId="0" fontId="10" fillId="0" borderId="15" xfId="0" applyNumberFormat="1" applyFont="1" applyBorder="1" applyAlignment="1">
      <alignment horizontal="left" vertical="center" wrapText="1"/>
    </xf>
    <xf numFmtId="0" fontId="8" fillId="0" borderId="3" xfId="0" applyNumberFormat="1" applyFon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49" fontId="5" fillId="0" borderId="2" xfId="0" applyNumberFormat="1" applyFont="1" applyFill="1" applyBorder="1" applyAlignment="1">
      <alignment horizontal="left" vertical="center" wrapText="1"/>
    </xf>
    <xf numFmtId="49" fontId="5" fillId="0" borderId="12" xfId="0" applyNumberFormat="1" applyFont="1" applyFill="1" applyBorder="1" applyAlignment="1">
      <alignment horizontal="left" vertical="center" wrapText="1"/>
    </xf>
    <xf numFmtId="49" fontId="5" fillId="0" borderId="4" xfId="0" applyNumberFormat="1" applyFont="1" applyFill="1" applyBorder="1" applyAlignment="1">
      <alignment horizontal="left" vertical="center" wrapText="1"/>
    </xf>
    <xf numFmtId="49" fontId="5" fillId="0" borderId="0" xfId="0" applyNumberFormat="1" applyFont="1" applyFill="1" applyAlignment="1">
      <alignment horizontal="left" vertical="center" wrapText="1"/>
    </xf>
    <xf numFmtId="49" fontId="5" fillId="0" borderId="14" xfId="0" applyNumberFormat="1" applyFont="1" applyFill="1" applyBorder="1" applyAlignment="1">
      <alignment horizontal="left" vertical="center" wrapText="1"/>
    </xf>
    <xf numFmtId="49" fontId="5" fillId="0" borderId="6" xfId="0" applyNumberFormat="1" applyFont="1" applyFill="1" applyBorder="1" applyAlignment="1">
      <alignment horizontal="left" vertical="center" wrapText="1"/>
    </xf>
    <xf numFmtId="49" fontId="5" fillId="0" borderId="7" xfId="0" applyNumberFormat="1" applyFont="1" applyFill="1" applyBorder="1" applyAlignment="1">
      <alignment horizontal="left" vertical="center" wrapText="1"/>
    </xf>
    <xf numFmtId="49" fontId="5" fillId="0" borderId="15" xfId="0" applyNumberFormat="1" applyFont="1" applyFill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A7A99D"/>
      <color rgb="FF8FBA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wmf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22</xdr:row>
      <xdr:rowOff>33617</xdr:rowOff>
    </xdr:from>
    <xdr:to>
      <xdr:col>1</xdr:col>
      <xdr:colOff>257736</xdr:colOff>
      <xdr:row>24</xdr:row>
      <xdr:rowOff>11205</xdr:rowOff>
    </xdr:to>
    <xdr:pic>
      <xdr:nvPicPr>
        <xdr:cNvPr id="7" name="Picture 8" descr="未标题-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6" y="7351058"/>
          <a:ext cx="1032622" cy="32497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40</xdr:row>
      <xdr:rowOff>62230</xdr:rowOff>
    </xdr:from>
    <xdr:to>
      <xdr:col>5</xdr:col>
      <xdr:colOff>1111250</xdr:colOff>
      <xdr:row>41</xdr:row>
      <xdr:rowOff>325755</xdr:rowOff>
    </xdr:to>
    <xdr:pic>
      <xdr:nvPicPr>
        <xdr:cNvPr id="43" name="Picture 69" descr="MCj04229430000[1]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29250" y="14107795"/>
          <a:ext cx="69024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40</xdr:row>
      <xdr:rowOff>69850</xdr:rowOff>
    </xdr:from>
    <xdr:to>
      <xdr:col>4</xdr:col>
      <xdr:colOff>880110</xdr:colOff>
      <xdr:row>41</xdr:row>
      <xdr:rowOff>333375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165600" y="14115415"/>
          <a:ext cx="56070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40</xdr:row>
      <xdr:rowOff>75565</xdr:rowOff>
    </xdr:from>
    <xdr:to>
      <xdr:col>1</xdr:col>
      <xdr:colOff>694055</xdr:colOff>
      <xdr:row>41</xdr:row>
      <xdr:rowOff>339090</xdr:rowOff>
    </xdr:to>
    <xdr:pic>
      <xdr:nvPicPr>
        <xdr:cNvPr id="67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3450" y="14121130"/>
          <a:ext cx="54165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40</xdr:row>
      <xdr:rowOff>90805</xdr:rowOff>
    </xdr:from>
    <xdr:to>
      <xdr:col>3</xdr:col>
      <xdr:colOff>184785</xdr:colOff>
      <xdr:row>41</xdr:row>
      <xdr:rowOff>354330</xdr:rowOff>
    </xdr:to>
    <xdr:pic>
      <xdr:nvPicPr>
        <xdr:cNvPr id="68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7390" y="14136370"/>
          <a:ext cx="521970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40</xdr:row>
      <xdr:rowOff>78105</xdr:rowOff>
    </xdr:from>
    <xdr:to>
      <xdr:col>6</xdr:col>
      <xdr:colOff>868680</xdr:colOff>
      <xdr:row>41</xdr:row>
      <xdr:rowOff>341630</xdr:rowOff>
    </xdr:to>
    <xdr:pic>
      <xdr:nvPicPr>
        <xdr:cNvPr id="69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64350" y="14123670"/>
          <a:ext cx="59372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40</xdr:row>
      <xdr:rowOff>85725</xdr:rowOff>
    </xdr:from>
    <xdr:to>
      <xdr:col>3</xdr:col>
      <xdr:colOff>1201420</xdr:colOff>
      <xdr:row>41</xdr:row>
      <xdr:rowOff>349250</xdr:rowOff>
    </xdr:to>
    <xdr:pic>
      <xdr:nvPicPr>
        <xdr:cNvPr id="70" name="Picture 68" descr="MCj04260460000[1]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2435" y="14131290"/>
          <a:ext cx="543560" cy="54229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40</xdr:row>
          <xdr:rowOff>238125</xdr:rowOff>
        </xdr:from>
        <xdr:to>
          <xdr:col>2</xdr:col>
          <xdr:colOff>504825</xdr:colOff>
          <xdr:row>41</xdr:row>
          <xdr:rowOff>180975</xdr:rowOff>
        </xdr:to>
        <xdr:sp macro="" textlink="">
          <xdr:nvSpPr>
            <xdr:cNvPr id="2127" name="Check Box 6394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40</xdr:row>
          <xdr:rowOff>238125</xdr:rowOff>
        </xdr:from>
        <xdr:to>
          <xdr:col>3</xdr:col>
          <xdr:colOff>666750</xdr:colOff>
          <xdr:row>41</xdr:row>
          <xdr:rowOff>180975</xdr:rowOff>
        </xdr:to>
        <xdr:sp macro="" textlink="">
          <xdr:nvSpPr>
            <xdr:cNvPr id="2128" name="Check Box 6394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40</xdr:row>
          <xdr:rowOff>238125</xdr:rowOff>
        </xdr:from>
        <xdr:to>
          <xdr:col>4</xdr:col>
          <xdr:colOff>200025</xdr:colOff>
          <xdr:row>41</xdr:row>
          <xdr:rowOff>180975</xdr:rowOff>
        </xdr:to>
        <xdr:sp macro="" textlink="">
          <xdr:nvSpPr>
            <xdr:cNvPr id="2129" name="Check Box 6394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40</xdr:row>
          <xdr:rowOff>238125</xdr:rowOff>
        </xdr:from>
        <xdr:to>
          <xdr:col>5</xdr:col>
          <xdr:colOff>276225</xdr:colOff>
          <xdr:row>41</xdr:row>
          <xdr:rowOff>180975</xdr:rowOff>
        </xdr:to>
        <xdr:sp macro="" textlink="">
          <xdr:nvSpPr>
            <xdr:cNvPr id="2130" name="Check Box 6394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40</xdr:row>
          <xdr:rowOff>238125</xdr:rowOff>
        </xdr:from>
        <xdr:to>
          <xdr:col>6</xdr:col>
          <xdr:colOff>47625</xdr:colOff>
          <xdr:row>41</xdr:row>
          <xdr:rowOff>180975</xdr:rowOff>
        </xdr:to>
        <xdr:sp macro="" textlink="">
          <xdr:nvSpPr>
            <xdr:cNvPr id="2131" name="Check Box 6394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40</xdr:row>
          <xdr:rowOff>238125</xdr:rowOff>
        </xdr:from>
        <xdr:to>
          <xdr:col>6</xdr:col>
          <xdr:colOff>1419225</xdr:colOff>
          <xdr:row>41</xdr:row>
          <xdr:rowOff>180975</xdr:rowOff>
        </xdr:to>
        <xdr:sp macro="" textlink="">
          <xdr:nvSpPr>
            <xdr:cNvPr id="2132" name="Check Box 639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5</xdr:col>
      <xdr:colOff>76869</xdr:colOff>
      <xdr:row>27</xdr:row>
      <xdr:rowOff>112051</xdr:rowOff>
    </xdr:from>
    <xdr:to>
      <xdr:col>5</xdr:col>
      <xdr:colOff>1311092</xdr:colOff>
      <xdr:row>34</xdr:row>
      <xdr:rowOff>417045</xdr:rowOff>
    </xdr:to>
    <xdr:grpSp>
      <xdr:nvGrpSpPr>
        <xdr:cNvPr id="3" name="组合 2"/>
        <xdr:cNvGrpSpPr/>
      </xdr:nvGrpSpPr>
      <xdr:grpSpPr>
        <a:xfrm>
          <a:off x="5097104" y="8774198"/>
          <a:ext cx="1234223" cy="1470406"/>
          <a:chOff x="5270552" y="23386371"/>
          <a:chExt cx="1235772" cy="1493614"/>
        </a:xfrm>
      </xdr:grpSpPr>
      <xdr:sp macro="" textlink="">
        <xdr:nvSpPr>
          <xdr:cNvPr id="175" name="矩形 174"/>
          <xdr:cNvSpPr/>
        </xdr:nvSpPr>
        <xdr:spPr>
          <a:xfrm>
            <a:off x="5585422" y="24634536"/>
            <a:ext cx="525556" cy="245449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 w="9525">
            <a:noFill/>
          </a:ln>
        </xdr:spPr>
        <xdr:txBody>
          <a:bodyPr vertOverflow="clip" vert="horz" wrap="square" anchor="ctr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zh-CN" sz="1000">
                <a:solidFill>
                  <a:srgbClr val="000000"/>
                </a:solidFill>
              </a:rPr>
              <a:t>PIC1</a:t>
            </a:r>
          </a:p>
        </xdr:txBody>
      </xdr:sp>
      <xdr:pic>
        <xdr:nvPicPr>
          <xdr:cNvPr id="23" name="图片 22"/>
          <xdr:cNvPicPr>
            <a:picLocks noChangeAspect="1"/>
          </xdr:cNvPicPr>
        </xdr:nvPicPr>
        <xdr:blipFill rotWithShape="1">
          <a:blip xmlns:r="http://schemas.openxmlformats.org/officeDocument/2006/relationships" r:embed="rId8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 rot="5400000">
            <a:off x="5376433" y="23441579"/>
            <a:ext cx="1022724" cy="1234486"/>
          </a:xfrm>
          <a:prstGeom prst="rect">
            <a:avLst/>
          </a:prstGeom>
        </xdr:spPr>
      </xdr:pic>
      <xdr:sp macro="" textlink="">
        <xdr:nvSpPr>
          <xdr:cNvPr id="176" name="圆角矩形 175"/>
          <xdr:cNvSpPr/>
        </xdr:nvSpPr>
        <xdr:spPr>
          <a:xfrm rot="5400000">
            <a:off x="5350613" y="23911841"/>
            <a:ext cx="712199" cy="331303"/>
          </a:xfrm>
          <a:prstGeom prst="roundRect">
            <a:avLst/>
          </a:prstGeom>
          <a:noFill/>
          <a:ln>
            <a:solidFill>
              <a:srgbClr val="FF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 macro="" textlink="">
        <xdr:nvSpPr>
          <xdr:cNvPr id="177" name="圆角矩形 176"/>
          <xdr:cNvSpPr/>
        </xdr:nvSpPr>
        <xdr:spPr>
          <a:xfrm>
            <a:off x="5883776" y="23386371"/>
            <a:ext cx="622548" cy="261811"/>
          </a:xfrm>
          <a:prstGeom prst="round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800">
                <a:solidFill>
                  <a:sysClr val="windowText" lastClr="000000"/>
                </a:solidFill>
              </a:rPr>
              <a:t>内标签</a:t>
            </a:r>
          </a:p>
        </xdr:txBody>
      </xdr:sp>
      <xdr:cxnSp macro="">
        <xdr:nvCxnSpPr>
          <xdr:cNvPr id="178" name="直接箭头连接符 177"/>
          <xdr:cNvCxnSpPr/>
        </xdr:nvCxnSpPr>
        <xdr:spPr>
          <a:xfrm flipH="1">
            <a:off x="5917779" y="23632319"/>
            <a:ext cx="289890" cy="157369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1349528</xdr:colOff>
      <xdr:row>34</xdr:row>
      <xdr:rowOff>184077</xdr:rowOff>
    </xdr:from>
    <xdr:to>
      <xdr:col>7</xdr:col>
      <xdr:colOff>1875084</xdr:colOff>
      <xdr:row>34</xdr:row>
      <xdr:rowOff>429527</xdr:rowOff>
    </xdr:to>
    <xdr:sp macro="" textlink="">
      <xdr:nvSpPr>
        <xdr:cNvPr id="278" name="矩形 277"/>
        <xdr:cNvSpPr/>
      </xdr:nvSpPr>
      <xdr:spPr>
        <a:xfrm>
          <a:off x="9440175" y="10011636"/>
          <a:ext cx="525556" cy="24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6</xdr:col>
      <xdr:colOff>265865</xdr:colOff>
      <xdr:row>34</xdr:row>
      <xdr:rowOff>184465</xdr:rowOff>
    </xdr:from>
    <xdr:to>
      <xdr:col>6</xdr:col>
      <xdr:colOff>791421</xdr:colOff>
      <xdr:row>34</xdr:row>
      <xdr:rowOff>429915</xdr:rowOff>
    </xdr:to>
    <xdr:sp macro="" textlink="">
      <xdr:nvSpPr>
        <xdr:cNvPr id="279" name="矩形 278"/>
        <xdr:cNvSpPr/>
      </xdr:nvSpPr>
      <xdr:spPr>
        <a:xfrm>
          <a:off x="6866130" y="10012024"/>
          <a:ext cx="525556" cy="24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5</xdr:col>
      <xdr:colOff>564627</xdr:colOff>
      <xdr:row>36</xdr:row>
      <xdr:rowOff>904875</xdr:rowOff>
    </xdr:from>
    <xdr:to>
      <xdr:col>5</xdr:col>
      <xdr:colOff>1091447</xdr:colOff>
      <xdr:row>36</xdr:row>
      <xdr:rowOff>1101527</xdr:rowOff>
    </xdr:to>
    <xdr:sp macro="" textlink="">
      <xdr:nvSpPr>
        <xdr:cNvPr id="280" name="矩形 279"/>
        <xdr:cNvSpPr/>
      </xdr:nvSpPr>
      <xdr:spPr>
        <a:xfrm>
          <a:off x="5574777" y="12553950"/>
          <a:ext cx="526820" cy="19665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 editAs="oneCell">
    <xdr:from>
      <xdr:col>5</xdr:col>
      <xdr:colOff>1423619</xdr:colOff>
      <xdr:row>28</xdr:row>
      <xdr:rowOff>110298</xdr:rowOff>
    </xdr:from>
    <xdr:to>
      <xdr:col>6</xdr:col>
      <xdr:colOff>1117521</xdr:colOff>
      <xdr:row>34</xdr:row>
      <xdr:rowOff>112058</xdr:rowOff>
    </xdr:to>
    <xdr:pic>
      <xdr:nvPicPr>
        <xdr:cNvPr id="28" name="图片 27"/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43854" y="8940533"/>
          <a:ext cx="1273932" cy="999084"/>
        </a:xfrm>
        <a:prstGeom prst="rect">
          <a:avLst/>
        </a:prstGeom>
      </xdr:spPr>
    </xdr:pic>
    <xdr:clientData/>
  </xdr:twoCellAnchor>
  <xdr:twoCellAnchor>
    <xdr:from>
      <xdr:col>6</xdr:col>
      <xdr:colOff>1459054</xdr:colOff>
      <xdr:row>34</xdr:row>
      <xdr:rowOff>210771</xdr:rowOff>
    </xdr:from>
    <xdr:to>
      <xdr:col>7</xdr:col>
      <xdr:colOff>494228</xdr:colOff>
      <xdr:row>34</xdr:row>
      <xdr:rowOff>456221</xdr:rowOff>
    </xdr:to>
    <xdr:sp macro="" textlink="">
      <xdr:nvSpPr>
        <xdr:cNvPr id="120" name="矩形 119"/>
        <xdr:cNvSpPr/>
      </xdr:nvSpPr>
      <xdr:spPr>
        <a:xfrm>
          <a:off x="8059319" y="10038330"/>
          <a:ext cx="525556" cy="24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8</xdr:col>
      <xdr:colOff>701426</xdr:colOff>
      <xdr:row>34</xdr:row>
      <xdr:rowOff>183490</xdr:rowOff>
    </xdr:from>
    <xdr:to>
      <xdr:col>8</xdr:col>
      <xdr:colOff>1226982</xdr:colOff>
      <xdr:row>34</xdr:row>
      <xdr:rowOff>428940</xdr:rowOff>
    </xdr:to>
    <xdr:sp macro="" textlink="">
      <xdr:nvSpPr>
        <xdr:cNvPr id="131" name="矩形 130"/>
        <xdr:cNvSpPr/>
      </xdr:nvSpPr>
      <xdr:spPr>
        <a:xfrm>
          <a:off x="10674661" y="10011049"/>
          <a:ext cx="525556" cy="24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6</xdr:col>
      <xdr:colOff>1473373</xdr:colOff>
      <xdr:row>36</xdr:row>
      <xdr:rowOff>893673</xdr:rowOff>
    </xdr:from>
    <xdr:to>
      <xdr:col>7</xdr:col>
      <xdr:colOff>1424988</xdr:colOff>
      <xdr:row>36</xdr:row>
      <xdr:rowOff>1097986</xdr:rowOff>
    </xdr:to>
    <xdr:sp macro="" textlink="">
      <xdr:nvSpPr>
        <xdr:cNvPr id="75" name="矩形 74"/>
        <xdr:cNvSpPr/>
      </xdr:nvSpPr>
      <xdr:spPr>
        <a:xfrm>
          <a:off x="8073638" y="12514173"/>
          <a:ext cx="1441997" cy="20431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sz="800">
              <a:solidFill>
                <a:srgbClr val="000000"/>
              </a:solidFill>
            </a:rPr>
            <a:t>每箱数量对照表</a:t>
          </a:r>
          <a:endParaRPr lang="en-US" altLang="zh-CN" sz="800">
            <a:solidFill>
              <a:srgbClr val="000000"/>
            </a:solidFill>
          </a:endParaRPr>
        </a:p>
      </xdr:txBody>
    </xdr:sp>
    <xdr:clientData/>
  </xdr:twoCellAnchor>
  <xdr:twoCellAnchor>
    <xdr:from>
      <xdr:col>0</xdr:col>
      <xdr:colOff>9525</xdr:colOff>
      <xdr:row>0</xdr:row>
      <xdr:rowOff>33617</xdr:rowOff>
    </xdr:from>
    <xdr:to>
      <xdr:col>1</xdr:col>
      <xdr:colOff>321310</xdr:colOff>
      <xdr:row>2</xdr:row>
      <xdr:rowOff>32907</xdr:rowOff>
    </xdr:to>
    <xdr:pic>
      <xdr:nvPicPr>
        <xdr:cNvPr id="73" name="Picture 8" descr="未标题-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33617"/>
          <a:ext cx="1096197" cy="346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18</xdr:row>
      <xdr:rowOff>62230</xdr:rowOff>
    </xdr:from>
    <xdr:to>
      <xdr:col>5</xdr:col>
      <xdr:colOff>1111250</xdr:colOff>
      <xdr:row>19</xdr:row>
      <xdr:rowOff>325755</xdr:rowOff>
    </xdr:to>
    <xdr:pic>
      <xdr:nvPicPr>
        <xdr:cNvPr id="74" name="Picture 69" descr="MCj04229430000[1]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41240" y="17139995"/>
          <a:ext cx="69024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18</xdr:row>
      <xdr:rowOff>69850</xdr:rowOff>
    </xdr:from>
    <xdr:to>
      <xdr:col>4</xdr:col>
      <xdr:colOff>880110</xdr:colOff>
      <xdr:row>19</xdr:row>
      <xdr:rowOff>333375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174229" y="17147615"/>
          <a:ext cx="56070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18</xdr:row>
      <xdr:rowOff>75565</xdr:rowOff>
    </xdr:from>
    <xdr:to>
      <xdr:col>1</xdr:col>
      <xdr:colOff>694055</xdr:colOff>
      <xdr:row>19</xdr:row>
      <xdr:rowOff>339090</xdr:rowOff>
    </xdr:to>
    <xdr:pic>
      <xdr:nvPicPr>
        <xdr:cNvPr id="77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6812" y="17153330"/>
          <a:ext cx="54165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18</xdr:row>
      <xdr:rowOff>90805</xdr:rowOff>
    </xdr:from>
    <xdr:to>
      <xdr:col>3</xdr:col>
      <xdr:colOff>184785</xdr:colOff>
      <xdr:row>19</xdr:row>
      <xdr:rowOff>354330</xdr:rowOff>
    </xdr:to>
    <xdr:pic>
      <xdr:nvPicPr>
        <xdr:cNvPr id="78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80191" y="17168570"/>
          <a:ext cx="524212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18</xdr:row>
      <xdr:rowOff>78105</xdr:rowOff>
    </xdr:from>
    <xdr:to>
      <xdr:col>6</xdr:col>
      <xdr:colOff>868680</xdr:colOff>
      <xdr:row>19</xdr:row>
      <xdr:rowOff>341630</xdr:rowOff>
    </xdr:to>
    <xdr:pic>
      <xdr:nvPicPr>
        <xdr:cNvPr id="79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75220" y="17155870"/>
          <a:ext cx="59372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18</xdr:row>
      <xdr:rowOff>85725</xdr:rowOff>
    </xdr:from>
    <xdr:to>
      <xdr:col>3</xdr:col>
      <xdr:colOff>1201420</xdr:colOff>
      <xdr:row>19</xdr:row>
      <xdr:rowOff>349250</xdr:rowOff>
    </xdr:to>
    <xdr:pic>
      <xdr:nvPicPr>
        <xdr:cNvPr id="80" name="Picture 68" descr="MCj04260460000[1]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7478" y="17163490"/>
          <a:ext cx="543560" cy="543672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18</xdr:row>
          <xdr:rowOff>238125</xdr:rowOff>
        </xdr:from>
        <xdr:to>
          <xdr:col>2</xdr:col>
          <xdr:colOff>504825</xdr:colOff>
          <xdr:row>19</xdr:row>
          <xdr:rowOff>171450</xdr:rowOff>
        </xdr:to>
        <xdr:sp macro="" textlink="">
          <xdr:nvSpPr>
            <xdr:cNvPr id="2139" name="Check Box 6394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18</xdr:row>
          <xdr:rowOff>238125</xdr:rowOff>
        </xdr:from>
        <xdr:to>
          <xdr:col>3</xdr:col>
          <xdr:colOff>676275</xdr:colOff>
          <xdr:row>19</xdr:row>
          <xdr:rowOff>171450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18</xdr:row>
          <xdr:rowOff>238125</xdr:rowOff>
        </xdr:from>
        <xdr:to>
          <xdr:col>4</xdr:col>
          <xdr:colOff>200025</xdr:colOff>
          <xdr:row>19</xdr:row>
          <xdr:rowOff>171450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18</xdr:row>
          <xdr:rowOff>238125</xdr:rowOff>
        </xdr:from>
        <xdr:to>
          <xdr:col>5</xdr:col>
          <xdr:colOff>276225</xdr:colOff>
          <xdr:row>19</xdr:row>
          <xdr:rowOff>171450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18</xdr:row>
          <xdr:rowOff>238125</xdr:rowOff>
        </xdr:from>
        <xdr:to>
          <xdr:col>6</xdr:col>
          <xdr:colOff>47625</xdr:colOff>
          <xdr:row>19</xdr:row>
          <xdr:rowOff>171450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18</xdr:row>
          <xdr:rowOff>238125</xdr:rowOff>
        </xdr:from>
        <xdr:to>
          <xdr:col>6</xdr:col>
          <xdr:colOff>1419225</xdr:colOff>
          <xdr:row>19</xdr:row>
          <xdr:rowOff>171450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7</xdr:col>
      <xdr:colOff>1674501</xdr:colOff>
      <xdr:row>12</xdr:row>
      <xdr:rowOff>273723</xdr:rowOff>
    </xdr:from>
    <xdr:to>
      <xdr:col>8</xdr:col>
      <xdr:colOff>317469</xdr:colOff>
      <xdr:row>12</xdr:row>
      <xdr:rowOff>519173</xdr:rowOff>
    </xdr:to>
    <xdr:sp macro="" textlink="">
      <xdr:nvSpPr>
        <xdr:cNvPr id="93" name="矩形 92"/>
        <xdr:cNvSpPr/>
      </xdr:nvSpPr>
      <xdr:spPr>
        <a:xfrm>
          <a:off x="9765148" y="2783841"/>
          <a:ext cx="525556" cy="24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6</xdr:col>
      <xdr:colOff>142601</xdr:colOff>
      <xdr:row>12</xdr:row>
      <xdr:rowOff>150848</xdr:rowOff>
    </xdr:from>
    <xdr:to>
      <xdr:col>6</xdr:col>
      <xdr:colOff>668157</xdr:colOff>
      <xdr:row>12</xdr:row>
      <xdr:rowOff>396298</xdr:rowOff>
    </xdr:to>
    <xdr:sp macro="" textlink="">
      <xdr:nvSpPr>
        <xdr:cNvPr id="94" name="矩形 93"/>
        <xdr:cNvSpPr/>
      </xdr:nvSpPr>
      <xdr:spPr>
        <a:xfrm>
          <a:off x="6742866" y="2660966"/>
          <a:ext cx="525556" cy="24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7</xdr:col>
      <xdr:colOff>2289</xdr:colOff>
      <xdr:row>12</xdr:row>
      <xdr:rowOff>154742</xdr:rowOff>
    </xdr:from>
    <xdr:to>
      <xdr:col>7</xdr:col>
      <xdr:colOff>527845</xdr:colOff>
      <xdr:row>12</xdr:row>
      <xdr:rowOff>400192</xdr:rowOff>
    </xdr:to>
    <xdr:sp macro="" textlink="">
      <xdr:nvSpPr>
        <xdr:cNvPr id="108" name="矩形 107"/>
        <xdr:cNvSpPr/>
      </xdr:nvSpPr>
      <xdr:spPr>
        <a:xfrm>
          <a:off x="8092936" y="2664860"/>
          <a:ext cx="525556" cy="24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6</xdr:col>
      <xdr:colOff>541603</xdr:colOff>
      <xdr:row>14</xdr:row>
      <xdr:rowOff>907677</xdr:rowOff>
    </xdr:from>
    <xdr:to>
      <xdr:col>7</xdr:col>
      <xdr:colOff>485374</xdr:colOff>
      <xdr:row>14</xdr:row>
      <xdr:rowOff>1111990</xdr:rowOff>
    </xdr:to>
    <xdr:sp macro="" textlink="">
      <xdr:nvSpPr>
        <xdr:cNvPr id="117" name="矩形 116"/>
        <xdr:cNvSpPr/>
      </xdr:nvSpPr>
      <xdr:spPr>
        <a:xfrm>
          <a:off x="7141868" y="5210736"/>
          <a:ext cx="1434153" cy="20431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sz="900">
              <a:solidFill>
                <a:srgbClr val="000000"/>
              </a:solidFill>
            </a:rPr>
            <a:t>每箱数量对照表</a:t>
          </a:r>
          <a:endParaRPr lang="en-US" altLang="zh-CN" sz="900">
            <a:solidFill>
              <a:srgbClr val="000000"/>
            </a:solidFill>
          </a:endParaRPr>
        </a:p>
      </xdr:txBody>
    </xdr:sp>
    <xdr:clientData/>
  </xdr:twoCellAnchor>
  <xdr:twoCellAnchor>
    <xdr:from>
      <xdr:col>2</xdr:col>
      <xdr:colOff>100853</xdr:colOff>
      <xdr:row>5</xdr:row>
      <xdr:rowOff>78442</xdr:rowOff>
    </xdr:from>
    <xdr:to>
      <xdr:col>3</xdr:col>
      <xdr:colOff>313764</xdr:colOff>
      <xdr:row>6</xdr:row>
      <xdr:rowOff>100854</xdr:rowOff>
    </xdr:to>
    <xdr:sp macro="" textlink="">
      <xdr:nvSpPr>
        <xdr:cNvPr id="118" name="文本框 117"/>
        <xdr:cNvSpPr txBox="1"/>
      </xdr:nvSpPr>
      <xdr:spPr>
        <a:xfrm>
          <a:off x="1580029" y="8740589"/>
          <a:ext cx="1053353" cy="190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zh-C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发货</a:t>
          </a:r>
          <a:r>
            <a:rPr lang="en-US" altLang="zh-C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ADV</a:t>
          </a:r>
          <a:r>
            <a:rPr lang="zh-CN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明安</a:t>
          </a:r>
          <a:endParaRPr lang="zh-CN" altLang="en-US" sz="900"/>
        </a:p>
      </xdr:txBody>
    </xdr:sp>
    <xdr:clientData/>
  </xdr:twoCellAnchor>
  <xdr:twoCellAnchor>
    <xdr:from>
      <xdr:col>5</xdr:col>
      <xdr:colOff>123264</xdr:colOff>
      <xdr:row>5</xdr:row>
      <xdr:rowOff>123265</xdr:rowOff>
    </xdr:from>
    <xdr:to>
      <xdr:col>5</xdr:col>
      <xdr:colOff>1243853</xdr:colOff>
      <xdr:row>12</xdr:row>
      <xdr:rowOff>359069</xdr:rowOff>
    </xdr:to>
    <xdr:grpSp>
      <xdr:nvGrpSpPr>
        <xdr:cNvPr id="125" name="组合 124"/>
        <xdr:cNvGrpSpPr/>
      </xdr:nvGrpSpPr>
      <xdr:grpSpPr>
        <a:xfrm>
          <a:off x="5143499" y="1467971"/>
          <a:ext cx="1120589" cy="1401216"/>
          <a:chOff x="5042856" y="8695285"/>
          <a:chExt cx="1120589" cy="1401216"/>
        </a:xfrm>
      </xdr:grpSpPr>
      <xdr:pic>
        <xdr:nvPicPr>
          <xdr:cNvPr id="126" name="图片 125"/>
          <xdr:cNvPicPr>
            <a:picLocks noChangeAspect="1"/>
          </xdr:cNvPicPr>
        </xdr:nvPicPr>
        <xdr:blipFill>
          <a:blip xmlns:r="http://schemas.openxmlformats.org/officeDocument/2006/relationships" r:embed="rId1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042856" y="8875058"/>
            <a:ext cx="1120589" cy="909050"/>
          </a:xfrm>
          <a:prstGeom prst="rect">
            <a:avLst/>
          </a:prstGeom>
        </xdr:spPr>
      </xdr:pic>
      <xdr:grpSp>
        <xdr:nvGrpSpPr>
          <xdr:cNvPr id="127" name="组合 126"/>
          <xdr:cNvGrpSpPr/>
        </xdr:nvGrpSpPr>
        <xdr:grpSpPr>
          <a:xfrm>
            <a:off x="5221072" y="8695285"/>
            <a:ext cx="931167" cy="1401216"/>
            <a:chOff x="5361021" y="23249291"/>
            <a:chExt cx="932337" cy="1920768"/>
          </a:xfrm>
        </xdr:grpSpPr>
        <xdr:sp macro="" textlink="">
          <xdr:nvSpPr>
            <xdr:cNvPr id="130" name="矩形 129"/>
            <xdr:cNvSpPr/>
          </xdr:nvSpPr>
          <xdr:spPr>
            <a:xfrm>
              <a:off x="5361021" y="24836552"/>
              <a:ext cx="525556" cy="333507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 w="9525">
              <a:noFill/>
            </a:ln>
          </xdr:spPr>
          <xdr:txBody>
            <a:bodyPr vertOverflow="clip" vert="horz" wrap="square" anchor="t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en-US" altLang="zh-CN">
                  <a:solidFill>
                    <a:srgbClr val="000000"/>
                  </a:solidFill>
                </a:rPr>
                <a:t>PIC1</a:t>
              </a:r>
            </a:p>
          </xdr:txBody>
        </xdr:sp>
        <xdr:sp macro="" textlink="">
          <xdr:nvSpPr>
            <xdr:cNvPr id="132" name="圆角矩形 131"/>
            <xdr:cNvSpPr/>
          </xdr:nvSpPr>
          <xdr:spPr>
            <a:xfrm rot="5400000">
              <a:off x="5164972" y="23880691"/>
              <a:ext cx="926401" cy="331303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 macro="" textlink="">
          <xdr:nvSpPr>
            <xdr:cNvPr id="133" name="圆角矩形 132"/>
            <xdr:cNvSpPr/>
          </xdr:nvSpPr>
          <xdr:spPr>
            <a:xfrm>
              <a:off x="5760354" y="23249291"/>
              <a:ext cx="533004" cy="337939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700">
                  <a:solidFill>
                    <a:sysClr val="windowText" lastClr="000000"/>
                  </a:solidFill>
                </a:rPr>
                <a:t>内标签</a:t>
              </a:r>
            </a:p>
          </xdr:txBody>
        </xdr:sp>
        <xdr:cxnSp macro="">
          <xdr:nvCxnSpPr>
            <xdr:cNvPr id="134" name="直接箭头连接符 133"/>
            <xdr:cNvCxnSpPr/>
          </xdr:nvCxnSpPr>
          <xdr:spPr>
            <a:xfrm flipH="1">
              <a:off x="5839240" y="23564023"/>
              <a:ext cx="289890" cy="157369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</xdr:col>
      <xdr:colOff>952500</xdr:colOff>
      <xdr:row>5</xdr:row>
      <xdr:rowOff>112539</xdr:rowOff>
    </xdr:from>
    <xdr:to>
      <xdr:col>8</xdr:col>
      <xdr:colOff>1568824</xdr:colOff>
      <xdr:row>12</xdr:row>
      <xdr:rowOff>235346</xdr:rowOff>
    </xdr:to>
    <xdr:grpSp>
      <xdr:nvGrpSpPr>
        <xdr:cNvPr id="135" name="组合 134"/>
        <xdr:cNvGrpSpPr/>
      </xdr:nvGrpSpPr>
      <xdr:grpSpPr>
        <a:xfrm>
          <a:off x="9043147" y="1457245"/>
          <a:ext cx="2498912" cy="1288219"/>
          <a:chOff x="5804855" y="10780059"/>
          <a:chExt cx="2498912" cy="1288219"/>
        </a:xfrm>
      </xdr:grpSpPr>
      <xdr:pic>
        <xdr:nvPicPr>
          <xdr:cNvPr id="136" name="图片 135"/>
          <xdr:cNvPicPr>
            <a:picLocks noChangeAspect="1"/>
          </xdr:cNvPicPr>
        </xdr:nvPicPr>
        <xdr:blipFill>
          <a:blip xmlns:r="http://schemas.openxmlformats.org/officeDocument/2006/relationships" r:embed="rId1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6387352" y="10780059"/>
            <a:ext cx="1468180" cy="1045177"/>
          </a:xfrm>
          <a:prstGeom prst="rect">
            <a:avLst/>
          </a:prstGeom>
        </xdr:spPr>
      </xdr:pic>
      <xdr:grpSp>
        <xdr:nvGrpSpPr>
          <xdr:cNvPr id="137" name="组合 136"/>
          <xdr:cNvGrpSpPr/>
        </xdr:nvGrpSpPr>
        <xdr:grpSpPr>
          <a:xfrm>
            <a:off x="5804855" y="11172260"/>
            <a:ext cx="2498912" cy="896018"/>
            <a:chOff x="7021705" y="33358427"/>
            <a:chExt cx="2492914" cy="622476"/>
          </a:xfrm>
        </xdr:grpSpPr>
        <xdr:cxnSp macro="">
          <xdr:nvCxnSpPr>
            <xdr:cNvPr id="138" name="直接箭头连接符 137"/>
            <xdr:cNvCxnSpPr/>
          </xdr:nvCxnSpPr>
          <xdr:spPr>
            <a:xfrm flipV="1">
              <a:off x="7446296" y="33560823"/>
              <a:ext cx="368907" cy="272470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9" name="圆角矩形 138"/>
            <xdr:cNvSpPr/>
          </xdr:nvSpPr>
          <xdr:spPr>
            <a:xfrm>
              <a:off x="7580446" y="33358427"/>
              <a:ext cx="346548" cy="140119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 macro="" textlink="">
          <xdr:nvSpPr>
            <xdr:cNvPr id="140" name="圆角矩形 139"/>
            <xdr:cNvSpPr/>
          </xdr:nvSpPr>
          <xdr:spPr>
            <a:xfrm>
              <a:off x="7021705" y="33789421"/>
              <a:ext cx="1140257" cy="168112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zh-CN" sz="7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  <a:sym typeface="+mn-ea"/>
                </a:rPr>
                <a:t>RoHS-Confrom</a:t>
              </a:r>
              <a:r>
                <a:rPr lang="zh-CN" altLang="en-US" sz="7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  <a:sym typeface="+mn-ea"/>
                </a:rPr>
                <a:t>标签</a:t>
              </a:r>
              <a:endParaRPr lang="zh-CN" altLang="en-US" sz="7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141" name="圆角矩形 140"/>
            <xdr:cNvSpPr/>
          </xdr:nvSpPr>
          <xdr:spPr>
            <a:xfrm>
              <a:off x="8067263" y="33439877"/>
              <a:ext cx="497141" cy="268567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cxnSp macro="">
          <xdr:nvCxnSpPr>
            <xdr:cNvPr id="142" name="直接箭头连接符 141"/>
            <xdr:cNvCxnSpPr/>
          </xdr:nvCxnSpPr>
          <xdr:spPr>
            <a:xfrm flipH="1" flipV="1">
              <a:off x="8608912" y="33615316"/>
              <a:ext cx="178864" cy="155724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3" name="圆角矩形 142"/>
            <xdr:cNvSpPr/>
          </xdr:nvSpPr>
          <xdr:spPr>
            <a:xfrm>
              <a:off x="8284721" y="33755698"/>
              <a:ext cx="1229898" cy="225205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700">
                  <a:solidFill>
                    <a:sysClr val="windowText" lastClr="000000"/>
                  </a:solidFill>
                </a:rPr>
                <a:t>外箱标签</a:t>
              </a:r>
              <a:r>
                <a:rPr lang="en-US" altLang="zh-CN" sz="7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zh-CN" altLang="zh-CN" sz="7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客户代码标签</a:t>
              </a:r>
              <a:endParaRPr lang="zh-CN" altLang="zh-CN" sz="700">
                <a:solidFill>
                  <a:sysClr val="windowText" lastClr="000000"/>
                </a:solidFill>
                <a:effectLst/>
              </a:endParaRPr>
            </a:p>
          </xdr:txBody>
        </xdr:sp>
      </xdr:grpSp>
    </xdr:grpSp>
    <xdr:clientData/>
  </xdr:twoCellAnchor>
  <xdr:twoCellAnchor>
    <xdr:from>
      <xdr:col>6</xdr:col>
      <xdr:colOff>1113249</xdr:colOff>
      <xdr:row>5</xdr:row>
      <xdr:rowOff>78922</xdr:rowOff>
    </xdr:from>
    <xdr:to>
      <xdr:col>7</xdr:col>
      <xdr:colOff>1333288</xdr:colOff>
      <xdr:row>12</xdr:row>
      <xdr:rowOff>98559</xdr:rowOff>
    </xdr:to>
    <xdr:grpSp>
      <xdr:nvGrpSpPr>
        <xdr:cNvPr id="144" name="组合 143"/>
        <xdr:cNvGrpSpPr/>
      </xdr:nvGrpSpPr>
      <xdr:grpSpPr>
        <a:xfrm>
          <a:off x="7713514" y="1423628"/>
          <a:ext cx="1710421" cy="1185049"/>
          <a:chOff x="8330049" y="8774207"/>
          <a:chExt cx="1710421" cy="1185049"/>
        </a:xfrm>
      </xdr:grpSpPr>
      <xdr:pic>
        <xdr:nvPicPr>
          <xdr:cNvPr id="145" name="图片 144"/>
          <xdr:cNvPicPr>
            <a:picLocks noChangeAspect="1"/>
          </xdr:cNvPicPr>
        </xdr:nvPicPr>
        <xdr:blipFill>
          <a:blip xmlns:r="http://schemas.openxmlformats.org/officeDocument/2006/relationships" r:embed="rId1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330049" y="8964707"/>
            <a:ext cx="1228782" cy="994549"/>
          </a:xfrm>
          <a:prstGeom prst="rect">
            <a:avLst/>
          </a:prstGeom>
        </xdr:spPr>
      </xdr:pic>
      <xdr:grpSp>
        <xdr:nvGrpSpPr>
          <xdr:cNvPr id="146" name="组合 145"/>
          <xdr:cNvGrpSpPr/>
        </xdr:nvGrpSpPr>
        <xdr:grpSpPr>
          <a:xfrm>
            <a:off x="8875059" y="8774207"/>
            <a:ext cx="1165411" cy="730881"/>
            <a:chOff x="8875059" y="8774207"/>
            <a:chExt cx="1165411" cy="730881"/>
          </a:xfrm>
        </xdr:grpSpPr>
        <xdr:sp macro="" textlink="">
          <xdr:nvSpPr>
            <xdr:cNvPr id="147" name="圆角矩形 146"/>
            <xdr:cNvSpPr/>
          </xdr:nvSpPr>
          <xdr:spPr>
            <a:xfrm>
              <a:off x="8875059" y="9064584"/>
              <a:ext cx="470647" cy="440504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 macro="" textlink="">
          <xdr:nvSpPr>
            <xdr:cNvPr id="148" name="圆角矩形 147"/>
            <xdr:cNvSpPr/>
          </xdr:nvSpPr>
          <xdr:spPr>
            <a:xfrm>
              <a:off x="9348132" y="8774207"/>
              <a:ext cx="692338" cy="246529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800">
                  <a:solidFill>
                    <a:sysClr val="windowText" lastClr="000000"/>
                  </a:solidFill>
                </a:rPr>
                <a:t>纸盒标签</a:t>
              </a:r>
            </a:p>
          </xdr:txBody>
        </xdr:sp>
        <xdr:cxnSp macro="">
          <xdr:nvCxnSpPr>
            <xdr:cNvPr id="149" name="直接箭头连接符 148"/>
            <xdr:cNvCxnSpPr>
              <a:stCxn id="148" idx="1"/>
            </xdr:cNvCxnSpPr>
          </xdr:nvCxnSpPr>
          <xdr:spPr>
            <a:xfrm flipH="1">
              <a:off x="9099180" y="8897472"/>
              <a:ext cx="248952" cy="123264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5</xdr:col>
      <xdr:colOff>1400526</xdr:colOff>
      <xdr:row>6</xdr:row>
      <xdr:rowOff>111379</xdr:rowOff>
    </xdr:from>
    <xdr:to>
      <xdr:col>6</xdr:col>
      <xdr:colOff>986117</xdr:colOff>
      <xdr:row>12</xdr:row>
      <xdr:rowOff>66768</xdr:rowOff>
    </xdr:to>
    <xdr:pic>
      <xdr:nvPicPr>
        <xdr:cNvPr id="150" name="图片 149"/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20761" y="1624173"/>
          <a:ext cx="1165621" cy="952713"/>
        </a:xfrm>
        <a:prstGeom prst="rect">
          <a:avLst/>
        </a:prstGeom>
      </xdr:spPr>
    </xdr:pic>
    <xdr:clientData/>
  </xdr:twoCellAnchor>
  <xdr:twoCellAnchor>
    <xdr:from>
      <xdr:col>2</xdr:col>
      <xdr:colOff>78442</xdr:colOff>
      <xdr:row>27</xdr:row>
      <xdr:rowOff>56030</xdr:rowOff>
    </xdr:from>
    <xdr:to>
      <xdr:col>3</xdr:col>
      <xdr:colOff>414617</xdr:colOff>
      <xdr:row>28</xdr:row>
      <xdr:rowOff>78443</xdr:rowOff>
    </xdr:to>
    <xdr:sp macro="" textlink="">
      <xdr:nvSpPr>
        <xdr:cNvPr id="152" name="文本框 151"/>
        <xdr:cNvSpPr txBox="1"/>
      </xdr:nvSpPr>
      <xdr:spPr>
        <a:xfrm>
          <a:off x="1557618" y="16035618"/>
          <a:ext cx="1176617" cy="19050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zh-C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发货</a:t>
          </a:r>
          <a:r>
            <a:rPr lang="en-US" altLang="zh-C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</a:t>
          </a:r>
          <a:r>
            <a:rPr lang="zh-CN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达瑞</a:t>
          </a:r>
          <a:endParaRPr lang="zh-CN" altLang="en-US" sz="900"/>
        </a:p>
      </xdr:txBody>
    </xdr:sp>
    <xdr:clientData/>
  </xdr:twoCellAnchor>
  <xdr:twoCellAnchor>
    <xdr:from>
      <xdr:col>6</xdr:col>
      <xdr:colOff>1187818</xdr:colOff>
      <xdr:row>27</xdr:row>
      <xdr:rowOff>134472</xdr:rowOff>
    </xdr:from>
    <xdr:to>
      <xdr:col>7</xdr:col>
      <xdr:colOff>1183566</xdr:colOff>
      <xdr:row>34</xdr:row>
      <xdr:rowOff>381000</xdr:rowOff>
    </xdr:to>
    <xdr:grpSp>
      <xdr:nvGrpSpPr>
        <xdr:cNvPr id="153" name="组合 152"/>
        <xdr:cNvGrpSpPr/>
      </xdr:nvGrpSpPr>
      <xdr:grpSpPr>
        <a:xfrm>
          <a:off x="7788083" y="8796619"/>
          <a:ext cx="1486130" cy="1411940"/>
          <a:chOff x="8352635" y="16080441"/>
          <a:chExt cx="1486130" cy="1411940"/>
        </a:xfrm>
      </xdr:grpSpPr>
      <xdr:pic>
        <xdr:nvPicPr>
          <xdr:cNvPr id="155" name="图片 154"/>
          <xdr:cNvPicPr>
            <a:picLocks noChangeAspect="1"/>
          </xdr:cNvPicPr>
        </xdr:nvPicPr>
        <xdr:blipFill>
          <a:blip xmlns:r="http://schemas.openxmlformats.org/officeDocument/2006/relationships" r:embed="rId1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352635" y="16326971"/>
            <a:ext cx="1251582" cy="885265"/>
          </a:xfrm>
          <a:prstGeom prst="rect">
            <a:avLst/>
          </a:prstGeom>
        </xdr:spPr>
      </xdr:pic>
      <xdr:sp macro="" textlink="">
        <xdr:nvSpPr>
          <xdr:cNvPr id="156" name="圆角矩形 155"/>
          <xdr:cNvSpPr/>
        </xdr:nvSpPr>
        <xdr:spPr>
          <a:xfrm>
            <a:off x="8437998" y="16382024"/>
            <a:ext cx="1109418" cy="583681"/>
          </a:xfrm>
          <a:prstGeom prst="roundRect">
            <a:avLst/>
          </a:prstGeom>
          <a:noFill/>
          <a:ln>
            <a:solidFill>
              <a:srgbClr val="FF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 macro="" textlink="">
        <xdr:nvSpPr>
          <xdr:cNvPr id="158" name="圆角矩形 157"/>
          <xdr:cNvSpPr/>
        </xdr:nvSpPr>
        <xdr:spPr>
          <a:xfrm>
            <a:off x="8639741" y="17020274"/>
            <a:ext cx="728382" cy="225580"/>
          </a:xfrm>
          <a:prstGeom prst="roundRect">
            <a:avLst/>
          </a:prstGeom>
          <a:noFill/>
          <a:ln>
            <a:solidFill>
              <a:srgbClr val="FF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 macro="" textlink="">
        <xdr:nvSpPr>
          <xdr:cNvPr id="159" name="圆角矩形 158"/>
          <xdr:cNvSpPr/>
        </xdr:nvSpPr>
        <xdr:spPr>
          <a:xfrm>
            <a:off x="8720602" y="16080441"/>
            <a:ext cx="938394" cy="231314"/>
          </a:xfrm>
          <a:prstGeom prst="round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800">
                <a:solidFill>
                  <a:sysClr val="windowText" lastClr="000000"/>
                </a:solidFill>
              </a:rPr>
              <a:t>纸盒标签</a:t>
            </a:r>
          </a:p>
        </xdr:txBody>
      </xdr:sp>
      <xdr:cxnSp macro="">
        <xdr:nvCxnSpPr>
          <xdr:cNvPr id="160" name="直接箭头连接符 159"/>
          <xdr:cNvCxnSpPr>
            <a:stCxn id="159" idx="1"/>
          </xdr:cNvCxnSpPr>
        </xdr:nvCxnSpPr>
        <xdr:spPr>
          <a:xfrm flipH="1">
            <a:off x="8572503" y="16196098"/>
            <a:ext cx="148099" cy="164491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1" name="圆角矩形 160"/>
          <xdr:cNvSpPr/>
        </xdr:nvSpPr>
        <xdr:spPr>
          <a:xfrm>
            <a:off x="9166412" y="17296176"/>
            <a:ext cx="672353" cy="196205"/>
          </a:xfrm>
          <a:prstGeom prst="round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800">
                <a:solidFill>
                  <a:sysClr val="windowText" lastClr="000000"/>
                </a:solidFill>
              </a:rPr>
              <a:t>重量标签</a:t>
            </a:r>
          </a:p>
        </xdr:txBody>
      </xdr:sp>
      <xdr:cxnSp macro="">
        <xdr:nvCxnSpPr>
          <xdr:cNvPr id="162" name="直接箭头连接符 161"/>
          <xdr:cNvCxnSpPr>
            <a:endCxn id="158" idx="3"/>
          </xdr:cNvCxnSpPr>
        </xdr:nvCxnSpPr>
        <xdr:spPr>
          <a:xfrm flipH="1" flipV="1">
            <a:off x="9368123" y="17133064"/>
            <a:ext cx="201705" cy="157614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8</xdr:col>
      <xdr:colOff>353150</xdr:colOff>
      <xdr:row>29</xdr:row>
      <xdr:rowOff>100852</xdr:rowOff>
    </xdr:from>
    <xdr:to>
      <xdr:col>8</xdr:col>
      <xdr:colOff>1479176</xdr:colOff>
      <xdr:row>34</xdr:row>
      <xdr:rowOff>124416</xdr:rowOff>
    </xdr:to>
    <xdr:pic>
      <xdr:nvPicPr>
        <xdr:cNvPr id="163" name="图片 162"/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26385" y="9099176"/>
          <a:ext cx="1126026" cy="852799"/>
        </a:xfrm>
        <a:prstGeom prst="rect">
          <a:avLst/>
        </a:prstGeom>
      </xdr:spPr>
    </xdr:pic>
    <xdr:clientData/>
  </xdr:twoCellAnchor>
  <xdr:twoCellAnchor editAs="oneCell">
    <xdr:from>
      <xdr:col>7</xdr:col>
      <xdr:colOff>1053348</xdr:colOff>
      <xdr:row>29</xdr:row>
      <xdr:rowOff>111573</xdr:rowOff>
    </xdr:from>
    <xdr:to>
      <xdr:col>8</xdr:col>
      <xdr:colOff>280147</xdr:colOff>
      <xdr:row>34</xdr:row>
      <xdr:rowOff>111876</xdr:rowOff>
    </xdr:to>
    <xdr:pic>
      <xdr:nvPicPr>
        <xdr:cNvPr id="164" name="图片 163"/>
        <xdr:cNvPicPr>
          <a:picLocks noChangeAspect="1"/>
        </xdr:cNvPicPr>
      </xdr:nvPicPr>
      <xdr:blipFill rotWithShape="1"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143995" y="9109897"/>
          <a:ext cx="1109387" cy="829538"/>
        </a:xfrm>
        <a:prstGeom prst="rect">
          <a:avLst/>
        </a:prstGeom>
      </xdr:spPr>
    </xdr:pic>
    <xdr:clientData/>
  </xdr:twoCellAnchor>
  <xdr:twoCellAnchor>
    <xdr:from>
      <xdr:col>5</xdr:col>
      <xdr:colOff>39232</xdr:colOff>
      <xdr:row>35</xdr:row>
      <xdr:rowOff>584387</xdr:rowOff>
    </xdr:from>
    <xdr:to>
      <xdr:col>6</xdr:col>
      <xdr:colOff>321041</xdr:colOff>
      <xdr:row>36</xdr:row>
      <xdr:rowOff>923913</xdr:rowOff>
    </xdr:to>
    <xdr:grpSp>
      <xdr:nvGrpSpPr>
        <xdr:cNvPr id="171" name="组合 170"/>
        <xdr:cNvGrpSpPr/>
      </xdr:nvGrpSpPr>
      <xdr:grpSpPr>
        <a:xfrm>
          <a:off x="5059467" y="11039475"/>
          <a:ext cx="1861839" cy="1504938"/>
          <a:chOff x="5616590" y="10273839"/>
          <a:chExt cx="1862881" cy="1501576"/>
        </a:xfrm>
      </xdr:grpSpPr>
      <xdr:pic>
        <xdr:nvPicPr>
          <xdr:cNvPr id="172" name="图片 171"/>
          <xdr:cNvPicPr>
            <a:picLocks noChangeAspect="1"/>
          </xdr:cNvPicPr>
        </xdr:nvPicPr>
        <xdr:blipFill rotWithShape="1">
          <a:blip xmlns:r="http://schemas.openxmlformats.org/officeDocument/2006/relationships" r:embed="rId18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5724522" y="10273839"/>
            <a:ext cx="1339725" cy="1227353"/>
          </a:xfrm>
          <a:prstGeom prst="rect">
            <a:avLst/>
          </a:prstGeom>
        </xdr:spPr>
      </xdr:pic>
      <xdr:grpSp>
        <xdr:nvGrpSpPr>
          <xdr:cNvPr id="173" name="组合 172"/>
          <xdr:cNvGrpSpPr/>
        </xdr:nvGrpSpPr>
        <xdr:grpSpPr>
          <a:xfrm>
            <a:off x="5616590" y="10972343"/>
            <a:ext cx="1862881" cy="803072"/>
            <a:chOff x="7673063" y="33325750"/>
            <a:chExt cx="1866505" cy="1030352"/>
          </a:xfrm>
        </xdr:grpSpPr>
        <xdr:cxnSp macro="">
          <xdr:nvCxnSpPr>
            <xdr:cNvPr id="174" name="直接箭头连接符 173"/>
            <xdr:cNvCxnSpPr/>
          </xdr:nvCxnSpPr>
          <xdr:spPr>
            <a:xfrm flipH="1" flipV="1">
              <a:off x="7785654" y="33536284"/>
              <a:ext cx="95225" cy="426059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9" name="圆角矩形 178"/>
            <xdr:cNvSpPr/>
          </xdr:nvSpPr>
          <xdr:spPr>
            <a:xfrm>
              <a:off x="7800322" y="33325750"/>
              <a:ext cx="372199" cy="196103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 macro="" textlink="">
          <xdr:nvSpPr>
            <xdr:cNvPr id="180" name="圆角矩形 179"/>
            <xdr:cNvSpPr/>
          </xdr:nvSpPr>
          <xdr:spPr>
            <a:xfrm>
              <a:off x="7673063" y="33942947"/>
              <a:ext cx="1117087" cy="315380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zh-CN" sz="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  <a:sym typeface="+mn-ea"/>
                </a:rPr>
                <a:t>RoHS-Confrom/HF</a:t>
              </a:r>
              <a:r>
                <a:rPr lang="zh-CN" altLang="en-US" sz="600">
                  <a:solidFill>
                    <a:sysClr val="windowText" lastClr="000000"/>
                  </a:solidFill>
                  <a:sym typeface="+mn-ea"/>
                </a:rPr>
                <a:t>标签</a:t>
              </a:r>
              <a:endParaRPr lang="zh-CN" altLang="en-US" sz="6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81" name="圆角矩形 180"/>
            <xdr:cNvSpPr/>
          </xdr:nvSpPr>
          <xdr:spPr>
            <a:xfrm>
              <a:off x="8019544" y="33534068"/>
              <a:ext cx="598239" cy="284313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cxnSp macro="">
          <xdr:nvCxnSpPr>
            <xdr:cNvPr id="182" name="直接箭头连接符 181"/>
            <xdr:cNvCxnSpPr>
              <a:stCxn id="183" idx="0"/>
            </xdr:cNvCxnSpPr>
          </xdr:nvCxnSpPr>
          <xdr:spPr>
            <a:xfrm flipH="1" flipV="1">
              <a:off x="8784515" y="33741816"/>
              <a:ext cx="444978" cy="319682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3" name="圆角矩形 182"/>
            <xdr:cNvSpPr/>
          </xdr:nvSpPr>
          <xdr:spPr>
            <a:xfrm>
              <a:off x="8919412" y="34061483"/>
              <a:ext cx="620156" cy="294619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700">
                  <a:solidFill>
                    <a:sysClr val="windowText" lastClr="000000"/>
                  </a:solidFill>
                </a:rPr>
                <a:t>外箱标签</a:t>
              </a:r>
            </a:p>
          </xdr:txBody>
        </xdr:sp>
      </xdr:grpSp>
    </xdr:grpSp>
    <xdr:clientData/>
  </xdr:twoCellAnchor>
  <xdr:twoCellAnchor>
    <xdr:from>
      <xdr:col>7</xdr:col>
      <xdr:colOff>403412</xdr:colOff>
      <xdr:row>15</xdr:row>
      <xdr:rowOff>158732</xdr:rowOff>
    </xdr:from>
    <xdr:to>
      <xdr:col>7</xdr:col>
      <xdr:colOff>1526818</xdr:colOff>
      <xdr:row>17</xdr:row>
      <xdr:rowOff>297002</xdr:rowOff>
    </xdr:to>
    <xdr:grpSp>
      <xdr:nvGrpSpPr>
        <xdr:cNvPr id="95" name="组合 94"/>
        <xdr:cNvGrpSpPr/>
      </xdr:nvGrpSpPr>
      <xdr:grpSpPr>
        <a:xfrm>
          <a:off x="8494059" y="5604791"/>
          <a:ext cx="1123406" cy="698564"/>
          <a:chOff x="7054987" y="29775210"/>
          <a:chExt cx="1125633" cy="698564"/>
        </a:xfrm>
      </xdr:grpSpPr>
      <xdr:sp macro="" textlink="">
        <xdr:nvSpPr>
          <xdr:cNvPr id="96" name="流程图: 过程 95"/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受 </a:t>
            </a:r>
            <a:r>
              <a:rPr lang="en-US" altLang="zh-CN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97" name="流程图: 过程 96"/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7</xdr:col>
      <xdr:colOff>1875622</xdr:colOff>
      <xdr:row>14</xdr:row>
      <xdr:rowOff>1064559</xdr:rowOff>
    </xdr:from>
    <xdr:to>
      <xdr:col>9</xdr:col>
      <xdr:colOff>118999</xdr:colOff>
      <xdr:row>19</xdr:row>
      <xdr:rowOff>689</xdr:rowOff>
    </xdr:to>
    <xdr:grpSp>
      <xdr:nvGrpSpPr>
        <xdr:cNvPr id="98" name="组合 97"/>
        <xdr:cNvGrpSpPr/>
      </xdr:nvGrpSpPr>
      <xdr:grpSpPr>
        <a:xfrm>
          <a:off x="9966269" y="5367618"/>
          <a:ext cx="1762024" cy="1222130"/>
          <a:chOff x="8806961" y="29243216"/>
          <a:chExt cx="1771650" cy="1222130"/>
        </a:xfrm>
      </xdr:grpSpPr>
      <xdr:sp macro="" textlink="">
        <xdr:nvSpPr>
          <xdr:cNvPr id="99" name="椭圆 98"/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100" name="直接连接符 99"/>
          <xdr:cNvCxnSpPr>
            <a:stCxn id="99" idx="2"/>
            <a:endCxn id="99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1" name="流程图: 过程 100"/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24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102" name="流程图: 过程 101"/>
          <xdr:cNvSpPr/>
        </xdr:nvSpPr>
        <xdr:spPr>
          <a:xfrm>
            <a:off x="8974016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1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11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11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11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7</xdr:col>
      <xdr:colOff>459442</xdr:colOff>
      <xdr:row>39</xdr:row>
      <xdr:rowOff>102702</xdr:rowOff>
    </xdr:from>
    <xdr:to>
      <xdr:col>7</xdr:col>
      <xdr:colOff>1582848</xdr:colOff>
      <xdr:row>41</xdr:row>
      <xdr:rowOff>218560</xdr:rowOff>
    </xdr:to>
    <xdr:grpSp>
      <xdr:nvGrpSpPr>
        <xdr:cNvPr id="103" name="组合 102"/>
        <xdr:cNvGrpSpPr/>
      </xdr:nvGrpSpPr>
      <xdr:grpSpPr>
        <a:xfrm>
          <a:off x="8550089" y="13426496"/>
          <a:ext cx="1123406" cy="698564"/>
          <a:chOff x="7054987" y="29775210"/>
          <a:chExt cx="1125633" cy="698564"/>
        </a:xfrm>
      </xdr:grpSpPr>
      <xdr:sp macro="" textlink="">
        <xdr:nvSpPr>
          <xdr:cNvPr id="104" name="流程图: 过程 103"/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受 </a:t>
            </a:r>
            <a:r>
              <a:rPr lang="en-US" altLang="zh-CN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105" name="流程图: 过程 104"/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127505</xdr:colOff>
      <xdr:row>38</xdr:row>
      <xdr:rowOff>145676</xdr:rowOff>
    </xdr:from>
    <xdr:to>
      <xdr:col>8</xdr:col>
      <xdr:colOff>1613647</xdr:colOff>
      <xdr:row>41</xdr:row>
      <xdr:rowOff>381688</xdr:rowOff>
    </xdr:to>
    <xdr:grpSp>
      <xdr:nvGrpSpPr>
        <xdr:cNvPr id="106" name="组合 105"/>
        <xdr:cNvGrpSpPr/>
      </xdr:nvGrpSpPr>
      <xdr:grpSpPr>
        <a:xfrm>
          <a:off x="10100740" y="13189323"/>
          <a:ext cx="1486142" cy="1098865"/>
          <a:chOff x="8806961" y="29243216"/>
          <a:chExt cx="1771650" cy="1222130"/>
        </a:xfrm>
      </xdr:grpSpPr>
      <xdr:sp macro="" textlink="">
        <xdr:nvSpPr>
          <xdr:cNvPr id="107" name="椭圆 106"/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109" name="直接连接符 108"/>
          <xdr:cNvCxnSpPr>
            <a:stCxn id="107" idx="2"/>
            <a:endCxn id="107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" name="流程图: 过程 109"/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111" name="流程图: 过程 110"/>
          <xdr:cNvSpPr/>
        </xdr:nvSpPr>
        <xdr:spPr>
          <a:xfrm>
            <a:off x="8974016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8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 editAs="oneCell">
    <xdr:from>
      <xdr:col>5</xdr:col>
      <xdr:colOff>739588</xdr:colOff>
      <xdr:row>12</xdr:row>
      <xdr:rowOff>522920</xdr:rowOff>
    </xdr:from>
    <xdr:to>
      <xdr:col>7</xdr:col>
      <xdr:colOff>1495429</xdr:colOff>
      <xdr:row>14</xdr:row>
      <xdr:rowOff>877734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59823" y="3033038"/>
          <a:ext cx="3826253" cy="2147755"/>
        </a:xfrm>
        <a:prstGeom prst="rect">
          <a:avLst/>
        </a:prstGeom>
      </xdr:spPr>
    </xdr:pic>
    <xdr:clientData/>
  </xdr:twoCellAnchor>
  <xdr:twoCellAnchor editAs="oneCell">
    <xdr:from>
      <xdr:col>6</xdr:col>
      <xdr:colOff>425823</xdr:colOff>
      <xdr:row>34</xdr:row>
      <xdr:rowOff>504264</xdr:rowOff>
    </xdr:from>
    <xdr:to>
      <xdr:col>8</xdr:col>
      <xdr:colOff>879106</xdr:colOff>
      <xdr:row>36</xdr:row>
      <xdr:rowOff>859078</xdr:rowOff>
    </xdr:to>
    <xdr:pic>
      <xdr:nvPicPr>
        <xdr:cNvPr id="113" name="图片 112"/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26088" y="10331823"/>
          <a:ext cx="3826253" cy="2147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1"/>
  <sheetViews>
    <sheetView tabSelected="1" view="pageBreakPreview" zoomScale="85" zoomScaleNormal="85" zoomScaleSheetLayoutView="85" workbookViewId="0">
      <selection activeCell="O14" sqref="O14"/>
    </sheetView>
  </sheetViews>
  <sheetFormatPr defaultColWidth="9" defaultRowHeight="13.5" x14ac:dyDescent="0.15"/>
  <cols>
    <col min="1" max="1" width="10.25" customWidth="1"/>
    <col min="2" max="2" width="9.125" customWidth="1"/>
    <col min="3" max="3" width="11" customWidth="1"/>
    <col min="4" max="4" width="20.125" customWidth="1"/>
    <col min="5" max="5" width="15.25" customWidth="1"/>
    <col min="6" max="6" width="20.75" customWidth="1"/>
    <col min="7" max="7" width="19.5" customWidth="1"/>
    <col min="8" max="8" width="24.75" customWidth="1"/>
    <col min="9" max="9" width="21.5" customWidth="1"/>
  </cols>
  <sheetData>
    <row r="1" spans="1:9" ht="9.9499999999999993" customHeight="1" x14ac:dyDescent="0.15">
      <c r="A1" s="26" t="s">
        <v>49</v>
      </c>
      <c r="B1" s="27"/>
      <c r="C1" s="27"/>
      <c r="D1" s="27"/>
      <c r="E1" s="27"/>
      <c r="F1" s="23" t="s">
        <v>0</v>
      </c>
      <c r="G1" s="23" t="s">
        <v>1</v>
      </c>
      <c r="H1" s="23" t="s">
        <v>2</v>
      </c>
      <c r="I1" s="54" t="s">
        <v>3</v>
      </c>
    </row>
    <row r="2" spans="1:9" ht="18" customHeight="1" x14ac:dyDescent="0.15">
      <c r="A2" s="28"/>
      <c r="B2" s="29"/>
      <c r="C2" s="29"/>
      <c r="D2" s="29"/>
      <c r="E2" s="29"/>
      <c r="F2" s="24"/>
      <c r="G2" s="24"/>
      <c r="H2" s="24"/>
      <c r="I2" s="55"/>
    </row>
    <row r="3" spans="1:9" ht="24" customHeight="1" x14ac:dyDescent="0.15">
      <c r="A3" s="28"/>
      <c r="B3" s="29"/>
      <c r="C3" s="29"/>
      <c r="D3" s="29"/>
      <c r="E3" s="29"/>
      <c r="F3" s="20" t="s">
        <v>38</v>
      </c>
      <c r="G3" s="25">
        <v>46001</v>
      </c>
      <c r="H3" s="32" t="s">
        <v>56</v>
      </c>
      <c r="I3" s="56" t="s">
        <v>11</v>
      </c>
    </row>
    <row r="4" spans="1:9" ht="18.95" customHeight="1" x14ac:dyDescent="0.15">
      <c r="A4" s="30"/>
      <c r="B4" s="31"/>
      <c r="C4" s="31"/>
      <c r="D4" s="31"/>
      <c r="E4" s="31"/>
      <c r="F4" s="24"/>
      <c r="G4" s="24"/>
      <c r="H4" s="24"/>
      <c r="I4" s="57"/>
    </row>
    <row r="5" spans="1:9" ht="36" customHeight="1" x14ac:dyDescent="0.15">
      <c r="A5" s="11" t="s">
        <v>4</v>
      </c>
      <c r="B5" s="17" t="s">
        <v>5</v>
      </c>
      <c r="C5" s="18"/>
      <c r="D5" s="19"/>
      <c r="E5" s="12" t="s">
        <v>37</v>
      </c>
      <c r="F5" s="17" t="s">
        <v>6</v>
      </c>
      <c r="G5" s="18"/>
      <c r="H5" s="18"/>
      <c r="I5" s="19"/>
    </row>
    <row r="6" spans="1:9" x14ac:dyDescent="0.15">
      <c r="A6" s="20" t="s">
        <v>12</v>
      </c>
      <c r="B6" s="33" t="s">
        <v>36</v>
      </c>
      <c r="C6" s="34"/>
      <c r="D6" s="35"/>
      <c r="E6" s="42" t="s">
        <v>9</v>
      </c>
      <c r="F6" s="45"/>
      <c r="G6" s="46"/>
      <c r="H6" s="46"/>
      <c r="I6" s="47"/>
    </row>
    <row r="7" spans="1:9" x14ac:dyDescent="0.15">
      <c r="A7" s="21"/>
      <c r="B7" s="36"/>
      <c r="C7" s="37"/>
      <c r="D7" s="38"/>
      <c r="E7" s="43"/>
      <c r="F7" s="48"/>
      <c r="G7" s="49"/>
      <c r="H7" s="49"/>
      <c r="I7" s="50"/>
    </row>
    <row r="8" spans="1:9" x14ac:dyDescent="0.15">
      <c r="A8" s="21"/>
      <c r="B8" s="36"/>
      <c r="C8" s="37"/>
      <c r="D8" s="38"/>
      <c r="E8" s="43"/>
      <c r="F8" s="48"/>
      <c r="G8" s="49"/>
      <c r="H8" s="49"/>
      <c r="I8" s="50"/>
    </row>
    <row r="9" spans="1:9" x14ac:dyDescent="0.15">
      <c r="A9" s="21"/>
      <c r="B9" s="36"/>
      <c r="C9" s="37"/>
      <c r="D9" s="38"/>
      <c r="E9" s="43"/>
      <c r="F9" s="48"/>
      <c r="G9" s="49"/>
      <c r="H9" s="49"/>
      <c r="I9" s="50"/>
    </row>
    <row r="10" spans="1:9" x14ac:dyDescent="0.15">
      <c r="A10" s="21"/>
      <c r="B10" s="36"/>
      <c r="C10" s="37"/>
      <c r="D10" s="38"/>
      <c r="E10" s="43"/>
      <c r="F10" s="48"/>
      <c r="G10" s="49"/>
      <c r="H10" s="49"/>
      <c r="I10" s="50"/>
    </row>
    <row r="11" spans="1:9" x14ac:dyDescent="0.15">
      <c r="A11" s="21"/>
      <c r="B11" s="36"/>
      <c r="C11" s="37"/>
      <c r="D11" s="38"/>
      <c r="E11" s="43"/>
      <c r="F11" s="48"/>
      <c r="G11" s="49"/>
      <c r="H11" s="49"/>
      <c r="I11" s="50"/>
    </row>
    <row r="12" spans="1:9" ht="12" customHeight="1" x14ac:dyDescent="0.15">
      <c r="A12" s="21"/>
      <c r="B12" s="36"/>
      <c r="C12" s="37"/>
      <c r="D12" s="38"/>
      <c r="E12" s="43"/>
      <c r="F12" s="48"/>
      <c r="G12" s="49"/>
      <c r="H12" s="49"/>
      <c r="I12" s="50"/>
    </row>
    <row r="13" spans="1:9" ht="50.1" customHeight="1" x14ac:dyDescent="0.15">
      <c r="A13" s="21"/>
      <c r="B13" s="36"/>
      <c r="C13" s="37"/>
      <c r="D13" s="38"/>
      <c r="E13" s="43"/>
      <c r="F13" s="48"/>
      <c r="G13" s="49"/>
      <c r="H13" s="49"/>
      <c r="I13" s="50"/>
    </row>
    <row r="14" spans="1:9" ht="92.1" customHeight="1" x14ac:dyDescent="0.15">
      <c r="A14" s="21"/>
      <c r="B14" s="36"/>
      <c r="C14" s="37"/>
      <c r="D14" s="38"/>
      <c r="E14" s="43"/>
      <c r="F14" s="48"/>
      <c r="G14" s="49"/>
      <c r="H14" s="49"/>
      <c r="I14" s="50"/>
    </row>
    <row r="15" spans="1:9" ht="90" customHeight="1" x14ac:dyDescent="0.15">
      <c r="A15" s="22"/>
      <c r="B15" s="39"/>
      <c r="C15" s="40"/>
      <c r="D15" s="41"/>
      <c r="E15" s="44"/>
      <c r="F15" s="51"/>
      <c r="G15" s="52"/>
      <c r="H15" s="52"/>
      <c r="I15" s="53"/>
    </row>
    <row r="16" spans="1:9" ht="21.95" customHeight="1" x14ac:dyDescent="0.15">
      <c r="A16" s="54" t="s">
        <v>7</v>
      </c>
      <c r="B16" s="116" t="s">
        <v>30</v>
      </c>
      <c r="C16" s="117"/>
      <c r="D16" s="117"/>
      <c r="E16" s="117"/>
      <c r="F16" s="117"/>
      <c r="G16" s="117"/>
      <c r="H16" s="117"/>
      <c r="I16" s="118"/>
    </row>
    <row r="17" spans="1:9" ht="21.95" customHeight="1" x14ac:dyDescent="0.15">
      <c r="A17" s="21"/>
      <c r="B17" s="119"/>
      <c r="C17" s="120"/>
      <c r="D17" s="120"/>
      <c r="E17" s="120"/>
      <c r="F17" s="120"/>
      <c r="G17" s="120"/>
      <c r="H17" s="120"/>
      <c r="I17" s="121"/>
    </row>
    <row r="18" spans="1:9" ht="24" customHeight="1" x14ac:dyDescent="0.15">
      <c r="A18" s="21"/>
      <c r="B18" s="122"/>
      <c r="C18" s="123"/>
      <c r="D18" s="123"/>
      <c r="E18" s="123"/>
      <c r="F18" s="123"/>
      <c r="G18" s="123"/>
      <c r="H18" s="123"/>
      <c r="I18" s="124"/>
    </row>
    <row r="19" spans="1:9" ht="21.95" customHeight="1" x14ac:dyDescent="0.15">
      <c r="A19" s="60" t="s">
        <v>8</v>
      </c>
      <c r="B19" s="61"/>
      <c r="C19" s="46"/>
      <c r="D19" s="46"/>
      <c r="E19" s="46"/>
      <c r="F19" s="46"/>
      <c r="G19" s="46"/>
      <c r="H19" s="46"/>
      <c r="I19" s="47"/>
    </row>
    <row r="20" spans="1:9" ht="33" customHeight="1" x14ac:dyDescent="0.15">
      <c r="A20" s="60"/>
      <c r="B20" s="51"/>
      <c r="C20" s="52"/>
      <c r="D20" s="52"/>
      <c r="E20" s="52"/>
      <c r="F20" s="52"/>
      <c r="G20" s="52"/>
      <c r="H20" s="52"/>
      <c r="I20" s="53"/>
    </row>
    <row r="21" spans="1:9" ht="12" customHeight="1" x14ac:dyDescent="0.15">
      <c r="A21" s="62" t="s">
        <v>35</v>
      </c>
      <c r="B21" s="63"/>
      <c r="C21" s="63"/>
      <c r="D21" s="63"/>
      <c r="E21" s="63"/>
      <c r="F21" s="63"/>
      <c r="G21" s="63"/>
      <c r="H21" s="63"/>
      <c r="I21" s="64"/>
    </row>
    <row r="22" spans="1:9" ht="12" customHeight="1" x14ac:dyDescent="0.15">
      <c r="A22" s="65"/>
      <c r="B22" s="66"/>
      <c r="C22" s="66"/>
      <c r="D22" s="66"/>
      <c r="E22" s="66"/>
      <c r="F22" s="66"/>
      <c r="G22" s="66"/>
      <c r="H22" s="66"/>
      <c r="I22" s="67"/>
    </row>
    <row r="23" spans="1:9" ht="9.9499999999999993" customHeight="1" x14ac:dyDescent="0.15">
      <c r="A23" s="26" t="s">
        <v>42</v>
      </c>
      <c r="B23" s="27"/>
      <c r="C23" s="27"/>
      <c r="D23" s="27"/>
      <c r="E23" s="27"/>
      <c r="F23" s="23" t="s">
        <v>0</v>
      </c>
      <c r="G23" s="23" t="s">
        <v>1</v>
      </c>
      <c r="H23" s="23" t="s">
        <v>2</v>
      </c>
      <c r="I23" s="54" t="s">
        <v>3</v>
      </c>
    </row>
    <row r="24" spans="1:9" ht="18" customHeight="1" x14ac:dyDescent="0.15">
      <c r="A24" s="28"/>
      <c r="B24" s="29"/>
      <c r="C24" s="29"/>
      <c r="D24" s="29"/>
      <c r="E24" s="29"/>
      <c r="F24" s="24"/>
      <c r="G24" s="24"/>
      <c r="H24" s="24"/>
      <c r="I24" s="55"/>
    </row>
    <row r="25" spans="1:9" ht="24" customHeight="1" x14ac:dyDescent="0.15">
      <c r="A25" s="28"/>
      <c r="B25" s="29"/>
      <c r="C25" s="29"/>
      <c r="D25" s="29"/>
      <c r="E25" s="29"/>
      <c r="F25" s="20" t="s">
        <v>43</v>
      </c>
      <c r="G25" s="25">
        <v>46001</v>
      </c>
      <c r="H25" s="32" t="s">
        <v>55</v>
      </c>
      <c r="I25" s="56" t="s">
        <v>46</v>
      </c>
    </row>
    <row r="26" spans="1:9" ht="18.95" customHeight="1" x14ac:dyDescent="0.15">
      <c r="A26" s="30"/>
      <c r="B26" s="31"/>
      <c r="C26" s="31"/>
      <c r="D26" s="31"/>
      <c r="E26" s="31"/>
      <c r="F26" s="24"/>
      <c r="G26" s="24"/>
      <c r="H26" s="24"/>
      <c r="I26" s="57"/>
    </row>
    <row r="27" spans="1:9" ht="36" customHeight="1" x14ac:dyDescent="0.15">
      <c r="A27" s="1" t="s">
        <v>4</v>
      </c>
      <c r="B27" s="68" t="s">
        <v>5</v>
      </c>
      <c r="C27" s="69"/>
      <c r="D27" s="70"/>
      <c r="E27" s="2" t="s">
        <v>37</v>
      </c>
      <c r="F27" s="68" t="s">
        <v>6</v>
      </c>
      <c r="G27" s="69"/>
      <c r="H27" s="69"/>
      <c r="I27" s="70"/>
    </row>
    <row r="28" spans="1:9" x14ac:dyDescent="0.15">
      <c r="A28" s="114" t="s">
        <v>47</v>
      </c>
      <c r="B28" s="105" t="s">
        <v>48</v>
      </c>
      <c r="C28" s="106"/>
      <c r="D28" s="107"/>
      <c r="E28" s="87" t="s">
        <v>10</v>
      </c>
      <c r="F28" s="77"/>
      <c r="G28" s="78"/>
      <c r="H28" s="78"/>
      <c r="I28" s="79"/>
    </row>
    <row r="29" spans="1:9" x14ac:dyDescent="0.15">
      <c r="A29" s="91"/>
      <c r="B29" s="108"/>
      <c r="C29" s="109"/>
      <c r="D29" s="110"/>
      <c r="E29" s="88"/>
      <c r="F29" s="80"/>
      <c r="G29" s="81"/>
      <c r="H29" s="81"/>
      <c r="I29" s="82"/>
    </row>
    <row r="30" spans="1:9" x14ac:dyDescent="0.15">
      <c r="A30" s="91"/>
      <c r="B30" s="108"/>
      <c r="C30" s="109"/>
      <c r="D30" s="110"/>
      <c r="E30" s="88"/>
      <c r="F30" s="80"/>
      <c r="G30" s="81"/>
      <c r="H30" s="81"/>
      <c r="I30" s="82"/>
    </row>
    <row r="31" spans="1:9" x14ac:dyDescent="0.15">
      <c r="A31" s="91"/>
      <c r="B31" s="108"/>
      <c r="C31" s="109"/>
      <c r="D31" s="110"/>
      <c r="E31" s="88"/>
      <c r="F31" s="80"/>
      <c r="G31" s="81"/>
      <c r="H31" s="81"/>
      <c r="I31" s="82"/>
    </row>
    <row r="32" spans="1:9" x14ac:dyDescent="0.15">
      <c r="A32" s="91"/>
      <c r="B32" s="108"/>
      <c r="C32" s="109"/>
      <c r="D32" s="110"/>
      <c r="E32" s="88"/>
      <c r="F32" s="80"/>
      <c r="G32" s="81"/>
      <c r="H32" s="81"/>
      <c r="I32" s="82"/>
    </row>
    <row r="33" spans="1:9" x14ac:dyDescent="0.15">
      <c r="A33" s="91"/>
      <c r="B33" s="108"/>
      <c r="C33" s="109"/>
      <c r="D33" s="110"/>
      <c r="E33" s="88"/>
      <c r="F33" s="80"/>
      <c r="G33" s="81"/>
      <c r="H33" s="81"/>
      <c r="I33" s="82"/>
    </row>
    <row r="34" spans="1:9" ht="12" customHeight="1" x14ac:dyDescent="0.15">
      <c r="A34" s="91"/>
      <c r="B34" s="108"/>
      <c r="C34" s="109"/>
      <c r="D34" s="110"/>
      <c r="E34" s="88"/>
      <c r="F34" s="80"/>
      <c r="G34" s="81"/>
      <c r="H34" s="81"/>
      <c r="I34" s="82"/>
    </row>
    <row r="35" spans="1:9" ht="50.1" customHeight="1" x14ac:dyDescent="0.15">
      <c r="A35" s="91"/>
      <c r="B35" s="108"/>
      <c r="C35" s="109"/>
      <c r="D35" s="110"/>
      <c r="E35" s="88"/>
      <c r="F35" s="80"/>
      <c r="G35" s="81"/>
      <c r="H35" s="81"/>
      <c r="I35" s="82"/>
    </row>
    <row r="36" spans="1:9" ht="92.1" customHeight="1" x14ac:dyDescent="0.15">
      <c r="A36" s="91"/>
      <c r="B36" s="108"/>
      <c r="C36" s="109"/>
      <c r="D36" s="110"/>
      <c r="E36" s="88"/>
      <c r="F36" s="80"/>
      <c r="G36" s="81"/>
      <c r="H36" s="81"/>
      <c r="I36" s="82"/>
    </row>
    <row r="37" spans="1:9" ht="90" customHeight="1" x14ac:dyDescent="0.15">
      <c r="A37" s="115"/>
      <c r="B37" s="111"/>
      <c r="C37" s="112"/>
      <c r="D37" s="113"/>
      <c r="E37" s="89"/>
      <c r="F37" s="83"/>
      <c r="G37" s="84"/>
      <c r="H37" s="84"/>
      <c r="I37" s="85"/>
    </row>
    <row r="38" spans="1:9" ht="21.95" customHeight="1" x14ac:dyDescent="0.15">
      <c r="A38" s="90" t="s">
        <v>7</v>
      </c>
      <c r="B38" s="92" t="s">
        <v>31</v>
      </c>
      <c r="C38" s="93"/>
      <c r="D38" s="93"/>
      <c r="E38" s="93"/>
      <c r="F38" s="93"/>
      <c r="G38" s="93"/>
      <c r="H38" s="93"/>
      <c r="I38" s="94"/>
    </row>
    <row r="39" spans="1:9" ht="21.95" customHeight="1" x14ac:dyDescent="0.15">
      <c r="A39" s="91"/>
      <c r="B39" s="95"/>
      <c r="C39" s="96"/>
      <c r="D39" s="96"/>
      <c r="E39" s="96"/>
      <c r="F39" s="96"/>
      <c r="G39" s="96"/>
      <c r="H39" s="96"/>
      <c r="I39" s="97"/>
    </row>
    <row r="40" spans="1:9" ht="24" customHeight="1" x14ac:dyDescent="0.15">
      <c r="A40" s="91"/>
      <c r="B40" s="98"/>
      <c r="C40" s="99"/>
      <c r="D40" s="99"/>
      <c r="E40" s="99"/>
      <c r="F40" s="99"/>
      <c r="G40" s="99"/>
      <c r="H40" s="99"/>
      <c r="I40" s="100"/>
    </row>
    <row r="41" spans="1:9" ht="21.95" customHeight="1" x14ac:dyDescent="0.15">
      <c r="A41" s="86" t="s">
        <v>8</v>
      </c>
      <c r="B41" s="101"/>
      <c r="C41" s="78"/>
      <c r="D41" s="78"/>
      <c r="E41" s="78"/>
      <c r="F41" s="78"/>
      <c r="G41" s="78"/>
      <c r="H41" s="78"/>
      <c r="I41" s="79"/>
    </row>
    <row r="42" spans="1:9" ht="33" customHeight="1" x14ac:dyDescent="0.15">
      <c r="A42" s="86"/>
      <c r="B42" s="83"/>
      <c r="C42" s="84"/>
      <c r="D42" s="84"/>
      <c r="E42" s="84"/>
      <c r="F42" s="84"/>
      <c r="G42" s="84"/>
      <c r="H42" s="84"/>
      <c r="I42" s="85"/>
    </row>
    <row r="43" spans="1:9" ht="12" customHeight="1" x14ac:dyDescent="0.15">
      <c r="A43" s="71" t="s">
        <v>35</v>
      </c>
      <c r="B43" s="72"/>
      <c r="C43" s="72"/>
      <c r="D43" s="72"/>
      <c r="E43" s="72"/>
      <c r="F43" s="72"/>
      <c r="G43" s="72"/>
      <c r="H43" s="72"/>
      <c r="I43" s="73"/>
    </row>
    <row r="44" spans="1:9" ht="12" customHeight="1" x14ac:dyDescent="0.15">
      <c r="A44" s="74"/>
      <c r="B44" s="75"/>
      <c r="C44" s="75"/>
      <c r="D44" s="75"/>
      <c r="E44" s="75"/>
      <c r="F44" s="75"/>
      <c r="G44" s="75"/>
      <c r="H44" s="75"/>
      <c r="I44" s="76"/>
    </row>
    <row r="48" spans="1:9" x14ac:dyDescent="0.15">
      <c r="A48" s="6" t="s">
        <v>25</v>
      </c>
      <c r="B48" s="125" t="s">
        <v>26</v>
      </c>
      <c r="C48" s="125"/>
      <c r="D48" s="125"/>
      <c r="E48" s="125"/>
      <c r="F48" s="125"/>
      <c r="G48" s="125"/>
      <c r="H48" s="125"/>
      <c r="I48" s="6" t="s">
        <v>27</v>
      </c>
    </row>
    <row r="49" spans="1:9" x14ac:dyDescent="0.15">
      <c r="A49" s="7" t="s">
        <v>28</v>
      </c>
      <c r="B49" s="59" t="s">
        <v>29</v>
      </c>
      <c r="C49" s="59"/>
      <c r="D49" s="59"/>
      <c r="E49" s="59"/>
      <c r="F49" s="59"/>
      <c r="G49" s="59"/>
      <c r="H49" s="59"/>
      <c r="I49" s="10">
        <v>20250310</v>
      </c>
    </row>
    <row r="50" spans="1:9" x14ac:dyDescent="0.15">
      <c r="A50" s="7" t="s">
        <v>45</v>
      </c>
      <c r="B50" s="102" t="s">
        <v>44</v>
      </c>
      <c r="C50" s="103"/>
      <c r="D50" s="103"/>
      <c r="E50" s="103"/>
      <c r="F50" s="103"/>
      <c r="G50" s="103"/>
      <c r="H50" s="104"/>
      <c r="I50" s="10">
        <v>20250625</v>
      </c>
    </row>
    <row r="51" spans="1:9" x14ac:dyDescent="0.15">
      <c r="A51" s="7" t="s">
        <v>53</v>
      </c>
      <c r="B51" s="58" t="s">
        <v>54</v>
      </c>
      <c r="C51" s="59"/>
      <c r="D51" s="59"/>
      <c r="E51" s="59"/>
      <c r="F51" s="59"/>
      <c r="G51" s="59"/>
      <c r="H51" s="59"/>
      <c r="I51" s="10">
        <v>20251210</v>
      </c>
    </row>
  </sheetData>
  <mergeCells count="44">
    <mergeCell ref="B49:H49"/>
    <mergeCell ref="B28:D37"/>
    <mergeCell ref="A28:A37"/>
    <mergeCell ref="A16:A18"/>
    <mergeCell ref="B16:I18"/>
    <mergeCell ref="B48:H48"/>
    <mergeCell ref="B51:H51"/>
    <mergeCell ref="A19:A20"/>
    <mergeCell ref="B19:I20"/>
    <mergeCell ref="A21:I22"/>
    <mergeCell ref="B27:D27"/>
    <mergeCell ref="F27:I27"/>
    <mergeCell ref="I23:I24"/>
    <mergeCell ref="I25:I26"/>
    <mergeCell ref="A43:I44"/>
    <mergeCell ref="F28:I37"/>
    <mergeCell ref="A41:A42"/>
    <mergeCell ref="E28:E37"/>
    <mergeCell ref="A38:A40"/>
    <mergeCell ref="B38:I40"/>
    <mergeCell ref="B41:I42"/>
    <mergeCell ref="B50:H50"/>
    <mergeCell ref="A1:E4"/>
    <mergeCell ref="F1:F2"/>
    <mergeCell ref="G1:G2"/>
    <mergeCell ref="H1:H2"/>
    <mergeCell ref="I1:I2"/>
    <mergeCell ref="F3:F4"/>
    <mergeCell ref="G3:G4"/>
    <mergeCell ref="H3:H4"/>
    <mergeCell ref="I3:I4"/>
    <mergeCell ref="B5:D5"/>
    <mergeCell ref="F5:I5"/>
    <mergeCell ref="A6:A15"/>
    <mergeCell ref="G23:G24"/>
    <mergeCell ref="G25:G26"/>
    <mergeCell ref="F23:F24"/>
    <mergeCell ref="F25:F26"/>
    <mergeCell ref="A23:E26"/>
    <mergeCell ref="H23:H24"/>
    <mergeCell ref="H25:H26"/>
    <mergeCell ref="B6:D15"/>
    <mergeCell ref="E6:E15"/>
    <mergeCell ref="F6:I15"/>
  </mergeCells>
  <phoneticPr fontId="7" type="noConversion"/>
  <pageMargins left="0.43263888888888902" right="0.15625" top="0.51180555555555596" bottom="7.7777777777777807E-2" header="0.15625" footer="0"/>
  <pageSetup paperSize="9" scale="86" orientation="landscape" r:id="rId1"/>
  <rowBreaks count="1" manualBreakCount="1">
    <brk id="22" max="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27" r:id="rId4" name="Check Box 6394">
              <controlPr defaultSize="0" autoPict="0">
                <anchor moveWithCells="1">
                  <from>
                    <xdr:col>2</xdr:col>
                    <xdr:colOff>66675</xdr:colOff>
                    <xdr:row>40</xdr:row>
                    <xdr:rowOff>238125</xdr:rowOff>
                  </from>
                  <to>
                    <xdr:col>2</xdr:col>
                    <xdr:colOff>504825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5" name="Check Box 6394">
              <controlPr defaultSize="0" autoPict="0">
                <anchor moveWithCells="1">
                  <from>
                    <xdr:col>3</xdr:col>
                    <xdr:colOff>238125</xdr:colOff>
                    <xdr:row>40</xdr:row>
                    <xdr:rowOff>238125</xdr:rowOff>
                  </from>
                  <to>
                    <xdr:col>3</xdr:col>
                    <xdr:colOff>666750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6" name="Check Box 6394">
              <controlPr defaultSize="0" autoPict="0">
                <anchor moveWithCells="1">
                  <from>
                    <xdr:col>3</xdr:col>
                    <xdr:colOff>1304925</xdr:colOff>
                    <xdr:row>40</xdr:row>
                    <xdr:rowOff>238125</xdr:rowOff>
                  </from>
                  <to>
                    <xdr:col>4</xdr:col>
                    <xdr:colOff>200025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7" name="Check Box 6394">
              <controlPr defaultSize="0" autoPict="0">
                <anchor moveWithCells="1">
                  <from>
                    <xdr:col>4</xdr:col>
                    <xdr:colOff>1000125</xdr:colOff>
                    <xdr:row>40</xdr:row>
                    <xdr:rowOff>238125</xdr:rowOff>
                  </from>
                  <to>
                    <xdr:col>5</xdr:col>
                    <xdr:colOff>276225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" name="Check Box 6394">
              <controlPr defaultSize="0" autoPict="0">
                <anchor moveWithCells="1">
                  <from>
                    <xdr:col>5</xdr:col>
                    <xdr:colOff>1200150</xdr:colOff>
                    <xdr:row>40</xdr:row>
                    <xdr:rowOff>238125</xdr:rowOff>
                  </from>
                  <to>
                    <xdr:col>6</xdr:col>
                    <xdr:colOff>47625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9" name="Check Box 6394">
              <controlPr defaultSize="0" autoPict="0">
                <anchor moveWithCells="1">
                  <from>
                    <xdr:col>6</xdr:col>
                    <xdr:colOff>990600</xdr:colOff>
                    <xdr:row>40</xdr:row>
                    <xdr:rowOff>238125</xdr:rowOff>
                  </from>
                  <to>
                    <xdr:col>6</xdr:col>
                    <xdr:colOff>1419225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10" name="Check Box 6394">
              <controlPr defaultSize="0" autoPict="0">
                <anchor moveWithCells="1">
                  <from>
                    <xdr:col>2</xdr:col>
                    <xdr:colOff>66675</xdr:colOff>
                    <xdr:row>18</xdr:row>
                    <xdr:rowOff>238125</xdr:rowOff>
                  </from>
                  <to>
                    <xdr:col>2</xdr:col>
                    <xdr:colOff>504825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11" name="Check Box 92">
              <controlPr defaultSize="0" autoPict="0">
                <anchor moveWithCells="1">
                  <from>
                    <xdr:col>3</xdr:col>
                    <xdr:colOff>238125</xdr:colOff>
                    <xdr:row>18</xdr:row>
                    <xdr:rowOff>238125</xdr:rowOff>
                  </from>
                  <to>
                    <xdr:col>3</xdr:col>
                    <xdr:colOff>676275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12" name="Check Box 93">
              <controlPr defaultSize="0" autoPict="0">
                <anchor moveWithCells="1">
                  <from>
                    <xdr:col>3</xdr:col>
                    <xdr:colOff>1304925</xdr:colOff>
                    <xdr:row>18</xdr:row>
                    <xdr:rowOff>238125</xdr:rowOff>
                  </from>
                  <to>
                    <xdr:col>4</xdr:col>
                    <xdr:colOff>200025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13" name="Check Box 94">
              <controlPr defaultSize="0" autoPict="0">
                <anchor moveWithCells="1">
                  <from>
                    <xdr:col>4</xdr:col>
                    <xdr:colOff>1000125</xdr:colOff>
                    <xdr:row>18</xdr:row>
                    <xdr:rowOff>238125</xdr:rowOff>
                  </from>
                  <to>
                    <xdr:col>5</xdr:col>
                    <xdr:colOff>276225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14" name="Check Box 95">
              <controlPr defaultSize="0" autoPict="0">
                <anchor moveWithCells="1">
                  <from>
                    <xdr:col>5</xdr:col>
                    <xdr:colOff>1200150</xdr:colOff>
                    <xdr:row>18</xdr:row>
                    <xdr:rowOff>238125</xdr:rowOff>
                  </from>
                  <to>
                    <xdr:col>6</xdr:col>
                    <xdr:colOff>47625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15" name="Check Box 96">
              <controlPr defaultSize="0" autoPict="0">
                <anchor moveWithCells="1">
                  <from>
                    <xdr:col>6</xdr:col>
                    <xdr:colOff>990600</xdr:colOff>
                    <xdr:row>18</xdr:row>
                    <xdr:rowOff>238125</xdr:rowOff>
                  </from>
                  <to>
                    <xdr:col>6</xdr:col>
                    <xdr:colOff>1419225</xdr:colOff>
                    <xdr:row>19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P24"/>
  <sheetViews>
    <sheetView workbookViewId="0">
      <selection activeCell="F13" sqref="F13"/>
    </sheetView>
  </sheetViews>
  <sheetFormatPr defaultRowHeight="13.5" x14ac:dyDescent="0.15"/>
  <cols>
    <col min="4" max="4" width="6.625" customWidth="1"/>
    <col min="5" max="5" width="3.75" customWidth="1"/>
    <col min="6" max="6" width="20.125" customWidth="1"/>
    <col min="7" max="7" width="6.625" customWidth="1"/>
    <col min="8" max="8" width="6.75" customWidth="1"/>
    <col min="9" max="9" width="7.25" customWidth="1"/>
  </cols>
  <sheetData>
    <row r="7" spans="4:9" ht="27.75" customHeight="1" x14ac:dyDescent="0.15">
      <c r="D7" s="3" t="s">
        <v>13</v>
      </c>
      <c r="E7" s="3" t="s">
        <v>14</v>
      </c>
      <c r="F7" s="3" t="s">
        <v>15</v>
      </c>
      <c r="G7" s="5" t="s">
        <v>32</v>
      </c>
      <c r="H7" s="5" t="s">
        <v>33</v>
      </c>
      <c r="I7" s="5" t="s">
        <v>34</v>
      </c>
    </row>
    <row r="8" spans="4:9" ht="20.100000000000001" customHeight="1" x14ac:dyDescent="0.15">
      <c r="D8" s="4" t="s">
        <v>39</v>
      </c>
      <c r="E8" s="8">
        <v>1</v>
      </c>
      <c r="F8" s="13" t="s">
        <v>51</v>
      </c>
      <c r="G8" s="9" t="s">
        <v>22</v>
      </c>
      <c r="H8" s="9">
        <f>G8*2</f>
        <v>1000</v>
      </c>
      <c r="I8" s="9">
        <f>H8*8</f>
        <v>8000</v>
      </c>
    </row>
    <row r="9" spans="4:9" ht="20.100000000000001" customHeight="1" x14ac:dyDescent="0.15">
      <c r="D9" s="4" t="s">
        <v>40</v>
      </c>
      <c r="E9" s="8">
        <v>2</v>
      </c>
      <c r="F9" s="13" t="s">
        <v>17</v>
      </c>
      <c r="G9" s="9" t="s">
        <v>21</v>
      </c>
      <c r="H9" s="9">
        <f t="shared" ref="H9:H14" si="0">G9*2</f>
        <v>10000</v>
      </c>
      <c r="I9" s="9">
        <f t="shared" ref="I9:I14" si="1">H9*8</f>
        <v>80000</v>
      </c>
    </row>
    <row r="10" spans="4:9" ht="20.100000000000001" customHeight="1" x14ac:dyDescent="0.15">
      <c r="D10" s="4" t="s">
        <v>40</v>
      </c>
      <c r="E10" s="8">
        <v>3</v>
      </c>
      <c r="F10" s="13" t="s">
        <v>50</v>
      </c>
      <c r="G10" s="9" t="s">
        <v>18</v>
      </c>
      <c r="H10" s="9">
        <f t="shared" si="0"/>
        <v>4000</v>
      </c>
      <c r="I10" s="9">
        <f t="shared" si="1"/>
        <v>32000</v>
      </c>
    </row>
    <row r="11" spans="4:9" ht="20.100000000000001" customHeight="1" x14ac:dyDescent="0.15">
      <c r="D11" s="4" t="s">
        <v>40</v>
      </c>
      <c r="E11" s="8">
        <v>4</v>
      </c>
      <c r="F11" s="13" t="s">
        <v>41</v>
      </c>
      <c r="G11" s="9" t="s">
        <v>20</v>
      </c>
      <c r="H11" s="9">
        <f t="shared" si="0"/>
        <v>8000</v>
      </c>
      <c r="I11" s="9">
        <f t="shared" si="1"/>
        <v>64000</v>
      </c>
    </row>
    <row r="12" spans="4:9" ht="20.100000000000001" customHeight="1" x14ac:dyDescent="0.15">
      <c r="D12" s="4" t="s">
        <v>40</v>
      </c>
      <c r="E12" s="8">
        <v>5</v>
      </c>
      <c r="F12" s="13" t="s">
        <v>23</v>
      </c>
      <c r="G12" s="9" t="s">
        <v>21</v>
      </c>
      <c r="H12" s="9">
        <f t="shared" si="0"/>
        <v>10000</v>
      </c>
      <c r="I12" s="9">
        <f t="shared" si="1"/>
        <v>80000</v>
      </c>
    </row>
    <row r="13" spans="4:9" ht="20.100000000000001" customHeight="1" x14ac:dyDescent="0.15">
      <c r="D13" s="4" t="s">
        <v>40</v>
      </c>
      <c r="E13" s="8">
        <v>6</v>
      </c>
      <c r="F13" s="13" t="s">
        <v>24</v>
      </c>
      <c r="G13" s="9" t="s">
        <v>19</v>
      </c>
      <c r="H13" s="9">
        <f t="shared" si="0"/>
        <v>6000</v>
      </c>
      <c r="I13" s="9">
        <f t="shared" si="1"/>
        <v>48000</v>
      </c>
    </row>
    <row r="14" spans="4:9" ht="27" customHeight="1" x14ac:dyDescent="0.15">
      <c r="D14" s="4" t="s">
        <v>40</v>
      </c>
      <c r="E14" s="8">
        <v>7</v>
      </c>
      <c r="F14" s="15" t="s">
        <v>52</v>
      </c>
      <c r="G14" s="9" t="s">
        <v>16</v>
      </c>
      <c r="H14" s="9">
        <f t="shared" si="0"/>
        <v>2000</v>
      </c>
      <c r="I14" s="9">
        <f t="shared" si="1"/>
        <v>16000</v>
      </c>
    </row>
    <row r="21" spans="16:16" x14ac:dyDescent="0.15">
      <c r="P21" s="16"/>
    </row>
    <row r="23" spans="16:16" x14ac:dyDescent="0.15">
      <c r="P23" s="14"/>
    </row>
    <row r="24" spans="16:16" x14ac:dyDescent="0.15">
      <c r="P24" s="14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 (2)</vt:lpstr>
      <vt:lpstr>截图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2025-03-10T00:29:07Z</cp:lastPrinted>
  <dcterms:created xsi:type="dcterms:W3CDTF">2019-03-28T11:33:00Z</dcterms:created>
  <dcterms:modified xsi:type="dcterms:W3CDTF">2025-12-31T08:53:36Z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
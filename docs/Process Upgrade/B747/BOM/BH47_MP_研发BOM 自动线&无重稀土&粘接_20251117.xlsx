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123.119\npi bu技术文档\技术文档\01.项目管理\84.BH47&amp;B747\50.开发履历\Ramp\"/>
    </mc:Choice>
  </mc:AlternateContent>
  <xr:revisionPtr revIDLastSave="0" documentId="13_ncr:1_{3EF41A4F-550A-473B-900C-2154D73B65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 List" sheetId="2" r:id="rId1"/>
    <sheet name="BH47研发BOM" sheetId="1" r:id="rId2"/>
    <sheet name="无重稀土磁钢" sheetId="4" r:id="rId3"/>
    <sheet name="DFMs" sheetId="3" r:id="rId4"/>
    <sheet name="HRE FREE DRAWING" sheetId="5" r:id="rId5"/>
  </sheets>
  <definedNames>
    <definedName name="_xlnm._FilterDatabase" localSheetId="1" hidden="1">BH47研发BOM!#REF!</definedName>
    <definedName name="_xlnm._FilterDatabase" localSheetId="0" hidden="1">'BOM List'!$B$2:$U$50</definedName>
  </definedNames>
  <calcPr calcId="181029"/>
</workbook>
</file>

<file path=xl/calcChain.xml><?xml version="1.0" encoding="utf-8"?>
<calcChain xmlns="http://schemas.openxmlformats.org/spreadsheetml/2006/main">
  <c r="Q188" i="1" l="1"/>
  <c r="N190" i="1"/>
  <c r="N189" i="1"/>
  <c r="N188" i="1"/>
  <c r="O193" i="1"/>
  <c r="M193" i="1"/>
  <c r="M96" i="1"/>
  <c r="N90" i="1"/>
  <c r="Q73" i="1"/>
  <c r="Q87" i="1"/>
  <c r="O96" i="1"/>
  <c r="N89" i="1"/>
  <c r="N88" i="1"/>
  <c r="N87" i="1"/>
  <c r="O168" i="1" l="1"/>
  <c r="O151" i="1"/>
  <c r="O133" i="1"/>
  <c r="O118" i="1"/>
  <c r="O80" i="1"/>
  <c r="O66" i="1"/>
  <c r="O38" i="1"/>
  <c r="Q141" i="1"/>
  <c r="M80" i="1"/>
  <c r="N74" i="1"/>
  <c r="N73" i="1"/>
  <c r="M133" i="1"/>
  <c r="Q126" i="1"/>
  <c r="N127" i="1"/>
  <c r="N126" i="1"/>
  <c r="M168" i="1" l="1"/>
  <c r="N165" i="1"/>
  <c r="N164" i="1"/>
  <c r="N163" i="1"/>
  <c r="N162" i="1"/>
  <c r="N161" i="1"/>
  <c r="Q160" i="1"/>
  <c r="N160" i="1"/>
  <c r="N130" i="1"/>
  <c r="N129" i="1"/>
  <c r="N128" i="1"/>
  <c r="M66" i="1" l="1"/>
  <c r="M38" i="1"/>
  <c r="N29" i="1"/>
  <c r="N19" i="1"/>
  <c r="N32" i="1"/>
  <c r="N61" i="1"/>
  <c r="N60" i="1"/>
  <c r="N59" i="1"/>
  <c r="N58" i="1"/>
  <c r="N57" i="1"/>
  <c r="N56" i="1"/>
  <c r="N55" i="1"/>
  <c r="N54" i="1"/>
  <c r="N53" i="1"/>
  <c r="N52" i="1"/>
  <c r="N51" i="1"/>
  <c r="N49" i="1"/>
  <c r="N48" i="1"/>
  <c r="N47" i="1"/>
  <c r="N46" i="1"/>
  <c r="Q45" i="1"/>
  <c r="N45" i="1"/>
  <c r="M118" i="1" l="1"/>
  <c r="Q108" i="1"/>
  <c r="N110" i="1"/>
  <c r="N109" i="1"/>
  <c r="N108" i="1"/>
  <c r="M151" i="1" l="1"/>
  <c r="N142" i="1"/>
  <c r="N141" i="1"/>
  <c r="N30" i="1" l="1"/>
  <c r="N28" i="1"/>
  <c r="N27" i="1"/>
  <c r="N26" i="1"/>
  <c r="N25" i="1"/>
  <c r="N24" i="1"/>
  <c r="N31" i="1" l="1"/>
  <c r="N11" i="1"/>
  <c r="N15" i="1"/>
  <c r="N16" i="1"/>
  <c r="N17" i="1"/>
  <c r="N18" i="1"/>
  <c r="N20" i="1"/>
  <c r="N21" i="1"/>
  <c r="N22" i="1"/>
  <c r="N10" i="1"/>
  <c r="O180" i="1"/>
  <c r="M180" i="1"/>
  <c r="N179" i="1"/>
  <c r="N178" i="1"/>
  <c r="Q177" i="1"/>
  <c r="N177" i="1"/>
  <c r="N148" i="1"/>
  <c r="N143" i="1"/>
  <c r="N115" i="1"/>
  <c r="N77" i="1"/>
  <c r="N76" i="1"/>
  <c r="N75" i="1"/>
  <c r="N33" i="1"/>
  <c r="N23" i="1"/>
  <c r="N9" i="1"/>
  <c r="N8" i="1"/>
  <c r="N7" i="1"/>
  <c r="Q6" i="1"/>
  <c r="N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N4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一般*0.9的稼动率</t>
        </r>
      </text>
    </comment>
    <comment ref="N43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一般*0.9的稼动率</t>
        </r>
      </text>
    </comment>
    <comment ref="N71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一般*0.9的稼动率</t>
        </r>
      </text>
    </comment>
    <comment ref="N85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一般*0.9的稼动率</t>
        </r>
      </text>
    </comment>
    <comment ref="N106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一般*0.9的稼动率</t>
        </r>
      </text>
    </comment>
    <comment ref="N124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一般*0.9的稼动率</t>
        </r>
      </text>
    </comment>
    <comment ref="N139" authorId="0" shapeId="0" xr:uid="{00000000-0006-0000-0100-000007000000}">
      <text>
        <r>
          <rPr>
            <b/>
            <sz val="10"/>
            <color indexed="81"/>
            <rFont val="宋体"/>
            <family val="3"/>
            <charset val="134"/>
          </rPr>
          <t>一般*0.9的稼动率</t>
        </r>
      </text>
    </comment>
    <comment ref="N158" authorId="0" shapeId="0" xr:uid="{00000000-0006-0000-0100-000008000000}">
      <text>
        <r>
          <rPr>
            <b/>
            <sz val="9"/>
            <rFont val="宋体"/>
            <family val="3"/>
            <charset val="134"/>
          </rPr>
          <t>一般*0.9的稼动率</t>
        </r>
      </text>
    </comment>
    <comment ref="N175" authorId="0" shapeId="0" xr:uid="{00000000-0006-0000-0100-000009000000}">
      <text>
        <r>
          <rPr>
            <b/>
            <sz val="9"/>
            <rFont val="宋体"/>
            <family val="3"/>
            <charset val="134"/>
          </rPr>
          <t>一般*0.9的稼动率</t>
        </r>
      </text>
    </comment>
    <comment ref="N186" authorId="0" shapeId="0" xr:uid="{66863572-D05C-41A9-94C9-3818FF0788A7}">
      <text>
        <r>
          <rPr>
            <b/>
            <sz val="9"/>
            <rFont val="宋体"/>
            <family val="3"/>
            <charset val="134"/>
          </rPr>
          <t>一般*0.9的稼动率</t>
        </r>
      </text>
    </comment>
  </commentList>
</comments>
</file>

<file path=xl/sharedStrings.xml><?xml version="1.0" encoding="utf-8"?>
<sst xmlns="http://schemas.openxmlformats.org/spreadsheetml/2006/main" count="1814" uniqueCount="631">
  <si>
    <t>项目</t>
  </si>
  <si>
    <t>阶段</t>
  </si>
  <si>
    <t>系列</t>
  </si>
  <si>
    <t>组件/单件</t>
  </si>
  <si>
    <t>组件客户图号</t>
  </si>
  <si>
    <t>组件厂内图号</t>
  </si>
  <si>
    <t>组件规格</t>
  </si>
  <si>
    <t>组件3D</t>
  </si>
  <si>
    <t>序号</t>
  </si>
  <si>
    <t>零件客户图号</t>
  </si>
  <si>
    <t>零件厂内图号</t>
  </si>
  <si>
    <t>零件3D</t>
  </si>
  <si>
    <t>规格</t>
  </si>
  <si>
    <t>用量</t>
  </si>
  <si>
    <t>极性/磁偏角</t>
  </si>
  <si>
    <t>材质</t>
  </si>
  <si>
    <t>镀层</t>
  </si>
  <si>
    <t>描述</t>
  </si>
  <si>
    <t>预估良率</t>
  </si>
  <si>
    <t>备注</t>
  </si>
  <si>
    <t>BH47</t>
  </si>
  <si>
    <t>EVT</t>
  </si>
  <si>
    <t>手工线</t>
  </si>
  <si>
    <t>组件-R</t>
  </si>
  <si>
    <t>613-33724-02</t>
  </si>
  <si>
    <t>05878-33724-02</t>
  </si>
  <si>
    <t>9.22*5.82*3.6</t>
  </si>
  <si>
    <t>160-05611-01
（CONFIG 2）</t>
  </si>
  <si>
    <t>05891-05611-01
（CONFIG 2）</t>
  </si>
  <si>
    <t>5.82*3.45*2.11</t>
  </si>
  <si>
    <t>N54M-100RC</t>
  </si>
  <si>
    <t>NiCuNi</t>
  </si>
  <si>
    <t>充磁-磁铁热压组装-铁片烘道组装</t>
  </si>
  <si>
    <t>已取消</t>
  </si>
  <si>
    <t>160-05612-01
（CONFIG 2）</t>
  </si>
  <si>
    <t>05893-05612-01
（CONFIG 2）</t>
  </si>
  <si>
    <t>5.82*2.57*2.76</t>
  </si>
  <si>
    <t>160-05613-01
（CONFIG 2）</t>
  </si>
  <si>
    <t>05896-05613-01
（CONFIG 2）</t>
  </si>
  <si>
    <t>5.52*2.57*1.44</t>
  </si>
  <si>
    <t>160-05614-01
（CONFIG 2）</t>
  </si>
  <si>
    <t>05898-05614-01
（CONFIG 2）</t>
  </si>
  <si>
    <t>5.52*1.97*1.52</t>
  </si>
  <si>
    <t>806-53343-01</t>
  </si>
  <si>
    <t>05900 -53343-01</t>
  </si>
  <si>
    <t>9.22*5.52*0.15</t>
  </si>
  <si>
    <t>/</t>
  </si>
  <si>
    <t>SPCD1010</t>
  </si>
  <si>
    <t>Ni</t>
  </si>
  <si>
    <t>组件-L</t>
  </si>
  <si>
    <t>613-33659-02</t>
  </si>
  <si>
    <t>05880-33659-02</t>
  </si>
  <si>
    <t>160-05607-01
（CONFIG 2）</t>
  </si>
  <si>
    <t>05882-05607-01
（CONFIG 2）</t>
  </si>
  <si>
    <t>160-05608-01
（CONFIG 2）</t>
  </si>
  <si>
    <t>05885-05608-01
（CONFIG 2）</t>
  </si>
  <si>
    <t>160-05609-01
（CONFIG 2）</t>
  </si>
  <si>
    <t>05887-05609-01
（CONFIG 2）</t>
  </si>
  <si>
    <t>160-05610-01
（CONFIG 2）</t>
  </si>
  <si>
    <t>05889-05610-01
（CONFIG 2）</t>
  </si>
  <si>
    <t>1806-53342-01</t>
  </si>
  <si>
    <t>05899-53342-01</t>
  </si>
  <si>
    <t>DVT</t>
  </si>
  <si>
    <t>613-35102-02</t>
  </si>
  <si>
    <t>06289-35102-02</t>
  </si>
  <si>
    <t>9.83*6.19*4.1</t>
  </si>
  <si>
    <t>160-05811-04</t>
  </si>
  <si>
    <t>06279-05811-04</t>
  </si>
  <si>
    <t>4.1*2.71*6.19</t>
  </si>
  <si>
    <t>160-05812-05</t>
  </si>
  <si>
    <t>06280-05812-05</t>
  </si>
  <si>
    <t>4.04*2.57*5.47</t>
  </si>
  <si>
    <t>160-05813-04</t>
  </si>
  <si>
    <t>06281-05813-04</t>
  </si>
  <si>
    <t>3.80*2.57*4.18</t>
  </si>
  <si>
    <t>160-05814-04</t>
  </si>
  <si>
    <t>06282-05814-04</t>
  </si>
  <si>
    <t>3.80*1.98*4.26</t>
  </si>
  <si>
    <t>806-55638-01</t>
  </si>
  <si>
    <t>06283-55638-04</t>
  </si>
  <si>
    <t>4.07*9.07*0.15</t>
  </si>
  <si>
    <t>SUS 316L</t>
  </si>
  <si>
    <t>613-35106-01</t>
  </si>
  <si>
    <t>06290-35106-01</t>
  </si>
  <si>
    <t>160-05815-03</t>
  </si>
  <si>
    <t>06285-05815-03</t>
  </si>
  <si>
    <t>160-05816-03</t>
  </si>
  <si>
    <t>06286-05816-03</t>
  </si>
  <si>
    <t>160-05817-03</t>
  </si>
  <si>
    <t>06287-05817-03</t>
  </si>
  <si>
    <t>160-05818-03</t>
  </si>
  <si>
    <t>06288-05818-03</t>
  </si>
  <si>
    <t>806-55645-01</t>
  </si>
  <si>
    <t>06291-55645-01
(同06283-55638-01)</t>
  </si>
  <si>
    <t>自动线</t>
  </si>
  <si>
    <t>自动组装线</t>
  </si>
  <si>
    <t xml:space="preserve"> </t>
  </si>
  <si>
    <t>06283-55638 卷料图</t>
  </si>
  <si>
    <t>24.5*0.2</t>
  </si>
  <si>
    <t>1pcs</t>
  </si>
  <si>
    <t>单件</t>
  </si>
  <si>
    <t>充磁镭雕</t>
  </si>
  <si>
    <t>160-05533</t>
  </si>
  <si>
    <t>4.2*5.6*1.47</t>
  </si>
  <si>
    <t>CuEn</t>
  </si>
  <si>
    <t>与BH35-03269相同</t>
  </si>
  <si>
    <t>806-55475</t>
  </si>
  <si>
    <t>06260-55475</t>
  </si>
  <si>
    <t>6.5*4.83*4.88</t>
  </si>
  <si>
    <t>单件出货</t>
  </si>
  <si>
    <t>160-05689-01</t>
  </si>
  <si>
    <t>N48SH-100RC</t>
  </si>
  <si>
    <t>M1充磁镭雕</t>
  </si>
  <si>
    <t>160-05690-01</t>
  </si>
  <si>
    <t>CUEn</t>
  </si>
  <si>
    <t>M2充磁镭雕</t>
  </si>
  <si>
    <t>160-05692-01</t>
  </si>
  <si>
    <t>M3充磁镭雕</t>
  </si>
  <si>
    <t>160-05691-01</t>
  </si>
  <si>
    <t>M4充磁镭雕</t>
  </si>
  <si>
    <t>N48H-100RC （HRE-FREE）</t>
  </si>
  <si>
    <t>N52M-100RC （HRE-FREE）</t>
  </si>
  <si>
    <t>N54M-100RC （HRE-FREE）</t>
  </si>
  <si>
    <t>N50H-100RC （HRE-FREE）</t>
  </si>
  <si>
    <t>BH47自动线研发BOM (06289-35102&amp;06290-35106)</t>
  </si>
  <si>
    <t>单线标准配置</t>
  </si>
  <si>
    <t>研发阶段</t>
  </si>
  <si>
    <t>制程</t>
  </si>
  <si>
    <t>工序</t>
  </si>
  <si>
    <t>原料</t>
  </si>
  <si>
    <t>治具</t>
  </si>
  <si>
    <t>设备</t>
  </si>
  <si>
    <t>工站CT(S)</t>
  </si>
  <si>
    <t>单线单班产能</t>
  </si>
  <si>
    <t>单线人力</t>
  </si>
  <si>
    <t>计划良率</t>
  </si>
  <si>
    <t>物料号</t>
  </si>
  <si>
    <t>数量</t>
  </si>
  <si>
    <t>名称</t>
  </si>
  <si>
    <r>
      <rPr>
        <sz val="11"/>
        <color theme="1"/>
        <rFont val="Arial Unicode MS"/>
        <family val="2"/>
      </rPr>
      <t>磁钢充磁</t>
    </r>
  </si>
  <si>
    <r>
      <rPr>
        <sz val="11"/>
        <color theme="1"/>
        <rFont val="Arial Unicode MS"/>
        <family val="2"/>
      </rPr>
      <t>单磁钢充磁</t>
    </r>
  </si>
  <si>
    <r>
      <rPr>
        <sz val="11"/>
        <color theme="1"/>
        <rFont val="Arial"/>
        <family val="2"/>
      </rPr>
      <t>06279-05811</t>
    </r>
    <r>
      <rPr>
        <sz val="11"/>
        <color theme="1"/>
        <rFont val="Arial Unicode MS"/>
        <family val="2"/>
      </rPr>
      <t>或</t>
    </r>
    <r>
      <rPr>
        <sz val="11"/>
        <color theme="1"/>
        <rFont val="Arial"/>
        <family val="2"/>
      </rPr>
      <t>06285-05815</t>
    </r>
  </si>
  <si>
    <r>
      <rPr>
        <sz val="11"/>
        <color theme="1"/>
        <rFont val="Arial"/>
        <family val="2"/>
      </rPr>
      <t>06280-05812</t>
    </r>
    <r>
      <rPr>
        <sz val="11"/>
        <color theme="1"/>
        <rFont val="Arial Unicode MS"/>
        <family val="2"/>
      </rPr>
      <t>或</t>
    </r>
    <r>
      <rPr>
        <sz val="11"/>
        <color theme="1"/>
        <rFont val="Arial"/>
        <family val="2"/>
      </rPr>
      <t>06286-05816</t>
    </r>
  </si>
  <si>
    <r>
      <rPr>
        <sz val="11"/>
        <color theme="1"/>
        <rFont val="Arial"/>
        <family val="2"/>
      </rPr>
      <t>06281-05813</t>
    </r>
    <r>
      <rPr>
        <sz val="11"/>
        <color theme="1"/>
        <rFont val="Arial Unicode MS"/>
        <family val="2"/>
      </rPr>
      <t>或</t>
    </r>
    <r>
      <rPr>
        <sz val="11"/>
        <color theme="1"/>
        <rFont val="Arial"/>
        <family val="2"/>
      </rPr>
      <t>06287-05817</t>
    </r>
  </si>
  <si>
    <r>
      <rPr>
        <sz val="11"/>
        <color theme="1"/>
        <rFont val="Arial"/>
        <family val="2"/>
      </rPr>
      <t>06282-05814</t>
    </r>
    <r>
      <rPr>
        <sz val="11"/>
        <color theme="1"/>
        <rFont val="Arial Unicode MS"/>
        <family val="2"/>
      </rPr>
      <t>或</t>
    </r>
    <r>
      <rPr>
        <sz val="11"/>
        <color theme="1"/>
        <rFont val="Arial"/>
        <family val="2"/>
      </rPr>
      <t>06288-05818</t>
    </r>
  </si>
  <si>
    <r>
      <rPr>
        <sz val="11"/>
        <color theme="1"/>
        <rFont val="Arial Unicode MS"/>
        <family val="2"/>
      </rPr>
      <t>一道磁钢组装</t>
    </r>
  </si>
  <si>
    <r>
      <rPr>
        <sz val="11"/>
        <color theme="1"/>
        <rFont val="等线"/>
        <family val="3"/>
        <charset val="134"/>
      </rPr>
      <t>治具除胶上治具</t>
    </r>
  </si>
  <si>
    <r>
      <rPr>
        <sz val="11"/>
        <color theme="1"/>
        <rFont val="等线"/>
        <family val="3"/>
        <charset val="134"/>
      </rPr>
      <t>一道组装治具（一出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family val="3"/>
        <charset val="134"/>
      </rPr>
      <t>）</t>
    </r>
  </si>
  <si>
    <r>
      <rPr>
        <sz val="11"/>
        <color theme="1"/>
        <rFont val="Arial"/>
        <family val="2"/>
      </rPr>
      <t>4x</t>
    </r>
    <r>
      <rPr>
        <sz val="11"/>
        <color theme="1"/>
        <rFont val="Arial Unicode MS"/>
        <family val="2"/>
      </rPr>
      <t>磁钢上料</t>
    </r>
  </si>
  <si>
    <r>
      <rPr>
        <sz val="11"/>
        <color theme="1"/>
        <rFont val="Arial"/>
        <family val="2"/>
      </rPr>
      <t xml:space="preserve">06282+06281+06280+06279
</t>
    </r>
    <r>
      <rPr>
        <sz val="11"/>
        <color theme="1"/>
        <rFont val="Arial Unicode MS"/>
        <family val="2"/>
      </rPr>
      <t>或</t>
    </r>
    <r>
      <rPr>
        <sz val="11"/>
        <color theme="1"/>
        <rFont val="Arial"/>
        <family val="2"/>
      </rPr>
      <t>06288+06287+06286+06285</t>
    </r>
  </si>
  <si>
    <r>
      <rPr>
        <sz val="11"/>
        <color theme="1"/>
        <rFont val="Arial"/>
        <family val="2"/>
      </rPr>
      <t>06282</t>
    </r>
    <r>
      <rPr>
        <sz val="11"/>
        <color theme="1"/>
        <rFont val="Arial Unicode MS"/>
        <family val="2"/>
      </rPr>
      <t>或</t>
    </r>
    <r>
      <rPr>
        <sz val="11"/>
        <color theme="1"/>
        <rFont val="Arial"/>
        <family val="2"/>
      </rPr>
      <t>06288</t>
    </r>
    <r>
      <rPr>
        <sz val="11"/>
        <color theme="1"/>
        <rFont val="Arial Unicode MS"/>
        <family val="2"/>
      </rPr>
      <t>上料盘</t>
    </r>
  </si>
  <si>
    <r>
      <rPr>
        <sz val="11"/>
        <color theme="1"/>
        <rFont val="Arial"/>
        <family val="2"/>
      </rPr>
      <t>06281</t>
    </r>
    <r>
      <rPr>
        <sz val="11"/>
        <color theme="1"/>
        <rFont val="Arial Unicode MS"/>
        <family val="2"/>
      </rPr>
      <t>或</t>
    </r>
    <r>
      <rPr>
        <sz val="11"/>
        <color theme="1"/>
        <rFont val="Arial"/>
        <family val="2"/>
      </rPr>
      <t>06287</t>
    </r>
    <r>
      <rPr>
        <sz val="11"/>
        <color theme="1"/>
        <rFont val="Arial Unicode MS"/>
        <family val="2"/>
      </rPr>
      <t>上料弹夹</t>
    </r>
  </si>
  <si>
    <r>
      <rPr>
        <sz val="11"/>
        <color theme="1"/>
        <rFont val="Arial"/>
        <family val="2"/>
      </rPr>
      <t>06280</t>
    </r>
    <r>
      <rPr>
        <sz val="11"/>
        <color theme="1"/>
        <rFont val="Arial Unicode MS"/>
        <family val="2"/>
      </rPr>
      <t>或</t>
    </r>
    <r>
      <rPr>
        <sz val="11"/>
        <color theme="1"/>
        <rFont val="Arial"/>
        <family val="2"/>
      </rPr>
      <t>06286</t>
    </r>
    <r>
      <rPr>
        <sz val="11"/>
        <color theme="1"/>
        <rFont val="Arial Unicode MS"/>
        <family val="2"/>
      </rPr>
      <t>上料盘</t>
    </r>
  </si>
  <si>
    <r>
      <rPr>
        <sz val="11"/>
        <color theme="1"/>
        <rFont val="Arial"/>
        <family val="2"/>
      </rPr>
      <t>06279</t>
    </r>
    <r>
      <rPr>
        <sz val="11"/>
        <color theme="1"/>
        <rFont val="Arial Unicode MS"/>
        <family val="2"/>
      </rPr>
      <t>或</t>
    </r>
    <r>
      <rPr>
        <sz val="11"/>
        <color theme="1"/>
        <rFont val="Arial"/>
        <family val="2"/>
      </rPr>
      <t>06285</t>
    </r>
    <r>
      <rPr>
        <sz val="11"/>
        <color theme="1"/>
        <rFont val="Arial Unicode MS"/>
        <family val="2"/>
      </rPr>
      <t>上料弹夹</t>
    </r>
  </si>
  <si>
    <r>
      <rPr>
        <sz val="11"/>
        <rFont val="等线"/>
        <family val="3"/>
        <charset val="134"/>
      </rPr>
      <t>磁钢整形</t>
    </r>
  </si>
  <si>
    <r>
      <rPr>
        <sz val="11"/>
        <color theme="1"/>
        <rFont val="等线"/>
        <family val="3"/>
        <charset val="134"/>
      </rPr>
      <t>整形机</t>
    </r>
  </si>
  <si>
    <r>
      <rPr>
        <sz val="11"/>
        <color theme="1"/>
        <rFont val="等线"/>
        <family val="3"/>
        <charset val="134"/>
      </rPr>
      <t>磁钢极性检</t>
    </r>
  </si>
  <si>
    <r>
      <rPr>
        <sz val="11"/>
        <color theme="1"/>
        <rFont val="等线"/>
        <family val="3"/>
        <charset val="134"/>
      </rPr>
      <t>自动极性检测设备</t>
    </r>
  </si>
  <si>
    <r>
      <rPr>
        <sz val="11"/>
        <rFont val="等线"/>
        <family val="3"/>
        <charset val="134"/>
      </rPr>
      <t>磁钢点胶</t>
    </r>
  </si>
  <si>
    <r>
      <rPr>
        <sz val="11"/>
        <color theme="1"/>
        <rFont val="等线"/>
        <family val="3"/>
        <charset val="134"/>
      </rPr>
      <t>点胶机</t>
    </r>
    <r>
      <rPr>
        <sz val="11"/>
        <color theme="1"/>
        <rFont val="Arial"/>
        <family val="2"/>
      </rPr>
      <t>(</t>
    </r>
    <r>
      <rPr>
        <sz val="11"/>
        <color theme="1"/>
        <rFont val="等线"/>
        <family val="3"/>
        <charset val="134"/>
      </rPr>
      <t>双液</t>
    </r>
    <r>
      <rPr>
        <sz val="11"/>
        <color theme="1"/>
        <rFont val="Arial"/>
        <family val="2"/>
      </rPr>
      <t>)</t>
    </r>
  </si>
  <si>
    <r>
      <rPr>
        <sz val="11"/>
        <rFont val="Arial"/>
        <family val="2"/>
      </rPr>
      <t>CCD</t>
    </r>
    <r>
      <rPr>
        <sz val="11"/>
        <rFont val="等线"/>
        <family val="3"/>
        <charset val="134"/>
      </rPr>
      <t>检胶路</t>
    </r>
  </si>
  <si>
    <t>CCD</t>
  </si>
  <si>
    <r>
      <rPr>
        <sz val="11"/>
        <rFont val="等线"/>
        <family val="3"/>
        <charset val="134"/>
      </rPr>
      <t>一道热压</t>
    </r>
  </si>
  <si>
    <r>
      <rPr>
        <sz val="11"/>
        <color theme="1"/>
        <rFont val="Arial Unicode MS"/>
        <family val="2"/>
      </rPr>
      <t>一道热压仓</t>
    </r>
  </si>
  <si>
    <r>
      <rPr>
        <sz val="11"/>
        <color theme="1"/>
        <rFont val="等线"/>
        <family val="3"/>
        <charset val="134"/>
      </rPr>
      <t>产品贴钢片面激光除胶</t>
    </r>
  </si>
  <si>
    <r>
      <rPr>
        <sz val="11"/>
        <color theme="1"/>
        <rFont val="Arial Unicode MS"/>
        <family val="2"/>
      </rPr>
      <t>产品激光除胶机</t>
    </r>
  </si>
  <si>
    <r>
      <rPr>
        <sz val="11"/>
        <color theme="1"/>
        <rFont val="等线"/>
        <family val="3"/>
        <charset val="134"/>
      </rPr>
      <t>产品下料</t>
    </r>
  </si>
  <si>
    <r>
      <rPr>
        <sz val="11"/>
        <color theme="1"/>
        <rFont val="Arial Unicode MS"/>
        <family val="2"/>
      </rPr>
      <t>一道下料盘</t>
    </r>
  </si>
  <si>
    <r>
      <rPr>
        <sz val="11"/>
        <color theme="1"/>
        <rFont val="等线"/>
        <family val="3"/>
        <charset val="134"/>
      </rPr>
      <t>治具激光除胶</t>
    </r>
  </si>
  <si>
    <r>
      <rPr>
        <sz val="11"/>
        <color theme="1"/>
        <rFont val="Arial Unicode MS"/>
        <family val="2"/>
      </rPr>
      <t>治具激光除胶机</t>
    </r>
  </si>
  <si>
    <r>
      <rPr>
        <sz val="11"/>
        <color theme="1"/>
        <rFont val="Arial Unicode MS"/>
        <family val="2"/>
      </rPr>
      <t>半成品除胶</t>
    </r>
  </si>
  <si>
    <r>
      <rPr>
        <sz val="11"/>
        <rFont val="Arial Unicode MS"/>
        <family val="2"/>
      </rPr>
      <t>半成品贴钢片面擦拭</t>
    </r>
  </si>
  <si>
    <r>
      <rPr>
        <sz val="11"/>
        <rFont val="Arial Unicode MS"/>
        <family val="2"/>
      </rPr>
      <t>铜片、无尘布</t>
    </r>
  </si>
  <si>
    <r>
      <rPr>
        <sz val="11"/>
        <rFont val="Arial Unicode MS"/>
        <family val="2"/>
      </rPr>
      <t>各</t>
    </r>
    <r>
      <rPr>
        <sz val="11"/>
        <rFont val="Arial"/>
        <family val="2"/>
      </rPr>
      <t>1</t>
    </r>
  </si>
  <si>
    <r>
      <rPr>
        <sz val="11"/>
        <color theme="1"/>
        <rFont val="Arial Unicode MS"/>
        <family val="2"/>
      </rPr>
      <t>二道钢片组装</t>
    </r>
  </si>
  <si>
    <r>
      <rPr>
        <sz val="11"/>
        <rFont val="Arial Unicode MS"/>
        <family val="2"/>
      </rPr>
      <t>半成品上料</t>
    </r>
  </si>
  <si>
    <r>
      <rPr>
        <sz val="11"/>
        <color theme="1"/>
        <rFont val="Arial Unicode MS"/>
        <family val="2"/>
      </rPr>
      <t>一道半成品</t>
    </r>
  </si>
  <si>
    <r>
      <rPr>
        <sz val="11"/>
        <color theme="1"/>
        <rFont val="Arial Unicode MS"/>
        <family val="2"/>
      </rPr>
      <t>二道组装治具（一出</t>
    </r>
    <r>
      <rPr>
        <sz val="11"/>
        <color theme="1"/>
        <rFont val="Arial"/>
        <family val="2"/>
      </rPr>
      <t>6</t>
    </r>
    <r>
      <rPr>
        <sz val="11"/>
        <color theme="1"/>
        <rFont val="Arial Unicode MS"/>
        <family val="2"/>
      </rPr>
      <t>）</t>
    </r>
  </si>
  <si>
    <r>
      <rPr>
        <sz val="11"/>
        <rFont val="等线"/>
        <family val="3"/>
        <charset val="134"/>
      </rPr>
      <t>二道热压</t>
    </r>
  </si>
  <si>
    <r>
      <rPr>
        <sz val="11"/>
        <color theme="1"/>
        <rFont val="Arial Unicode MS"/>
        <family val="2"/>
      </rPr>
      <t>二道热压仓</t>
    </r>
  </si>
  <si>
    <r>
      <rPr>
        <sz val="11"/>
        <rFont val="Arial Unicode MS"/>
        <family val="2"/>
      </rPr>
      <t>成品下料</t>
    </r>
  </si>
  <si>
    <r>
      <rPr>
        <sz val="11"/>
        <color theme="1"/>
        <rFont val="Arial Unicode MS"/>
        <family val="2"/>
      </rPr>
      <t>取料治具</t>
    </r>
  </si>
  <si>
    <r>
      <rPr>
        <sz val="11"/>
        <rFont val="Arial Unicode MS"/>
        <family val="2"/>
      </rPr>
      <t>成品除胶</t>
    </r>
  </si>
  <si>
    <t>成品激光除胶</t>
  </si>
  <si>
    <r>
      <rPr>
        <sz val="11"/>
        <rFont val="Arial Unicode MS"/>
        <family val="2"/>
      </rPr>
      <t>检测</t>
    </r>
    <r>
      <rPr>
        <sz val="11"/>
        <rFont val="Arial"/>
        <family val="2"/>
      </rPr>
      <t>+</t>
    </r>
    <r>
      <rPr>
        <sz val="11"/>
        <rFont val="Arial Unicode MS"/>
        <family val="2"/>
      </rPr>
      <t>包装</t>
    </r>
  </si>
  <si>
    <t>压力检测</t>
  </si>
  <si>
    <r>
      <rPr>
        <sz val="11"/>
        <rFont val="Arial Unicode MS"/>
        <family val="2"/>
      </rPr>
      <t>手动清胶</t>
    </r>
  </si>
  <si>
    <r>
      <rPr>
        <sz val="11"/>
        <color theme="1"/>
        <rFont val="Arial Unicode MS"/>
        <family val="2"/>
      </rPr>
      <t>胶棒、铜片</t>
    </r>
  </si>
  <si>
    <r>
      <rPr>
        <sz val="11"/>
        <rFont val="Arial Unicode MS"/>
        <family val="2"/>
      </rPr>
      <t>通止规检测</t>
    </r>
  </si>
  <si>
    <t>轮廓规、高度规、长宽规</t>
  </si>
  <si>
    <t>各1</t>
  </si>
  <si>
    <r>
      <rPr>
        <sz val="11"/>
        <rFont val="Arial"/>
        <family val="2"/>
      </rPr>
      <t>CCD</t>
    </r>
    <r>
      <rPr>
        <sz val="11"/>
        <rFont val="宋体"/>
        <family val="3"/>
        <charset val="134"/>
      </rPr>
      <t>检测</t>
    </r>
  </si>
  <si>
    <r>
      <rPr>
        <sz val="11"/>
        <rFont val="Arial Unicode MS"/>
        <family val="2"/>
      </rPr>
      <t>外观检测</t>
    </r>
    <r>
      <rPr>
        <sz val="11"/>
        <rFont val="Arial"/>
        <family val="2"/>
      </rPr>
      <t>+</t>
    </r>
    <r>
      <rPr>
        <sz val="11"/>
        <rFont val="Arial Unicode MS"/>
        <family val="2"/>
      </rPr>
      <t>包装</t>
    </r>
  </si>
  <si>
    <t>预估单件C/T(S)</t>
  </si>
  <si>
    <t>单线总人力</t>
  </si>
  <si>
    <t>磁钢充磁</t>
  </si>
  <si>
    <t xml:space="preserve"> 单线标准配置</t>
  </si>
  <si>
    <t>充磁</t>
  </si>
  <si>
    <t>3060充磁机+卧式充磁线圈</t>
  </si>
  <si>
    <t>1</t>
  </si>
  <si>
    <t>磁钢镭雕</t>
  </si>
  <si>
    <t>镭雕</t>
  </si>
  <si>
    <t>镭雕板</t>
  </si>
  <si>
    <t>半自动镭雕机</t>
  </si>
  <si>
    <t>包装</t>
  </si>
  <si>
    <t>成品检外观</t>
  </si>
  <si>
    <t>成品检极性</t>
  </si>
  <si>
    <t>线体总人力</t>
  </si>
  <si>
    <t>3060充磁机+立式充磁线圈</t>
  </si>
  <si>
    <t>手动镭雕机</t>
  </si>
  <si>
    <t>镭雕字母M1-M4</t>
  </si>
  <si>
    <t>镭雕机</t>
  </si>
  <si>
    <t>清洗</t>
  </si>
  <si>
    <t>BH47研发BOM （06260-55475手工线）</t>
  </si>
  <si>
    <t>0.2</t>
  </si>
  <si>
    <t>钢片上料</t>
    <phoneticPr fontId="19" type="noConversion"/>
  </si>
  <si>
    <r>
      <t xml:space="preserve">06291-55645 </t>
    </r>
    <r>
      <rPr>
        <sz val="10.5"/>
        <color theme="1"/>
        <rFont val="宋体"/>
        <family val="3"/>
        <charset val="134"/>
      </rPr>
      <t>卷料图</t>
    </r>
    <phoneticPr fontId="19" type="noConversion"/>
  </si>
  <si>
    <r>
      <t>06283-55638</t>
    </r>
    <r>
      <rPr>
        <sz val="10.5"/>
        <color theme="1"/>
        <rFont val="宋体"/>
        <family val="3"/>
        <charset val="134"/>
      </rPr>
      <t>或</t>
    </r>
    <r>
      <rPr>
        <sz val="10.5"/>
        <color theme="1"/>
        <rFont val="Arial Unicode MS"/>
        <family val="2"/>
        <charset val="134"/>
      </rPr>
      <t>06291-55645</t>
    </r>
    <phoneticPr fontId="19" type="noConversion"/>
  </si>
  <si>
    <t>卷料上料机</t>
    <phoneticPr fontId="19" type="noConversion"/>
  </si>
  <si>
    <t>压力笔</t>
    <phoneticPr fontId="19" type="noConversion"/>
  </si>
  <si>
    <t>各4</t>
    <phoneticPr fontId="19" type="noConversion"/>
  </si>
  <si>
    <t>表磁检验</t>
    <phoneticPr fontId="19" type="noConversion"/>
  </si>
  <si>
    <t>镭雕视觉检验</t>
    <phoneticPr fontId="19" type="noConversion"/>
  </si>
  <si>
    <t>振动盘上料</t>
    <phoneticPr fontId="19" type="noConversion"/>
  </si>
  <si>
    <t>磁钢充磁</t>
    <phoneticPr fontId="19" type="noConversion"/>
  </si>
  <si>
    <t>充磁</t>
    <phoneticPr fontId="19" type="noConversion"/>
  </si>
  <si>
    <t>3090充磁机+立式充磁线圈</t>
    <phoneticPr fontId="19" type="noConversion"/>
  </si>
  <si>
    <t>表磁检验</t>
    <phoneticPr fontId="19" type="noConversion"/>
  </si>
  <si>
    <t>镭雕视觉检验</t>
    <phoneticPr fontId="19" type="noConversion"/>
  </si>
  <si>
    <t>AOI检验</t>
    <phoneticPr fontId="19" type="noConversion"/>
  </si>
  <si>
    <t>来料清洗</t>
    <phoneticPr fontId="19" type="noConversion"/>
  </si>
  <si>
    <t>AOI</t>
    <phoneticPr fontId="19" type="noConversion"/>
  </si>
  <si>
    <t>清洗</t>
    <phoneticPr fontId="19" type="noConversion"/>
  </si>
  <si>
    <t>AOI检验机</t>
    <phoneticPr fontId="19" type="noConversion"/>
  </si>
  <si>
    <t>AOI检验机</t>
    <phoneticPr fontId="19" type="noConversion"/>
  </si>
  <si>
    <t>清洗机</t>
    <phoneticPr fontId="19" type="noConversion"/>
  </si>
  <si>
    <t>清洗机</t>
    <phoneticPr fontId="19" type="noConversion"/>
  </si>
  <si>
    <t>阵列上料</t>
    <phoneticPr fontId="19" type="noConversion"/>
  </si>
  <si>
    <t>阵列上料</t>
    <phoneticPr fontId="19" type="noConversion"/>
  </si>
  <si>
    <t>振动盘</t>
    <phoneticPr fontId="19" type="noConversion"/>
  </si>
  <si>
    <t>霍尔传感器</t>
    <phoneticPr fontId="19" type="noConversion"/>
  </si>
  <si>
    <t>霍尔传感器</t>
    <phoneticPr fontId="19" type="noConversion"/>
  </si>
  <si>
    <t>视觉检测机</t>
    <phoneticPr fontId="19" type="noConversion"/>
  </si>
  <si>
    <t>视觉检测机</t>
    <phoneticPr fontId="19" type="noConversion"/>
  </si>
  <si>
    <t>检镭雕</t>
    <phoneticPr fontId="19" type="noConversion"/>
  </si>
  <si>
    <t>检表磁</t>
    <phoneticPr fontId="19" type="noConversion"/>
  </si>
  <si>
    <t>检表磁</t>
    <phoneticPr fontId="19" type="noConversion"/>
  </si>
  <si>
    <t>自动线治具</t>
    <phoneticPr fontId="19" type="noConversion"/>
  </si>
  <si>
    <t>自动线治具</t>
    <phoneticPr fontId="19" type="noConversion"/>
  </si>
  <si>
    <t>各20</t>
    <phoneticPr fontId="19" type="noConversion"/>
  </si>
  <si>
    <t>各20</t>
    <phoneticPr fontId="19" type="noConversion"/>
  </si>
  <si>
    <t>/</t>
    <phoneticPr fontId="19" type="noConversion"/>
  </si>
  <si>
    <t>/</t>
    <phoneticPr fontId="19" type="noConversion"/>
  </si>
  <si>
    <t>/</t>
    <phoneticPr fontId="19" type="noConversion"/>
  </si>
  <si>
    <t>/</t>
    <phoneticPr fontId="19" type="noConversion"/>
  </si>
  <si>
    <t>单线标准配置</t>
    <phoneticPr fontId="19" type="noConversion"/>
  </si>
  <si>
    <t>单磁钢充磁</t>
  </si>
  <si>
    <t>06279-05811或06285-05815</t>
    <phoneticPr fontId="19" type="noConversion"/>
  </si>
  <si>
    <t>充磁治具</t>
  </si>
  <si>
    <t>06280-05812或06286-05816</t>
    <phoneticPr fontId="19" type="noConversion"/>
  </si>
  <si>
    <t>06281-05813或06287-05817</t>
    <phoneticPr fontId="19" type="noConversion"/>
  </si>
  <si>
    <t>06282-05814或06288-05818</t>
    <phoneticPr fontId="19" type="noConversion"/>
  </si>
  <si>
    <t>一道磁钢组装</t>
  </si>
  <si>
    <t>4x磁钢上料</t>
  </si>
  <si>
    <t>06279-05811或06285-05815
06280-05812或06286-05816
06281-05813或06287-05817
06282-05814或06288-05818</t>
    <phoneticPr fontId="19" type="noConversion"/>
  </si>
  <si>
    <t>磁钢上料定位板</t>
  </si>
  <si>
    <t>磁钢点胶</t>
  </si>
  <si>
    <t>斜点胶底座</t>
  </si>
  <si>
    <t>点胶机(双液)</t>
  </si>
  <si>
    <t>磁钢推合、整型、热压</t>
  </si>
  <si>
    <t>热压机</t>
  </si>
  <si>
    <t>半成品磁钢下料</t>
  </si>
  <si>
    <t>半成品推出治具</t>
    <phoneticPr fontId="19" type="noConversion"/>
  </si>
  <si>
    <t>水冷桌台+冷水机</t>
  </si>
  <si>
    <t>半成品除胶</t>
  </si>
  <si>
    <t>半成品清胶</t>
  </si>
  <si>
    <t>通用清胶杆</t>
  </si>
  <si>
    <t>清胶机(手动上下料)</t>
  </si>
  <si>
    <t>二道钢片组装</t>
    <phoneticPr fontId="19" type="noConversion"/>
  </si>
  <si>
    <t>钢片上料、点胶</t>
    <phoneticPr fontId="19" type="noConversion"/>
  </si>
  <si>
    <t>钢片点胶固定底座</t>
  </si>
  <si>
    <t>点胶机</t>
  </si>
  <si>
    <t>半成品上料</t>
    <phoneticPr fontId="19" type="noConversion"/>
  </si>
  <si>
    <t>一道半成品</t>
    <phoneticPr fontId="19" type="noConversion"/>
  </si>
  <si>
    <t>热压</t>
    <phoneticPr fontId="19" type="noConversion"/>
  </si>
  <si>
    <t>热压机</t>
    <phoneticPr fontId="19" type="noConversion"/>
  </si>
  <si>
    <t>成品下料</t>
    <phoneticPr fontId="19" type="noConversion"/>
  </si>
  <si>
    <t>取料治具</t>
    <phoneticPr fontId="19" type="noConversion"/>
  </si>
  <si>
    <t>成品除胶</t>
  </si>
  <si>
    <t>成品清胶</t>
  </si>
  <si>
    <t>清胶杆</t>
  </si>
  <si>
    <t>擦胶</t>
  </si>
  <si>
    <t>手动清胶</t>
  </si>
  <si>
    <t>胶棒、铜片</t>
  </si>
  <si>
    <t>各3</t>
  </si>
  <si>
    <t>检测+包装</t>
  </si>
  <si>
    <t>通止规检测</t>
  </si>
  <si>
    <t>测压力头</t>
  </si>
  <si>
    <t>弱磁检测</t>
  </si>
  <si>
    <t>磁极片</t>
  </si>
  <si>
    <t>外观检测+包装</t>
  </si>
  <si>
    <r>
      <t>BH47</t>
    </r>
    <r>
      <rPr>
        <b/>
        <sz val="10.5"/>
        <color theme="1"/>
        <rFont val="宋体"/>
        <family val="3"/>
        <charset val="134"/>
      </rPr>
      <t>手动线研发</t>
    </r>
    <r>
      <rPr>
        <b/>
        <sz val="10.5"/>
        <color theme="1"/>
        <rFont val="Arial Unicode MS"/>
        <family val="2"/>
        <charset val="134"/>
      </rPr>
      <t>BOM (06289-35102&amp;06290-35106)</t>
    </r>
    <phoneticPr fontId="19" type="noConversion"/>
  </si>
  <si>
    <t>自动充磁机</t>
    <phoneticPr fontId="19" type="noConversion"/>
  </si>
  <si>
    <t>自动充磁机</t>
    <phoneticPr fontId="19" type="noConversion"/>
  </si>
  <si>
    <t>自动极性检测</t>
    <phoneticPr fontId="19" type="noConversion"/>
  </si>
  <si>
    <t>极性检测</t>
    <phoneticPr fontId="19" type="noConversion"/>
  </si>
  <si>
    <t>自动极性检测机</t>
    <phoneticPr fontId="19" type="noConversion"/>
  </si>
  <si>
    <r>
      <rPr>
        <sz val="11"/>
        <color theme="1"/>
        <rFont val="宋体"/>
        <family val="3"/>
        <charset val="134"/>
      </rPr>
      <t>自动除胶机</t>
    </r>
    <r>
      <rPr>
        <sz val="11"/>
        <color theme="1"/>
        <rFont val="Arial"/>
        <family val="2"/>
      </rPr>
      <t/>
    </r>
    <phoneticPr fontId="19" type="noConversion"/>
  </si>
  <si>
    <r>
      <rPr>
        <sz val="10.5"/>
        <color theme="1"/>
        <rFont val="宋体"/>
        <family val="3"/>
        <charset val="134"/>
      </rPr>
      <t>一道组装治具（一出</t>
    </r>
    <r>
      <rPr>
        <sz val="10.5"/>
        <color theme="1"/>
        <rFont val="Arial Unicode MS"/>
        <family val="2"/>
        <charset val="134"/>
      </rPr>
      <t>6</t>
    </r>
    <r>
      <rPr>
        <sz val="10.5"/>
        <color theme="1"/>
        <rFont val="宋体"/>
        <family val="3"/>
        <charset val="134"/>
      </rPr>
      <t>）</t>
    </r>
    <phoneticPr fontId="19" type="noConversion"/>
  </si>
  <si>
    <r>
      <rPr>
        <sz val="10.5"/>
        <color theme="1"/>
        <rFont val="宋体"/>
        <family val="3"/>
        <charset val="134"/>
      </rPr>
      <t>一道组装治具（一出</t>
    </r>
    <r>
      <rPr>
        <sz val="10.5"/>
        <color theme="1"/>
        <rFont val="Arial Unicode MS"/>
        <family val="2"/>
        <charset val="134"/>
      </rPr>
      <t>6</t>
    </r>
    <r>
      <rPr>
        <sz val="10.5"/>
        <color theme="1"/>
        <rFont val="宋体"/>
        <family val="3"/>
        <charset val="134"/>
      </rPr>
      <t>）</t>
    </r>
    <phoneticPr fontId="19" type="noConversion"/>
  </si>
  <si>
    <r>
      <rPr>
        <sz val="10.5"/>
        <color theme="1"/>
        <rFont val="宋体"/>
        <family val="3"/>
        <charset val="134"/>
      </rPr>
      <t>二道组装治具（一出</t>
    </r>
    <r>
      <rPr>
        <sz val="10.5"/>
        <color theme="1"/>
        <rFont val="Arial Unicode MS"/>
        <family val="2"/>
        <charset val="134"/>
      </rPr>
      <t>6</t>
    </r>
    <r>
      <rPr>
        <sz val="10.5"/>
        <color theme="1"/>
        <rFont val="宋体"/>
        <family val="3"/>
        <charset val="134"/>
      </rPr>
      <t>）</t>
    </r>
    <phoneticPr fontId="19" type="noConversion"/>
  </si>
  <si>
    <r>
      <t>06283-55638</t>
    </r>
    <r>
      <rPr>
        <sz val="10.5"/>
        <color theme="1"/>
        <rFont val="宋体"/>
        <family val="3"/>
        <charset val="134"/>
      </rPr>
      <t>或</t>
    </r>
    <r>
      <rPr>
        <sz val="10.5"/>
        <color theme="1"/>
        <rFont val="Arial Unicode MS"/>
        <family val="2"/>
        <charset val="134"/>
      </rPr>
      <t>06291-55645</t>
    </r>
    <phoneticPr fontId="19" type="noConversion"/>
  </si>
  <si>
    <r>
      <rPr>
        <sz val="10.5"/>
        <color theme="1"/>
        <rFont val="宋体"/>
        <family val="3"/>
        <charset val="134"/>
      </rPr>
      <t>各</t>
    </r>
    <r>
      <rPr>
        <sz val="10.5"/>
        <color theme="1"/>
        <rFont val="Arial Unicode MS"/>
        <family val="2"/>
        <charset val="134"/>
      </rPr>
      <t>1</t>
    </r>
    <phoneticPr fontId="19" type="noConversion"/>
  </si>
  <si>
    <t>BH47</t>
    <phoneticPr fontId="19" type="noConversion"/>
  </si>
  <si>
    <t>充磁板</t>
    <phoneticPr fontId="19" type="noConversion"/>
  </si>
  <si>
    <t>3</t>
  </si>
  <si>
    <t>镭雕板</t>
    <phoneticPr fontId="19" type="noConversion"/>
  </si>
  <si>
    <t>/</t>
    <phoneticPr fontId="19" type="noConversion"/>
  </si>
  <si>
    <t>用量</t>
    <phoneticPr fontId="19" type="noConversion"/>
  </si>
  <si>
    <t>阵列机上料</t>
    <phoneticPr fontId="19" type="noConversion"/>
  </si>
  <si>
    <t>阵列上料</t>
    <phoneticPr fontId="19" type="noConversion"/>
  </si>
  <si>
    <t>各10</t>
    <phoneticPr fontId="19" type="noConversion"/>
  </si>
  <si>
    <t>阵列机</t>
    <phoneticPr fontId="19" type="noConversion"/>
  </si>
  <si>
    <t>磁钢镭雕</t>
    <phoneticPr fontId="19" type="noConversion"/>
  </si>
  <si>
    <t>镭雕字母M1-M4</t>
    <phoneticPr fontId="19" type="noConversion"/>
  </si>
  <si>
    <t>镭雕机</t>
    <phoneticPr fontId="19" type="noConversion"/>
  </si>
  <si>
    <t>AOI检验</t>
    <phoneticPr fontId="19" type="noConversion"/>
  </si>
  <si>
    <t>AOI</t>
    <phoneticPr fontId="19" type="noConversion"/>
  </si>
  <si>
    <t>AOI检验机</t>
    <phoneticPr fontId="19" type="noConversion"/>
  </si>
  <si>
    <t>来料清洗</t>
    <phoneticPr fontId="19" type="noConversion"/>
  </si>
  <si>
    <t>清洗</t>
    <phoneticPr fontId="19" type="noConversion"/>
  </si>
  <si>
    <t>清洗机</t>
    <phoneticPr fontId="19" type="noConversion"/>
  </si>
  <si>
    <t>磁钢充磁</t>
    <phoneticPr fontId="19" type="noConversion"/>
  </si>
  <si>
    <t>充磁</t>
    <phoneticPr fontId="19" type="noConversion"/>
  </si>
  <si>
    <t>充磁治具</t>
    <phoneticPr fontId="19" type="noConversion"/>
  </si>
  <si>
    <t>各6</t>
    <phoneticPr fontId="19" type="noConversion"/>
  </si>
  <si>
    <t>3060充磁机+立式充磁线圈</t>
    <phoneticPr fontId="19" type="noConversion"/>
  </si>
  <si>
    <t>成品检极性</t>
    <phoneticPr fontId="19" type="noConversion"/>
  </si>
  <si>
    <t>3</t>
    <phoneticPr fontId="19" type="noConversion"/>
  </si>
  <si>
    <t>AOI检验</t>
    <phoneticPr fontId="19" type="noConversion"/>
  </si>
  <si>
    <t>AOI检验</t>
    <phoneticPr fontId="19" type="noConversion"/>
  </si>
  <si>
    <t>AOI</t>
    <phoneticPr fontId="19" type="noConversion"/>
  </si>
  <si>
    <t>AOI</t>
    <phoneticPr fontId="19" type="noConversion"/>
  </si>
  <si>
    <t>来料清洗</t>
    <phoneticPr fontId="19" type="noConversion"/>
  </si>
  <si>
    <t>来料清洗</t>
    <phoneticPr fontId="19" type="noConversion"/>
  </si>
  <si>
    <t>清洗</t>
    <phoneticPr fontId="19" type="noConversion"/>
  </si>
  <si>
    <t>清洗</t>
    <phoneticPr fontId="19" type="noConversion"/>
  </si>
  <si>
    <t>/</t>
    <phoneticPr fontId="19" type="noConversion"/>
  </si>
  <si>
    <t>/</t>
    <phoneticPr fontId="19" type="noConversion"/>
  </si>
  <si>
    <t>/</t>
    <phoneticPr fontId="19" type="noConversion"/>
  </si>
  <si>
    <t>DVT</t>
    <phoneticPr fontId="19" type="noConversion"/>
  </si>
  <si>
    <t>DVT</t>
    <phoneticPr fontId="19" type="noConversion"/>
  </si>
  <si>
    <t>DVT</t>
    <phoneticPr fontId="19" type="noConversion"/>
  </si>
  <si>
    <t>DVT</t>
    <phoneticPr fontId="19" type="noConversion"/>
  </si>
  <si>
    <t>DVT</t>
    <phoneticPr fontId="19" type="noConversion"/>
  </si>
  <si>
    <t>磁钢充磁</t>
    <phoneticPr fontId="19" type="noConversion"/>
  </si>
  <si>
    <t>磁钢镭雕</t>
    <phoneticPr fontId="19" type="noConversion"/>
  </si>
  <si>
    <t>磁钢上料</t>
    <phoneticPr fontId="19" type="noConversion"/>
  </si>
  <si>
    <t>自动装镭雕板</t>
    <phoneticPr fontId="19" type="noConversion"/>
  </si>
  <si>
    <t>装盘</t>
    <phoneticPr fontId="19" type="noConversion"/>
  </si>
  <si>
    <t>磁钢自动装盘</t>
    <phoneticPr fontId="19" type="noConversion"/>
  </si>
  <si>
    <t>外观检验</t>
    <phoneticPr fontId="19" type="noConversion"/>
  </si>
  <si>
    <t>检外观</t>
    <phoneticPr fontId="19" type="noConversion"/>
  </si>
  <si>
    <t>极性检验</t>
    <phoneticPr fontId="19" type="noConversion"/>
  </si>
  <si>
    <t>检极性机</t>
    <phoneticPr fontId="19" type="noConversion"/>
  </si>
  <si>
    <t>包装</t>
    <phoneticPr fontId="19" type="noConversion"/>
  </si>
  <si>
    <t>包装</t>
    <phoneticPr fontId="19" type="noConversion"/>
  </si>
  <si>
    <t>翻转机</t>
    <phoneticPr fontId="19" type="noConversion"/>
  </si>
  <si>
    <t>自动检极性</t>
    <phoneticPr fontId="19" type="noConversion"/>
  </si>
  <si>
    <t>/</t>
    <phoneticPr fontId="19" type="noConversion"/>
  </si>
  <si>
    <t>/</t>
    <phoneticPr fontId="19" type="noConversion"/>
  </si>
  <si>
    <t>镭雕板</t>
    <phoneticPr fontId="19" type="noConversion"/>
  </si>
  <si>
    <t>上料机</t>
    <phoneticPr fontId="19" type="noConversion"/>
  </si>
  <si>
    <t>Project</t>
  </si>
  <si>
    <t>Stage</t>
  </si>
  <si>
    <t>APN</t>
  </si>
  <si>
    <t>Description</t>
  </si>
  <si>
    <t>Size</t>
  </si>
  <si>
    <t>Grade</t>
  </si>
  <si>
    <t>3D</t>
  </si>
  <si>
    <t>DFM Approved</t>
  </si>
  <si>
    <t>DFM Qty</t>
  </si>
  <si>
    <t>Concern &amp; Proposal</t>
  </si>
  <si>
    <t>B747</t>
  </si>
  <si>
    <t>Ramp</t>
    <phoneticPr fontId="19" type="noConversion"/>
  </si>
  <si>
    <t>6.93*5.28*6.62</t>
    <phoneticPr fontId="19" type="noConversion"/>
  </si>
  <si>
    <t>N54M</t>
    <phoneticPr fontId="19" type="noConversion"/>
  </si>
  <si>
    <t>Waiting for review</t>
    <phoneticPr fontId="19" type="noConversion"/>
  </si>
  <si>
    <t>1x Mag DFM</t>
    <phoneticPr fontId="19" type="noConversion"/>
  </si>
  <si>
    <t>N/A</t>
    <phoneticPr fontId="19" type="noConversion"/>
  </si>
  <si>
    <t>160-05689-91</t>
    <phoneticPr fontId="19" type="noConversion"/>
  </si>
  <si>
    <t>Magnet, RADIAL, M1 MAGNETIZED, TE, B747</t>
    <phoneticPr fontId="19" type="noConversion"/>
  </si>
  <si>
    <t>8.807*3.725*2.622</t>
    <phoneticPr fontId="19" type="noConversion"/>
  </si>
  <si>
    <t>N48SH</t>
    <phoneticPr fontId="19" type="noConversion"/>
  </si>
  <si>
    <t>Waiting for review</t>
  </si>
  <si>
    <t>160-05690-90</t>
    <phoneticPr fontId="19" type="noConversion"/>
  </si>
  <si>
    <t>Magnet, RADIAL, M12,MAGNETIZED, TE, B747</t>
    <phoneticPr fontId="19" type="noConversion"/>
  </si>
  <si>
    <t>N/A</t>
  </si>
  <si>
    <t>160-05691-91</t>
    <phoneticPr fontId="19" type="noConversion"/>
  </si>
  <si>
    <t>Magnet, RADIAL, M4 MAGNETIZED, BE, B747</t>
    <phoneticPr fontId="19" type="noConversion"/>
  </si>
  <si>
    <t>11.121*7.571*2.815</t>
    <phoneticPr fontId="19" type="noConversion"/>
  </si>
  <si>
    <t>160-05692-90</t>
    <phoneticPr fontId="19" type="noConversion"/>
  </si>
  <si>
    <t>Magnet, RADIAL, M3 MAGNETIZED, BE, B747</t>
    <phoneticPr fontId="19" type="noConversion"/>
  </si>
  <si>
    <t>160-06025-91</t>
    <phoneticPr fontId="19" type="noConversion"/>
  </si>
  <si>
    <t>Magnet, RAD, M1 MAG-ED, TE,HRE-FREE B747</t>
    <phoneticPr fontId="19" type="noConversion"/>
  </si>
  <si>
    <t>160-06026-90</t>
    <phoneticPr fontId="19" type="noConversion"/>
  </si>
  <si>
    <t>160-06027-90</t>
    <phoneticPr fontId="19" type="noConversion"/>
  </si>
  <si>
    <t>160-06028-91</t>
    <phoneticPr fontId="19" type="noConversion"/>
  </si>
  <si>
    <t>6.19*9.83*4.3</t>
    <phoneticPr fontId="19" type="noConversion"/>
  </si>
  <si>
    <t>1x Ass DFM
4*Mag DFM</t>
    <phoneticPr fontId="19" type="noConversion"/>
  </si>
  <si>
    <t>SHUNT,LID RETENTION, EVT,B747</t>
    <phoneticPr fontId="19" type="noConversion"/>
  </si>
  <si>
    <t>6.50*4.13*4.88</t>
    <phoneticPr fontId="19" type="noConversion"/>
  </si>
  <si>
    <t>160-05533-03</t>
    <phoneticPr fontId="19" type="noConversion"/>
  </si>
  <si>
    <t>MAGNET,WP, B747</t>
    <phoneticPr fontId="19" type="noConversion"/>
  </si>
  <si>
    <t>Magnet, RAD, M2 MAG-ED, TE,HRE-FREE B747</t>
    <phoneticPr fontId="19" type="noConversion"/>
  </si>
  <si>
    <t>Magnet, RAD, M3 MAG-ED, BE,HRE-FREE B747</t>
    <phoneticPr fontId="19" type="noConversion"/>
  </si>
  <si>
    <t>Magnet, RAD, M4 MAG-ED, BE,HRE-FREE B747</t>
    <phoneticPr fontId="19" type="noConversion"/>
  </si>
  <si>
    <t>MAGNET,WP, HRE-FREE,B747</t>
    <phoneticPr fontId="19" type="noConversion"/>
  </si>
  <si>
    <t>160-05809-90</t>
    <phoneticPr fontId="19" type="noConversion"/>
  </si>
  <si>
    <t>Magnet, LID,RETENTION,B747</t>
    <phoneticPr fontId="19" type="noConversion"/>
  </si>
  <si>
    <t>SUB-ASSY,MAGNETS, BUD RET,R,B747</t>
    <phoneticPr fontId="19" type="noConversion"/>
  </si>
  <si>
    <t>613-35102-90</t>
    <phoneticPr fontId="19" type="noConversion"/>
  </si>
  <si>
    <t>613-35106-90</t>
    <phoneticPr fontId="19" type="noConversion"/>
  </si>
  <si>
    <t>806-55475-90</t>
    <phoneticPr fontId="19" type="noConversion"/>
  </si>
  <si>
    <t>160-06029-90</t>
    <phoneticPr fontId="19" type="noConversion"/>
  </si>
  <si>
    <t>5.60*4.20*1.47</t>
    <phoneticPr fontId="19" type="noConversion"/>
  </si>
  <si>
    <t>N52SH</t>
    <phoneticPr fontId="19" type="noConversion"/>
  </si>
  <si>
    <t>B747</t>
    <phoneticPr fontId="19" type="noConversion"/>
  </si>
  <si>
    <t>SPCD</t>
    <phoneticPr fontId="19" type="noConversion"/>
  </si>
  <si>
    <t>1x Shunt DFM</t>
    <phoneticPr fontId="19" type="noConversion"/>
  </si>
  <si>
    <t>N48H
HRE-FREE</t>
    <phoneticPr fontId="19" type="noConversion"/>
  </si>
  <si>
    <t>N52SH
HRE-FREE</t>
    <phoneticPr fontId="19" type="noConversion"/>
  </si>
  <si>
    <t>160-06029</t>
    <phoneticPr fontId="19" type="noConversion"/>
  </si>
  <si>
    <t>CUEn</t>
    <phoneticPr fontId="19" type="noConversion"/>
  </si>
  <si>
    <t>充磁镭雕</t>
    <phoneticPr fontId="19" type="noConversion"/>
  </si>
  <si>
    <t>160-06025</t>
    <phoneticPr fontId="19" type="noConversion"/>
  </si>
  <si>
    <t>160-06026</t>
    <phoneticPr fontId="19" type="noConversion"/>
  </si>
  <si>
    <t>9.11*3.53*1.42</t>
    <phoneticPr fontId="19" type="noConversion"/>
  </si>
  <si>
    <t>9.11*3.53*1.42</t>
    <phoneticPr fontId="19" type="noConversion"/>
  </si>
  <si>
    <t>160-06028</t>
    <phoneticPr fontId="19" type="noConversion"/>
  </si>
  <si>
    <t>160-06027</t>
    <phoneticPr fontId="19" type="noConversion"/>
  </si>
  <si>
    <t>M4充磁镭雕</t>
    <phoneticPr fontId="19" type="noConversion"/>
  </si>
  <si>
    <t>M3充磁镭雕</t>
    <phoneticPr fontId="19" type="noConversion"/>
  </si>
  <si>
    <t>M1充磁镭雕</t>
    <phoneticPr fontId="19" type="noConversion"/>
  </si>
  <si>
    <t>M2充磁镭雕</t>
    <phoneticPr fontId="19" type="noConversion"/>
  </si>
  <si>
    <t>13.39*3.73*2.35</t>
    <phoneticPr fontId="19" type="noConversion"/>
  </si>
  <si>
    <t>9.11*3.53*1.42</t>
    <phoneticPr fontId="19" type="noConversion"/>
  </si>
  <si>
    <t>N48H-100RC （HRE-FREE）</t>
    <phoneticPr fontId="19" type="noConversion"/>
  </si>
  <si>
    <t>N48H-100RC （HRE-FREE）</t>
    <phoneticPr fontId="19" type="noConversion"/>
  </si>
  <si>
    <t>N48SH
（HRE-FREE）</t>
  </si>
  <si>
    <t>N48SH
（HRE-FREE）</t>
    <phoneticPr fontId="19" type="noConversion"/>
  </si>
  <si>
    <t>F06915-06257</t>
    <phoneticPr fontId="19" type="noConversion"/>
  </si>
  <si>
    <t>F06083-05689</t>
    <phoneticPr fontId="19" type="noConversion"/>
  </si>
  <si>
    <t>F06085-05690</t>
    <phoneticPr fontId="19" type="noConversion"/>
  </si>
  <si>
    <t>F06087-05692</t>
    <phoneticPr fontId="19" type="noConversion"/>
  </si>
  <si>
    <t>F06086-05691</t>
    <phoneticPr fontId="19" type="noConversion"/>
  </si>
  <si>
    <t>F06859-06025</t>
    <phoneticPr fontId="19" type="noConversion"/>
  </si>
  <si>
    <t>F06900-06026</t>
    <phoneticPr fontId="19" type="noConversion"/>
  </si>
  <si>
    <t>F06901-06027</t>
    <phoneticPr fontId="19" type="noConversion"/>
  </si>
  <si>
    <t>F06860-06028</t>
    <phoneticPr fontId="19" type="noConversion"/>
  </si>
  <si>
    <t>F06916-06258</t>
    <phoneticPr fontId="19" type="noConversion"/>
  </si>
  <si>
    <t>F06917-06259</t>
    <phoneticPr fontId="19" type="noConversion"/>
  </si>
  <si>
    <t>F06918-06260</t>
    <phoneticPr fontId="19" type="noConversion"/>
  </si>
  <si>
    <t>06083-05689/06085-05690
06086-05691/06087-05692/F06083-05689/F06085-05690/F06087-05692/F06086-05691/F06859-06025/F06900-06026/F06901-06027/F06860-06028/F06915-06257/F06916-06258/F06917-06259/F06918-06260</t>
    <phoneticPr fontId="19" type="noConversion"/>
  </si>
  <si>
    <t>06083-05689/06085-05690
06086-05691/06087-05692/F06083-05689/F06085-05690/F06087-05692/F06086-05691/F06859-06025/F06900-06026/F06901-06027/F06860-06028/F06915-06257/F06916-06258/F06917-06259/F06918-06260</t>
    <phoneticPr fontId="19" type="noConversion"/>
  </si>
  <si>
    <t>BH47研发BOM （瓦磁系列）手工线</t>
    <phoneticPr fontId="19" type="noConversion"/>
  </si>
  <si>
    <t>BH47研发BOM （瓦磁系列自动线）</t>
    <phoneticPr fontId="19" type="noConversion"/>
  </si>
  <si>
    <t>BH47研发BOM （05805/F06902/F05805/T0-F05805/T1-F05805/T2-F05805手工线）</t>
    <phoneticPr fontId="19" type="noConversion"/>
  </si>
  <si>
    <t>BH47研发BOM （05805/F06902/F05805/T0-F05805/T1-F05805/T2-F05805半自动线）</t>
    <phoneticPr fontId="19" type="noConversion"/>
  </si>
  <si>
    <t>F06902-06029</t>
    <phoneticPr fontId="19" type="noConversion"/>
  </si>
  <si>
    <t>T0-F05805-05533</t>
    <phoneticPr fontId="19" type="noConversion"/>
  </si>
  <si>
    <t>T1-F05805-05533</t>
    <phoneticPr fontId="19" type="noConversion"/>
  </si>
  <si>
    <t>T2-F05805-05533</t>
    <phoneticPr fontId="19" type="noConversion"/>
  </si>
  <si>
    <t>05805-05533/F06902-06029/F05805-05533/T0-F05805-05533/T1-F05805-05533/T2-F05805-05533</t>
    <phoneticPr fontId="19" type="noConversion"/>
  </si>
  <si>
    <t>05805-05533/F06902-06029/F05805-05533/T0-F05805-05533/T1-F05805-05533/T2-F05805-05533</t>
    <phoneticPr fontId="19" type="noConversion"/>
  </si>
  <si>
    <t>06083-05689</t>
    <phoneticPr fontId="19" type="noConversion"/>
  </si>
  <si>
    <t>06085-05690</t>
    <phoneticPr fontId="19" type="noConversion"/>
  </si>
  <si>
    <t>06087-05692</t>
    <phoneticPr fontId="19" type="noConversion"/>
  </si>
  <si>
    <t>06086-05691</t>
    <phoneticPr fontId="19" type="noConversion"/>
  </si>
  <si>
    <t>与06083-05689结构相同</t>
    <phoneticPr fontId="19" type="noConversion"/>
  </si>
  <si>
    <t>与06085-05690结构相同</t>
    <phoneticPr fontId="19" type="noConversion"/>
  </si>
  <si>
    <t>与06087-05692结构相同</t>
    <phoneticPr fontId="19" type="noConversion"/>
  </si>
  <si>
    <t>与06086-05691结构相同</t>
    <phoneticPr fontId="19" type="noConversion"/>
  </si>
  <si>
    <t>F05805-05533</t>
    <phoneticPr fontId="19" type="noConversion"/>
  </si>
  <si>
    <t>与05805-05533结构相同</t>
    <phoneticPr fontId="19" type="noConversion"/>
  </si>
  <si>
    <r>
      <t xml:space="preserve">N48H-100RC </t>
    </r>
    <r>
      <rPr>
        <sz val="11"/>
        <rFont val="Arial Unicode MS"/>
        <family val="2"/>
      </rPr>
      <t>（</t>
    </r>
    <r>
      <rPr>
        <sz val="11"/>
        <rFont val="Arial"/>
        <family val="2"/>
      </rPr>
      <t>HRE-FREE</t>
    </r>
    <r>
      <rPr>
        <sz val="11"/>
        <rFont val="Arial Unicode MS"/>
        <family val="2"/>
      </rPr>
      <t>）</t>
    </r>
  </si>
  <si>
    <t>F06902-06029</t>
    <phoneticPr fontId="19" type="noConversion"/>
  </si>
  <si>
    <t>N52H-100RC （HRE-FREE）</t>
    <phoneticPr fontId="19" type="noConversion"/>
  </si>
  <si>
    <t>N52H-100RC （HRE-FREE）</t>
    <phoneticPr fontId="19" type="noConversion"/>
  </si>
  <si>
    <t>图号</t>
    <phoneticPr fontId="19" type="noConversion"/>
  </si>
  <si>
    <t>性能</t>
    <phoneticPr fontId="19" type="noConversion"/>
  </si>
  <si>
    <t>镀层</t>
    <phoneticPr fontId="19" type="noConversion"/>
  </si>
  <si>
    <t>备注</t>
    <phoneticPr fontId="19" type="noConversion"/>
  </si>
  <si>
    <t>磁钢通用</t>
    <phoneticPr fontId="19" type="noConversion"/>
  </si>
  <si>
    <t>M1</t>
    <phoneticPr fontId="19" type="noConversion"/>
  </si>
  <si>
    <t>M2</t>
    <phoneticPr fontId="19" type="noConversion"/>
  </si>
  <si>
    <t>M3</t>
    <phoneticPr fontId="19" type="noConversion"/>
  </si>
  <si>
    <t>M3</t>
    <phoneticPr fontId="19" type="noConversion"/>
  </si>
  <si>
    <t>M4</t>
    <phoneticPr fontId="19" type="noConversion"/>
  </si>
  <si>
    <t>M4</t>
    <phoneticPr fontId="19" type="noConversion"/>
  </si>
  <si>
    <t>磁钢通用</t>
    <phoneticPr fontId="19" type="noConversion"/>
  </si>
  <si>
    <t>磁钢通用</t>
    <phoneticPr fontId="19" type="noConversion"/>
  </si>
  <si>
    <t>N</t>
    <phoneticPr fontId="19" type="noConversion"/>
  </si>
  <si>
    <t>N</t>
    <phoneticPr fontId="19" type="noConversion"/>
  </si>
  <si>
    <t>NO.</t>
    <phoneticPr fontId="19" type="noConversion"/>
  </si>
  <si>
    <t>磁声镭雕字符</t>
    <phoneticPr fontId="19" type="noConversion"/>
  </si>
  <si>
    <t>CuEn</t>
    <phoneticPr fontId="19" type="noConversion"/>
  </si>
  <si>
    <t>CuEn</t>
    <phoneticPr fontId="19" type="noConversion"/>
  </si>
  <si>
    <t>CuEn</t>
    <phoneticPr fontId="19" type="noConversion"/>
  </si>
  <si>
    <t>CuEn</t>
    <phoneticPr fontId="19" type="noConversion"/>
  </si>
  <si>
    <t>M1</t>
    <phoneticPr fontId="19" type="noConversion"/>
  </si>
  <si>
    <t>M2</t>
    <phoneticPr fontId="19" type="noConversion"/>
  </si>
  <si>
    <t>M3</t>
    <phoneticPr fontId="19" type="noConversion"/>
  </si>
  <si>
    <t>M4</t>
    <phoneticPr fontId="19" type="noConversion"/>
  </si>
  <si>
    <t>M1</t>
    <phoneticPr fontId="19" type="noConversion"/>
  </si>
  <si>
    <t>M2</t>
    <phoneticPr fontId="19" type="noConversion"/>
  </si>
  <si>
    <t>M3</t>
    <phoneticPr fontId="19" type="noConversion"/>
  </si>
  <si>
    <t>M4</t>
    <phoneticPr fontId="19" type="noConversion"/>
  </si>
  <si>
    <t>规格</t>
    <phoneticPr fontId="19" type="noConversion"/>
  </si>
  <si>
    <t>4.2*5.6*1.47</t>
    <phoneticPr fontId="19" type="noConversion"/>
  </si>
  <si>
    <t>4.2*5.6*1.47</t>
    <phoneticPr fontId="19" type="noConversion"/>
  </si>
  <si>
    <t>R24.591XR21.50</t>
    <phoneticPr fontId="19" type="noConversion"/>
  </si>
  <si>
    <t>R24.535XR21.493</t>
    <phoneticPr fontId="19" type="noConversion"/>
  </si>
  <si>
    <t>R24.535XR21.493</t>
    <phoneticPr fontId="19" type="noConversion"/>
  </si>
  <si>
    <t>R24.591XR21.50</t>
    <phoneticPr fontId="19" type="noConversion"/>
  </si>
  <si>
    <t>R24.591XR21.50</t>
    <phoneticPr fontId="19" type="noConversion"/>
  </si>
  <si>
    <t>R24.591XR21.50</t>
    <phoneticPr fontId="19" type="noConversion"/>
  </si>
  <si>
    <t>R24.535XR21.493</t>
    <phoneticPr fontId="19" type="noConversion"/>
  </si>
  <si>
    <t>R24.535XR21.493</t>
    <phoneticPr fontId="19" type="noConversion"/>
  </si>
  <si>
    <t>05805-05533</t>
    <phoneticPr fontId="19" type="noConversion"/>
  </si>
  <si>
    <t>05805-05533</t>
    <phoneticPr fontId="19" type="noConversion"/>
  </si>
  <si>
    <t>4.2*5.6*1.47</t>
    <phoneticPr fontId="19" type="noConversion"/>
  </si>
  <si>
    <t>4.2*5.6*1.47</t>
    <phoneticPr fontId="19" type="noConversion"/>
  </si>
  <si>
    <t>N52SH-100RC</t>
    <phoneticPr fontId="19" type="noConversion"/>
  </si>
  <si>
    <t>N52SH-100RC</t>
    <phoneticPr fontId="19" type="noConversion"/>
  </si>
  <si>
    <t>CuEn</t>
    <phoneticPr fontId="19" type="noConversion"/>
  </si>
  <si>
    <t>N</t>
    <phoneticPr fontId="19" type="noConversion"/>
  </si>
  <si>
    <t>N</t>
    <phoneticPr fontId="19" type="noConversion"/>
  </si>
  <si>
    <t>BH47 瓦磁系列</t>
    <phoneticPr fontId="19" type="noConversion"/>
  </si>
  <si>
    <t>BH47 方形磁钢</t>
    <phoneticPr fontId="19" type="noConversion"/>
  </si>
  <si>
    <t>B735</t>
    <phoneticPr fontId="34" type="noConversion"/>
  </si>
  <si>
    <t>MP</t>
    <phoneticPr fontId="34" type="noConversion"/>
  </si>
  <si>
    <t>DFM_MP_MAGNET_LID RETENTION_HRE-FREE_B735</t>
    <phoneticPr fontId="34" type="noConversion"/>
  </si>
  <si>
    <t>160-06003-01</t>
    <phoneticPr fontId="34" type="noConversion"/>
  </si>
  <si>
    <t>160-06005-01</t>
    <phoneticPr fontId="34" type="noConversion"/>
  </si>
  <si>
    <t>MAGNET_RIGHT_FRONT_HRE-FREE_B735</t>
    <phoneticPr fontId="34" type="noConversion"/>
  </si>
  <si>
    <t>160-06006-01</t>
    <phoneticPr fontId="34" type="noConversion"/>
  </si>
  <si>
    <t>MAGNET_LEFT_FRONT_HRE-FRER_B735</t>
    <phoneticPr fontId="34" type="noConversion"/>
  </si>
  <si>
    <t>160-06269-01</t>
    <phoneticPr fontId="34" type="noConversion"/>
  </si>
  <si>
    <t>MAGNET_REAR_HRE-FREE_B735</t>
    <phoneticPr fontId="34" type="noConversion"/>
  </si>
  <si>
    <t>5.310X4.100X2.595</t>
    <phoneticPr fontId="34" type="noConversion"/>
  </si>
  <si>
    <t>N50H
HRE-FREE</t>
    <phoneticPr fontId="19" type="noConversion"/>
  </si>
  <si>
    <t>6.883X4.660X3.765</t>
    <phoneticPr fontId="34" type="noConversion"/>
  </si>
  <si>
    <t>7.170X6.152X3.031</t>
    <phoneticPr fontId="34" type="noConversion"/>
  </si>
  <si>
    <t>F07501-05811-B</t>
    <phoneticPr fontId="19" type="noConversion"/>
  </si>
  <si>
    <t>F07502-05812-B</t>
    <phoneticPr fontId="19" type="noConversion"/>
  </si>
  <si>
    <t>F07503-05813-B</t>
    <phoneticPr fontId="19" type="noConversion"/>
  </si>
  <si>
    <t>F07505-05814-B</t>
    <phoneticPr fontId="19" type="noConversion"/>
  </si>
  <si>
    <t>160-05811-B</t>
    <phoneticPr fontId="19" type="noConversion"/>
  </si>
  <si>
    <t>160-05812-B</t>
    <phoneticPr fontId="19" type="noConversion"/>
  </si>
  <si>
    <t>160-05813-B</t>
    <phoneticPr fontId="19" type="noConversion"/>
  </si>
  <si>
    <t>160-05814-B</t>
    <phoneticPr fontId="19" type="noConversion"/>
  </si>
  <si>
    <r>
      <t xml:space="preserve">N54M-100RC
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Arial Unicode MS"/>
        <family val="2"/>
      </rPr>
      <t>HRE-FREE</t>
    </r>
    <r>
      <rPr>
        <sz val="10.5"/>
        <color theme="1"/>
        <rFont val="宋体"/>
        <family val="3"/>
        <charset val="134"/>
      </rPr>
      <t>）</t>
    </r>
    <phoneticPr fontId="19" type="noConversion"/>
  </si>
  <si>
    <r>
      <t xml:space="preserve">N54M-100RC
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Arial Unicode MS"/>
        <family val="2"/>
      </rPr>
      <t>HRE-FREE</t>
    </r>
    <r>
      <rPr>
        <sz val="10.5"/>
        <color theme="1"/>
        <rFont val="宋体"/>
        <family val="3"/>
        <charset val="134"/>
      </rPr>
      <t>）</t>
    </r>
    <phoneticPr fontId="19" type="noConversion"/>
  </si>
  <si>
    <t>613-35102-02</t>
    <phoneticPr fontId="19" type="noConversion"/>
  </si>
  <si>
    <t>613-35102-B</t>
    <phoneticPr fontId="19" type="noConversion"/>
  </si>
  <si>
    <r>
      <t xml:space="preserve">N54M-100RC
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Arial Unicode MS"/>
        <family val="2"/>
      </rPr>
      <t>HRE-FREE</t>
    </r>
    <r>
      <rPr>
        <sz val="10.5"/>
        <color theme="1"/>
        <rFont val="宋体"/>
        <family val="3"/>
        <charset val="134"/>
      </rPr>
      <t>）</t>
    </r>
    <phoneticPr fontId="19" type="noConversion"/>
  </si>
  <si>
    <t>613-35106-B</t>
    <phoneticPr fontId="19" type="noConversion"/>
  </si>
  <si>
    <t>F07506-05815-B</t>
    <phoneticPr fontId="19" type="noConversion"/>
  </si>
  <si>
    <t>F07507-05816-B</t>
    <phoneticPr fontId="19" type="noConversion"/>
  </si>
  <si>
    <t>F07508-05817-B</t>
    <phoneticPr fontId="19" type="noConversion"/>
  </si>
  <si>
    <t>F07509-05818-B</t>
    <phoneticPr fontId="19" type="noConversion"/>
  </si>
  <si>
    <t>160-05815-B</t>
    <phoneticPr fontId="19" type="noConversion"/>
  </si>
  <si>
    <t>160-05816-B</t>
    <phoneticPr fontId="19" type="noConversion"/>
  </si>
  <si>
    <t>160-05817-B</t>
    <phoneticPr fontId="19" type="noConversion"/>
  </si>
  <si>
    <t>160-05818-B</t>
    <phoneticPr fontId="19" type="noConversion"/>
  </si>
  <si>
    <r>
      <t>B</t>
    </r>
    <r>
      <rPr>
        <sz val="11"/>
        <color theme="1"/>
        <rFont val="等线"/>
        <family val="3"/>
        <charset val="134"/>
        <scheme val="minor"/>
      </rPr>
      <t>H47 组件</t>
    </r>
    <phoneticPr fontId="19" type="noConversion"/>
  </si>
  <si>
    <t>F07499-35102-B</t>
    <phoneticPr fontId="19" type="noConversion"/>
  </si>
  <si>
    <t>F07499-35102-B</t>
    <phoneticPr fontId="19" type="noConversion"/>
  </si>
  <si>
    <t>9.83*6.19*4.1</t>
    <phoneticPr fontId="19" type="noConversion"/>
  </si>
  <si>
    <t>9.83*6.19*4.1</t>
    <phoneticPr fontId="19" type="noConversion"/>
  </si>
  <si>
    <t>/</t>
    <phoneticPr fontId="19" type="noConversion"/>
  </si>
  <si>
    <t>/</t>
    <phoneticPr fontId="19" type="noConversion"/>
  </si>
  <si>
    <t>/</t>
    <phoneticPr fontId="19" type="noConversion"/>
  </si>
  <si>
    <t>F07500-35106-B</t>
    <phoneticPr fontId="19" type="noConversion"/>
  </si>
  <si>
    <t>F07500-35106-B</t>
    <phoneticPr fontId="19" type="noConversion"/>
  </si>
  <si>
    <t>组件成品</t>
    <phoneticPr fontId="19" type="noConversion"/>
  </si>
  <si>
    <t>160-05089</t>
    <phoneticPr fontId="19" type="noConversion"/>
  </si>
  <si>
    <t>160-05089</t>
    <phoneticPr fontId="19" type="noConversion"/>
  </si>
  <si>
    <t>6.93*5.28*6.62</t>
    <phoneticPr fontId="19" type="noConversion"/>
  </si>
  <si>
    <t>10°</t>
    <phoneticPr fontId="19" type="noConversion"/>
  </si>
  <si>
    <t>10°</t>
    <phoneticPr fontId="19" type="noConversion"/>
  </si>
  <si>
    <t>N54M-100RC</t>
    <phoneticPr fontId="19" type="noConversion"/>
  </si>
  <si>
    <t>N54M-100RC
（HRE-FREE）</t>
    <phoneticPr fontId="19" type="noConversion"/>
  </si>
  <si>
    <t>NiCuNi</t>
    <phoneticPr fontId="19" type="noConversion"/>
  </si>
  <si>
    <t>充磁镭雕</t>
    <phoneticPr fontId="19" type="noConversion"/>
  </si>
  <si>
    <t>BH47研发BOM （06259-05809/ F06259-05809 手工线）</t>
    <phoneticPr fontId="19" type="noConversion"/>
  </si>
  <si>
    <t>BH47 人字形磁钢</t>
    <phoneticPr fontId="19" type="noConversion"/>
  </si>
  <si>
    <t>06259-05809</t>
    <phoneticPr fontId="19" type="noConversion"/>
  </si>
  <si>
    <t>06259-05809</t>
    <phoneticPr fontId="19" type="noConversion"/>
  </si>
  <si>
    <t>6.93*5.28*6.62</t>
    <phoneticPr fontId="19" type="noConversion"/>
  </si>
  <si>
    <t>N54M-100RC</t>
    <phoneticPr fontId="19" type="noConversion"/>
  </si>
  <si>
    <t>6.93*5.28*6.62</t>
    <phoneticPr fontId="19" type="noConversion"/>
  </si>
  <si>
    <t>6.93*5.28*6.62</t>
    <phoneticPr fontId="19" type="noConversion"/>
  </si>
  <si>
    <t>NiCuNi</t>
    <phoneticPr fontId="19" type="noConversion"/>
  </si>
  <si>
    <t>NiCuNi</t>
    <phoneticPr fontId="19" type="noConversion"/>
  </si>
  <si>
    <t>N54M-100RC 
（HRE-FREE）</t>
    <phoneticPr fontId="19" type="noConversion"/>
  </si>
  <si>
    <t>F07575-05809</t>
    <phoneticPr fontId="19" type="noConversion"/>
  </si>
  <si>
    <t>BH47研发BOM （06259-05809/ F07575-05809自动线）</t>
    <phoneticPr fontId="19" type="noConversion"/>
  </si>
  <si>
    <t>06259-05089 /F07575-05809</t>
    <phoneticPr fontId="19" type="noConversion"/>
  </si>
  <si>
    <t>F07575-05809</t>
    <phoneticPr fontId="19" type="noConversion"/>
  </si>
  <si>
    <t>/</t>
    <phoneticPr fontId="19" type="noConversion"/>
  </si>
  <si>
    <t>8.87*6.29*3.29</t>
    <phoneticPr fontId="19" type="noConversion"/>
  </si>
  <si>
    <t>NEOM-12E</t>
    <phoneticPr fontId="19" type="noConversion"/>
  </si>
  <si>
    <t>黑色环氧</t>
    <phoneticPr fontId="19" type="noConversion"/>
  </si>
  <si>
    <t>充磁</t>
    <phoneticPr fontId="19" type="noConversion"/>
  </si>
  <si>
    <t>11.13*7.19*3.21</t>
    <phoneticPr fontId="19" type="noConversion"/>
  </si>
  <si>
    <t>07659/07660/07661/07662</t>
    <phoneticPr fontId="19" type="noConversion"/>
  </si>
  <si>
    <t>DOE</t>
  </si>
  <si>
    <t>DOE</t>
    <phoneticPr fontId="19" type="noConversion"/>
  </si>
  <si>
    <t>DOE</t>
    <phoneticPr fontId="19" type="noConversion"/>
  </si>
  <si>
    <t>各2</t>
    <phoneticPr fontId="19" type="noConversion"/>
  </si>
  <si>
    <t>3060充磁机+充磁线圈</t>
    <phoneticPr fontId="19" type="noConversion"/>
  </si>
  <si>
    <t>07660-06546-01(小磁钢右)</t>
    <phoneticPr fontId="19" type="noConversion"/>
  </si>
  <si>
    <t>07659-06546-01(小磁钢左)</t>
    <phoneticPr fontId="19" type="noConversion"/>
  </si>
  <si>
    <t>07661-06546-01(大磁钢左)</t>
    <phoneticPr fontId="19" type="noConversion"/>
  </si>
  <si>
    <t>07662-06546-01(大磁钢右)</t>
    <phoneticPr fontId="19" type="noConversion"/>
  </si>
  <si>
    <t>160-06546-01</t>
    <phoneticPr fontId="19" type="noConversion"/>
  </si>
  <si>
    <t>验证滚喷DOE
线圈需重做</t>
    <phoneticPr fontId="19" type="noConversion"/>
  </si>
  <si>
    <t>MP</t>
    <phoneticPr fontId="19" type="noConversion"/>
  </si>
  <si>
    <t>自动线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</si>
</sst>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d\-mmm\-yy;@"/>
    <numFmt numFmtId="177" formatCode="0_ "/>
    <numFmt numFmtId="178" formatCode="0_);[Red]\(0\)"/>
  </numFmts>
  <fonts count="35" x14ac:knownFonts="1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10.5"/>
      <color theme="1"/>
      <name val="等线"/>
      <family val="4"/>
      <charset val="134"/>
      <scheme val="minor"/>
    </font>
    <font>
      <b/>
      <sz val="10.5"/>
      <color theme="1"/>
      <name val="Arial Unicode MS"/>
      <family val="2"/>
    </font>
    <font>
      <sz val="10.5"/>
      <color theme="1"/>
      <name val="Arial Unicode MS"/>
      <family val="2"/>
    </font>
    <font>
      <sz val="12"/>
      <color theme="1"/>
      <name val="Arial Unicode MS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name val="Arial Unicode MS"/>
      <family val="2"/>
    </font>
    <font>
      <sz val="10.5"/>
      <name val="Arial Unicode MS"/>
      <family val="2"/>
    </font>
    <font>
      <sz val="11"/>
      <color theme="1"/>
      <name val="Arial Unicode MS"/>
      <family val="2"/>
    </font>
    <font>
      <b/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sz val="11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.5"/>
      <color theme="1"/>
      <name val="Arial Unicode MS"/>
      <family val="2"/>
      <charset val="134"/>
    </font>
    <font>
      <sz val="10.5"/>
      <color theme="1"/>
      <name val="宋体"/>
      <family val="3"/>
      <charset val="134"/>
    </font>
    <font>
      <b/>
      <sz val="10"/>
      <color indexed="81"/>
      <name val="宋体"/>
      <family val="3"/>
      <charset val="134"/>
    </font>
    <font>
      <sz val="10.5"/>
      <color theme="1"/>
      <name val="等线"/>
      <family val="3"/>
      <charset val="134"/>
      <scheme val="minor"/>
    </font>
    <font>
      <b/>
      <sz val="10.5"/>
      <color theme="1"/>
      <name val="Arial Unicode MS"/>
      <family val="2"/>
      <charset val="134"/>
    </font>
    <font>
      <sz val="12"/>
      <color theme="1"/>
      <name val="Arial Unicode MS"/>
      <family val="2"/>
      <charset val="134"/>
    </font>
    <font>
      <sz val="10.5"/>
      <name val="Arial Unicode MS"/>
      <family val="2"/>
      <charset val="134"/>
    </font>
    <font>
      <b/>
      <sz val="10.5"/>
      <color theme="1"/>
      <name val="宋体"/>
      <family val="3"/>
      <charset val="134"/>
    </font>
    <font>
      <sz val="11"/>
      <color theme="1"/>
      <name val="Arial Unicode MS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theme="1"/>
      <name val="Arial"/>
      <family val="2"/>
    </font>
    <font>
      <sz val="10.5"/>
      <color theme="1"/>
      <name val="Arial"/>
      <family val="2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3">
    <xf numFmtId="176" fontId="0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3" fillId="0" borderId="0">
      <alignment vertical="center"/>
    </xf>
    <xf numFmtId="176" fontId="1" fillId="0" borderId="0">
      <alignment vertical="center"/>
    </xf>
    <xf numFmtId="176" fontId="14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0" fontId="12" fillId="0" borderId="0">
      <alignment vertical="center"/>
    </xf>
    <xf numFmtId="0" fontId="30" fillId="0" borderId="0">
      <alignment vertical="center"/>
    </xf>
  </cellStyleXfs>
  <cellXfs count="333">
    <xf numFmtId="176" fontId="0" fillId="0" borderId="0" xfId="0">
      <alignment vertical="center"/>
    </xf>
    <xf numFmtId="176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4" fillId="0" borderId="1" xfId="11" applyNumberFormat="1" applyFont="1" applyBorder="1" applyAlignment="1">
      <alignment horizontal="center" vertical="center"/>
    </xf>
    <xf numFmtId="10" fontId="4" fillId="0" borderId="0" xfId="11" applyNumberFormat="1" applyFont="1" applyAlignment="1">
      <alignment horizontal="center" vertical="center"/>
    </xf>
    <xf numFmtId="176" fontId="11" fillId="0" borderId="0" xfId="0" applyFont="1" applyAlignment="1">
      <alignment horizontal="center" vertical="center"/>
    </xf>
    <xf numFmtId="176" fontId="2" fillId="0" borderId="8" xfId="0" applyFont="1" applyBorder="1" applyAlignment="1">
      <alignment horizontal="center" vertical="center"/>
    </xf>
    <xf numFmtId="176" fontId="2" fillId="0" borderId="9" xfId="0" applyFont="1" applyBorder="1" applyAlignment="1">
      <alignment horizontal="center" vertical="center"/>
    </xf>
    <xf numFmtId="176" fontId="11" fillId="0" borderId="10" xfId="0" applyFont="1" applyBorder="1" applyAlignment="1">
      <alignment horizontal="center" vertical="center"/>
    </xf>
    <xf numFmtId="176" fontId="11" fillId="3" borderId="11" xfId="0" applyFont="1" applyFill="1" applyBorder="1" applyAlignment="1">
      <alignment horizontal="center" vertical="center"/>
    </xf>
    <xf numFmtId="176" fontId="4" fillId="0" borderId="13" xfId="0" applyFont="1" applyBorder="1">
      <alignment vertical="center"/>
    </xf>
    <xf numFmtId="176" fontId="4" fillId="0" borderId="1" xfId="0" applyFont="1" applyBorder="1" applyAlignment="1">
      <alignment horizontal="center" vertical="center"/>
    </xf>
    <xf numFmtId="176" fontId="4" fillId="0" borderId="1" xfId="0" applyFont="1" applyBorder="1" applyAlignment="1">
      <alignment horizontal="center" vertical="center" wrapText="1"/>
    </xf>
    <xf numFmtId="176" fontId="4" fillId="0" borderId="14" xfId="0" applyFont="1" applyBorder="1">
      <alignment vertical="center"/>
    </xf>
    <xf numFmtId="176" fontId="4" fillId="0" borderId="1" xfId="0" applyFont="1" applyBorder="1">
      <alignment vertical="center"/>
    </xf>
    <xf numFmtId="176" fontId="4" fillId="0" borderId="7" xfId="0" applyFont="1" applyBorder="1" applyAlignment="1">
      <alignment horizontal="center" vertical="center"/>
    </xf>
    <xf numFmtId="176" fontId="4" fillId="0" borderId="15" xfId="0" applyFont="1" applyBorder="1" applyAlignment="1">
      <alignment horizontal="center" vertical="center"/>
    </xf>
    <xf numFmtId="176" fontId="10" fillId="4" borderId="1" xfId="0" applyFont="1" applyFill="1" applyBorder="1" applyAlignment="1">
      <alignment horizontal="center" vertical="center" wrapText="1"/>
    </xf>
    <xf numFmtId="176" fontId="4" fillId="4" borderId="1" xfId="0" applyFont="1" applyFill="1" applyBorder="1" applyAlignment="1">
      <alignment horizontal="center" vertical="center"/>
    </xf>
    <xf numFmtId="176" fontId="4" fillId="3" borderId="1" xfId="0" applyFont="1" applyFill="1" applyBorder="1" applyAlignment="1">
      <alignment horizontal="center" vertical="center"/>
    </xf>
    <xf numFmtId="176" fontId="10" fillId="3" borderId="1" xfId="0" applyFont="1" applyFill="1" applyBorder="1" applyAlignment="1">
      <alignment horizontal="center" vertical="center" wrapText="1"/>
    </xf>
    <xf numFmtId="176" fontId="4" fillId="3" borderId="1" xfId="0" applyFont="1" applyFill="1" applyBorder="1" applyAlignment="1">
      <alignment horizontal="center" vertical="center" wrapText="1"/>
    </xf>
    <xf numFmtId="176" fontId="10" fillId="4" borderId="1" xfId="0" applyFont="1" applyFill="1" applyBorder="1" applyAlignment="1">
      <alignment horizontal="center" vertical="center"/>
    </xf>
    <xf numFmtId="176" fontId="4" fillId="4" borderId="1" xfId="0" applyFont="1" applyFill="1" applyBorder="1" applyAlignment="1">
      <alignment horizontal="center" vertical="center" wrapText="1"/>
    </xf>
    <xf numFmtId="176" fontId="10" fillId="3" borderId="1" xfId="0" applyFont="1" applyFill="1" applyBorder="1" applyAlignment="1">
      <alignment horizontal="center" vertical="center"/>
    </xf>
    <xf numFmtId="176" fontId="10" fillId="0" borderId="1" xfId="0" applyFont="1" applyBorder="1" applyAlignment="1">
      <alignment horizontal="center" vertical="center"/>
    </xf>
    <xf numFmtId="176" fontId="8" fillId="0" borderId="1" xfId="0" applyFont="1" applyBorder="1" applyAlignment="1">
      <alignment horizontal="center" vertical="center"/>
    </xf>
    <xf numFmtId="176" fontId="9" fillId="0" borderId="1" xfId="0" applyFont="1" applyBorder="1" applyAlignment="1">
      <alignment horizontal="center" vertical="center" wrapText="1"/>
    </xf>
    <xf numFmtId="176" fontId="9" fillId="0" borderId="1" xfId="0" applyFont="1" applyBorder="1" applyAlignment="1">
      <alignment horizontal="center" vertical="center"/>
    </xf>
    <xf numFmtId="176" fontId="2" fillId="0" borderId="16" xfId="0" applyFont="1" applyBorder="1" applyAlignment="1">
      <alignment horizontal="center" vertical="center"/>
    </xf>
    <xf numFmtId="176" fontId="11" fillId="3" borderId="17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 wrapText="1"/>
    </xf>
    <xf numFmtId="10" fontId="4" fillId="0" borderId="18" xfId="0" applyNumberFormat="1" applyFont="1" applyBorder="1" applyAlignment="1">
      <alignment horizontal="center" vertical="center" wrapText="1"/>
    </xf>
    <xf numFmtId="176" fontId="4" fillId="0" borderId="0" xfId="0" applyFont="1" applyAlignment="1">
      <alignment vertical="center" wrapText="1"/>
    </xf>
    <xf numFmtId="176" fontId="4" fillId="0" borderId="0" xfId="0" applyFont="1">
      <alignment vertical="center"/>
    </xf>
    <xf numFmtId="176" fontId="4" fillId="7" borderId="1" xfId="0" applyFont="1" applyFill="1" applyBorder="1" applyAlignment="1">
      <alignment horizontal="center" vertical="center"/>
    </xf>
    <xf numFmtId="176" fontId="4" fillId="2" borderId="0" xfId="0" applyFont="1" applyFill="1">
      <alignment vertical="center"/>
    </xf>
    <xf numFmtId="10" fontId="4" fillId="0" borderId="18" xfId="0" applyNumberFormat="1" applyFont="1" applyBorder="1" applyAlignment="1">
      <alignment horizontal="center" vertical="center"/>
    </xf>
    <xf numFmtId="10" fontId="4" fillId="0" borderId="18" xfId="0" applyNumberFormat="1" applyFont="1" applyBorder="1">
      <alignment vertical="center"/>
    </xf>
    <xf numFmtId="176" fontId="8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10" fontId="21" fillId="0" borderId="1" xfId="0" applyNumberFormat="1" applyFont="1" applyBorder="1" applyAlignment="1">
      <alignment horizontal="center" vertical="center"/>
    </xf>
    <xf numFmtId="176" fontId="24" fillId="0" borderId="0" xfId="0" applyFont="1" applyAlignment="1">
      <alignment horizontal="center" vertical="center"/>
    </xf>
    <xf numFmtId="176" fontId="21" fillId="0" borderId="0" xfId="0" applyFont="1" applyAlignment="1">
      <alignment horizontal="center" vertical="center"/>
    </xf>
    <xf numFmtId="0" fontId="4" fillId="0" borderId="1" xfId="11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21" fillId="3" borderId="1" xfId="0" applyNumberFormat="1" applyFont="1" applyFill="1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4" fillId="0" borderId="0" xfId="11" applyNumberFormat="1" applyFont="1" applyAlignment="1">
      <alignment horizontal="center" vertical="center"/>
    </xf>
    <xf numFmtId="0" fontId="4" fillId="0" borderId="4" xfId="11" applyNumberFormat="1" applyFont="1" applyBorder="1" applyAlignment="1">
      <alignment horizontal="center" vertical="center"/>
    </xf>
    <xf numFmtId="0" fontId="4" fillId="0" borderId="3" xfId="11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5" fillId="0" borderId="1" xfId="9" applyNumberFormat="1" applyFont="1" applyBorder="1" applyAlignment="1">
      <alignment horizontal="center" vertical="center"/>
    </xf>
    <xf numFmtId="0" fontId="6" fillId="0" borderId="1" xfId="9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left" vertical="center" wrapText="1"/>
    </xf>
    <xf numFmtId="0" fontId="7" fillId="0" borderId="1" xfId="9" applyNumberFormat="1" applyFont="1" applyBorder="1" applyAlignment="1">
      <alignment horizontal="center" vertical="center"/>
    </xf>
    <xf numFmtId="0" fontId="6" fillId="0" borderId="1" xfId="9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 wrapText="1"/>
    </xf>
    <xf numFmtId="0" fontId="20" fillId="0" borderId="1" xfId="9" applyNumberFormat="1" applyFont="1" applyBorder="1" applyAlignment="1">
      <alignment horizontal="center" vertical="center"/>
    </xf>
    <xf numFmtId="0" fontId="21" fillId="0" borderId="1" xfId="16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20" fillId="0" borderId="1" xfId="0" applyNumberFormat="1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center" vertical="center"/>
    </xf>
    <xf numFmtId="0" fontId="21" fillId="3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Border="1" applyAlignment="1">
      <alignment horizontal="center" vertical="center" wrapText="1"/>
    </xf>
    <xf numFmtId="0" fontId="27" fillId="0" borderId="1" xfId="0" applyNumberFormat="1" applyFont="1" applyBorder="1" applyAlignment="1">
      <alignment vertical="center" wrapText="1"/>
    </xf>
    <xf numFmtId="0" fontId="27" fillId="0" borderId="1" xfId="0" applyNumberFormat="1" applyFont="1" applyBorder="1" applyAlignment="1">
      <alignment horizontal="center" vertical="center" wrapText="1"/>
    </xf>
    <xf numFmtId="0" fontId="21" fillId="0" borderId="0" xfId="0" applyNumberFormat="1" applyFont="1" applyAlignment="1">
      <alignment horizontal="center" vertical="center" wrapText="1"/>
    </xf>
    <xf numFmtId="0" fontId="4" fillId="5" borderId="1" xfId="11" applyNumberFormat="1" applyFont="1" applyFill="1" applyBorder="1" applyAlignment="1">
      <alignment horizontal="center" vertical="center"/>
    </xf>
    <xf numFmtId="0" fontId="4" fillId="0" borderId="1" xfId="11" applyNumberFormat="1" applyFont="1" applyBorder="1" applyAlignment="1">
      <alignment horizontal="center" vertical="center" wrapText="1"/>
    </xf>
    <xf numFmtId="0" fontId="4" fillId="0" borderId="3" xfId="11" applyNumberFormat="1" applyFont="1" applyBorder="1" applyAlignment="1">
      <alignment horizontal="center" vertical="center" wrapText="1"/>
    </xf>
    <xf numFmtId="0" fontId="4" fillId="5" borderId="1" xfId="11" applyNumberFormat="1" applyFont="1" applyFill="1" applyBorder="1" applyAlignment="1">
      <alignment horizontal="center" vertical="center" wrapText="1"/>
    </xf>
    <xf numFmtId="0" fontId="4" fillId="5" borderId="3" xfId="11" applyNumberFormat="1" applyFont="1" applyFill="1" applyBorder="1" applyAlignment="1">
      <alignment horizontal="center" vertical="center" wrapText="1"/>
    </xf>
    <xf numFmtId="0" fontId="9" fillId="0" borderId="1" xfId="11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4" xfId="11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4" fillId="5" borderId="4" xfId="11" applyNumberFormat="1" applyFont="1" applyFill="1" applyBorder="1" applyAlignment="1">
      <alignment horizontal="center" vertical="center" wrapText="1"/>
    </xf>
    <xf numFmtId="0" fontId="4" fillId="0" borderId="2" xfId="11" applyNumberFormat="1" applyFont="1" applyBorder="1" applyAlignment="1">
      <alignment horizontal="center" vertical="center"/>
    </xf>
    <xf numFmtId="49" fontId="21" fillId="3" borderId="1" xfId="0" applyNumberFormat="1" applyFont="1" applyFill="1" applyBorder="1" applyAlignment="1">
      <alignment horizontal="center" vertical="center"/>
    </xf>
    <xf numFmtId="176" fontId="21" fillId="3" borderId="1" xfId="0" applyFont="1" applyFill="1" applyBorder="1" applyAlignment="1">
      <alignment horizontal="center" vertical="center"/>
    </xf>
    <xf numFmtId="176" fontId="21" fillId="3" borderId="1" xfId="0" applyFont="1" applyFill="1" applyBorder="1" applyAlignment="1">
      <alignment horizontal="center" vertical="center" wrapText="1"/>
    </xf>
    <xf numFmtId="0" fontId="21" fillId="5" borderId="1" xfId="18" applyNumberFormat="1" applyFont="1" applyFill="1" applyBorder="1" applyAlignment="1">
      <alignment horizontal="center" vertical="center"/>
    </xf>
    <xf numFmtId="0" fontId="21" fillId="0" borderId="1" xfId="18" applyNumberFormat="1" applyFont="1" applyBorder="1" applyAlignment="1">
      <alignment horizontal="center" vertical="center" wrapText="1"/>
    </xf>
    <xf numFmtId="0" fontId="21" fillId="0" borderId="3" xfId="18" applyNumberFormat="1" applyFont="1" applyBorder="1" applyAlignment="1">
      <alignment horizontal="center" vertical="center"/>
    </xf>
    <xf numFmtId="0" fontId="21" fillId="0" borderId="1" xfId="18" applyNumberFormat="1" applyFont="1" applyBorder="1" applyAlignment="1">
      <alignment horizontal="center" vertical="center"/>
    </xf>
    <xf numFmtId="0" fontId="21" fillId="5" borderId="1" xfId="18" applyNumberFormat="1" applyFont="1" applyFill="1" applyBorder="1" applyAlignment="1">
      <alignment horizontal="center" vertical="center" wrapText="1"/>
    </xf>
    <xf numFmtId="49" fontId="21" fillId="5" borderId="3" xfId="18" applyNumberFormat="1" applyFont="1" applyFill="1" applyBorder="1" applyAlignment="1">
      <alignment horizontal="center" vertical="center" wrapText="1"/>
    </xf>
    <xf numFmtId="10" fontId="21" fillId="0" borderId="1" xfId="18" applyNumberFormat="1" applyFont="1" applyBorder="1" applyAlignment="1">
      <alignment horizontal="center" vertical="center"/>
    </xf>
    <xf numFmtId="0" fontId="27" fillId="0" borderId="1" xfId="18" applyNumberFormat="1" applyFont="1" applyBorder="1" applyAlignment="1">
      <alignment horizontal="center" vertical="center" wrapText="1"/>
    </xf>
    <xf numFmtId="0" fontId="21" fillId="0" borderId="2" xfId="18" applyNumberFormat="1" applyFont="1" applyBorder="1" applyAlignment="1">
      <alignment horizontal="center" vertical="center"/>
    </xf>
    <xf numFmtId="0" fontId="21" fillId="0" borderId="4" xfId="18" applyNumberFormat="1" applyFont="1" applyBorder="1" applyAlignment="1">
      <alignment horizontal="center" vertical="center"/>
    </xf>
    <xf numFmtId="0" fontId="21" fillId="0" borderId="0" xfId="18" applyNumberFormat="1" applyFont="1" applyAlignment="1">
      <alignment horizontal="center" vertical="center"/>
    </xf>
    <xf numFmtId="0" fontId="21" fillId="0" borderId="1" xfId="18" applyNumberFormat="1" applyFont="1" applyBorder="1" applyAlignment="1">
      <alignment vertical="center" wrapText="1"/>
    </xf>
    <xf numFmtId="0" fontId="21" fillId="0" borderId="1" xfId="18" applyNumberFormat="1" applyFont="1" applyBorder="1">
      <alignment vertical="center"/>
    </xf>
    <xf numFmtId="0" fontId="21" fillId="0" borderId="4" xfId="18" applyNumberFormat="1" applyFont="1" applyBorder="1" applyAlignment="1">
      <alignment horizontal="center" vertical="center" wrapText="1"/>
    </xf>
    <xf numFmtId="0" fontId="21" fillId="5" borderId="4" xfId="18" applyNumberFormat="1" applyFont="1" applyFill="1" applyBorder="1" applyAlignment="1">
      <alignment horizontal="center" vertical="center" wrapText="1"/>
    </xf>
    <xf numFmtId="49" fontId="21" fillId="0" borderId="1" xfId="18" applyNumberFormat="1" applyFont="1" applyBorder="1" applyAlignment="1">
      <alignment horizontal="center" vertical="center"/>
    </xf>
    <xf numFmtId="176" fontId="21" fillId="0" borderId="1" xfId="0" applyFont="1" applyBorder="1" applyAlignment="1">
      <alignment horizontal="center" vertical="center"/>
    </xf>
    <xf numFmtId="176" fontId="21" fillId="0" borderId="1" xfId="0" applyFont="1" applyBorder="1" applyAlignment="1">
      <alignment horizontal="center" vertical="center" wrapText="1"/>
    </xf>
    <xf numFmtId="0" fontId="21" fillId="5" borderId="4" xfId="18" applyNumberFormat="1" applyFont="1" applyFill="1" applyBorder="1" applyAlignment="1">
      <alignment horizontal="center" vertical="center"/>
    </xf>
    <xf numFmtId="10" fontId="21" fillId="0" borderId="4" xfId="18" applyNumberFormat="1" applyFont="1" applyBorder="1" applyAlignment="1">
      <alignment horizontal="center" vertical="center"/>
    </xf>
    <xf numFmtId="49" fontId="21" fillId="5" borderId="1" xfId="18" applyNumberFormat="1" applyFont="1" applyFill="1" applyBorder="1" applyAlignment="1">
      <alignment horizontal="center" vertical="center" wrapText="1"/>
    </xf>
    <xf numFmtId="0" fontId="4" fillId="5" borderId="4" xfId="11" applyNumberFormat="1" applyFont="1" applyFill="1" applyBorder="1" applyAlignment="1">
      <alignment horizontal="center" vertical="center"/>
    </xf>
    <xf numFmtId="10" fontId="4" fillId="0" borderId="4" xfId="11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11" fillId="3" borderId="11" xfId="0" applyNumberFormat="1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31" fillId="9" borderId="1" xfId="17" applyNumberFormat="1" applyFont="1" applyFill="1" applyBorder="1" applyAlignment="1">
      <alignment horizontal="center" vertical="center"/>
    </xf>
    <xf numFmtId="0" fontId="31" fillId="9" borderId="1" xfId="17" applyNumberFormat="1" applyFont="1" applyFill="1" applyBorder="1" applyAlignment="1">
      <alignment horizontal="center" vertical="center" wrapText="1"/>
    </xf>
    <xf numFmtId="0" fontId="31" fillId="9" borderId="1" xfId="31" applyFont="1" applyFill="1" applyBorder="1" applyAlignment="1">
      <alignment horizontal="center" vertical="center"/>
    </xf>
    <xf numFmtId="0" fontId="30" fillId="0" borderId="0" xfId="32">
      <alignment vertical="center"/>
    </xf>
    <xf numFmtId="0" fontId="32" fillId="2" borderId="1" xfId="31" applyFont="1" applyFill="1" applyBorder="1" applyAlignment="1">
      <alignment horizontal="center" vertical="center" wrapText="1"/>
    </xf>
    <xf numFmtId="0" fontId="32" fillId="0" borderId="2" xfId="31" applyFont="1" applyBorder="1" applyAlignment="1">
      <alignment horizontal="left" vertical="center" wrapText="1"/>
    </xf>
    <xf numFmtId="0" fontId="32" fillId="0" borderId="0" xfId="31" applyFont="1" applyAlignment="1">
      <alignment horizontal="center" vertical="center"/>
    </xf>
    <xf numFmtId="0" fontId="32" fillId="0" borderId="0" xfId="31" applyFont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/>
    </xf>
    <xf numFmtId="0" fontId="11" fillId="3" borderId="1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10" fillId="4" borderId="1" xfId="0" applyNumberFormat="1" applyFont="1" applyFill="1" applyBorder="1" applyAlignment="1">
      <alignment horizontal="center" vertical="center"/>
    </xf>
    <xf numFmtId="10" fontId="4" fillId="0" borderId="19" xfId="0" applyNumberFormat="1" applyFont="1" applyBorder="1">
      <alignment vertical="center"/>
    </xf>
    <xf numFmtId="176" fontId="4" fillId="0" borderId="4" xfId="0" applyFont="1" applyBorder="1" applyAlignment="1">
      <alignment horizontal="center" vertical="center"/>
    </xf>
    <xf numFmtId="176" fontId="7" fillId="0" borderId="4" xfId="0" applyFont="1" applyBorder="1" applyAlignment="1">
      <alignment horizontal="center" vertical="center" wrapText="1"/>
    </xf>
    <xf numFmtId="176" fontId="7" fillId="0" borderId="20" xfId="0" applyFont="1" applyBorder="1" applyAlignment="1">
      <alignment horizontal="center" vertical="center"/>
    </xf>
    <xf numFmtId="176" fontId="8" fillId="0" borderId="7" xfId="0" applyFont="1" applyBorder="1" applyAlignment="1">
      <alignment horizontal="center" vertical="center"/>
    </xf>
    <xf numFmtId="176" fontId="6" fillId="0" borderId="21" xfId="0" applyFont="1" applyBorder="1" applyAlignment="1">
      <alignment horizontal="center" vertical="center"/>
    </xf>
    <xf numFmtId="176" fontId="10" fillId="0" borderId="5" xfId="0" applyFont="1" applyBorder="1" applyAlignment="1">
      <alignment horizontal="center" vertical="center"/>
    </xf>
    <xf numFmtId="176" fontId="12" fillId="10" borderId="1" xfId="0" applyFont="1" applyFill="1" applyBorder="1" applyAlignment="1">
      <alignment horizontal="center" vertical="center"/>
    </xf>
    <xf numFmtId="176" fontId="8" fillId="10" borderId="1" xfId="0" applyFont="1" applyFill="1" applyBorder="1" applyAlignment="1">
      <alignment horizontal="center" vertical="center" wrapText="1"/>
    </xf>
    <xf numFmtId="176" fontId="10" fillId="10" borderId="5" xfId="0" applyFont="1" applyFill="1" applyBorder="1" applyAlignment="1">
      <alignment horizontal="center" vertical="center"/>
    </xf>
    <xf numFmtId="176" fontId="9" fillId="10" borderId="1" xfId="0" applyFont="1" applyFill="1" applyBorder="1" applyAlignment="1">
      <alignment horizontal="center" vertical="center" wrapText="1"/>
    </xf>
    <xf numFmtId="176" fontId="9" fillId="10" borderId="5" xfId="0" applyFont="1" applyFill="1" applyBorder="1" applyAlignment="1">
      <alignment horizontal="center" vertical="center"/>
    </xf>
    <xf numFmtId="176" fontId="7" fillId="11" borderId="7" xfId="0" applyFont="1" applyFill="1" applyBorder="1" applyAlignment="1">
      <alignment horizontal="center" vertical="center"/>
    </xf>
    <xf numFmtId="176" fontId="7" fillId="11" borderId="1" xfId="0" applyFont="1" applyFill="1" applyBorder="1" applyAlignment="1">
      <alignment horizontal="center" vertical="center" wrapText="1"/>
    </xf>
    <xf numFmtId="176" fontId="6" fillId="11" borderId="5" xfId="0" applyFont="1" applyFill="1" applyBorder="1" applyAlignment="1">
      <alignment horizontal="center" vertical="center"/>
    </xf>
    <xf numFmtId="176" fontId="4" fillId="11" borderId="1" xfId="0" applyFont="1" applyFill="1" applyBorder="1" applyAlignment="1">
      <alignment horizontal="center" vertical="center"/>
    </xf>
    <xf numFmtId="176" fontId="8" fillId="11" borderId="7" xfId="0" applyFont="1" applyFill="1" applyBorder="1" applyAlignment="1">
      <alignment horizontal="center" vertical="center"/>
    </xf>
    <xf numFmtId="176" fontId="8" fillId="11" borderId="1" xfId="0" applyFont="1" applyFill="1" applyBorder="1" applyAlignment="1">
      <alignment horizontal="center" vertical="center" wrapText="1"/>
    </xf>
    <xf numFmtId="176" fontId="10" fillId="11" borderId="5" xfId="0" applyFont="1" applyFill="1" applyBorder="1" applyAlignment="1">
      <alignment horizontal="center" vertical="center"/>
    </xf>
    <xf numFmtId="176" fontId="7" fillId="12" borderId="7" xfId="0" applyFont="1" applyFill="1" applyBorder="1" applyAlignment="1">
      <alignment horizontal="center" vertical="center"/>
    </xf>
    <xf numFmtId="176" fontId="7" fillId="12" borderId="1" xfId="0" applyFont="1" applyFill="1" applyBorder="1" applyAlignment="1">
      <alignment horizontal="center" vertical="center" wrapText="1"/>
    </xf>
    <xf numFmtId="176" fontId="6" fillId="12" borderId="5" xfId="0" applyFont="1" applyFill="1" applyBorder="1" applyAlignment="1">
      <alignment horizontal="center" vertical="center"/>
    </xf>
    <xf numFmtId="176" fontId="4" fillId="12" borderId="1" xfId="0" applyFont="1" applyFill="1" applyBorder="1" applyAlignment="1">
      <alignment horizontal="center" vertical="center"/>
    </xf>
    <xf numFmtId="176" fontId="8" fillId="12" borderId="7" xfId="0" applyFont="1" applyFill="1" applyBorder="1" applyAlignment="1">
      <alignment horizontal="center" vertical="center"/>
    </xf>
    <xf numFmtId="176" fontId="8" fillId="12" borderId="1" xfId="0" applyFont="1" applyFill="1" applyBorder="1" applyAlignment="1">
      <alignment horizontal="center" vertical="center" wrapText="1"/>
    </xf>
    <xf numFmtId="176" fontId="10" fillId="12" borderId="5" xfId="0" applyFont="1" applyFill="1" applyBorder="1" applyAlignment="1">
      <alignment horizontal="center" vertical="center"/>
    </xf>
    <xf numFmtId="176" fontId="7" fillId="13" borderId="7" xfId="0" applyFont="1" applyFill="1" applyBorder="1" applyAlignment="1">
      <alignment horizontal="center" vertical="center"/>
    </xf>
    <xf numFmtId="176" fontId="7" fillId="13" borderId="1" xfId="0" applyFont="1" applyFill="1" applyBorder="1" applyAlignment="1">
      <alignment horizontal="center" vertical="center" wrapText="1"/>
    </xf>
    <xf numFmtId="176" fontId="6" fillId="13" borderId="5" xfId="0" applyFont="1" applyFill="1" applyBorder="1" applyAlignment="1">
      <alignment horizontal="center" vertical="center"/>
    </xf>
    <xf numFmtId="176" fontId="4" fillId="13" borderId="1" xfId="0" applyFont="1" applyFill="1" applyBorder="1" applyAlignment="1">
      <alignment horizontal="center" vertical="center"/>
    </xf>
    <xf numFmtId="176" fontId="8" fillId="13" borderId="7" xfId="0" applyFont="1" applyFill="1" applyBorder="1" applyAlignment="1">
      <alignment horizontal="center" vertical="center"/>
    </xf>
    <xf numFmtId="176" fontId="8" fillId="13" borderId="1" xfId="0" applyFont="1" applyFill="1" applyBorder="1" applyAlignment="1">
      <alignment horizontal="center" vertical="center" wrapText="1"/>
    </xf>
    <xf numFmtId="176" fontId="10" fillId="13" borderId="5" xfId="0" applyFont="1" applyFill="1" applyBorder="1" applyAlignment="1">
      <alignment horizontal="center" vertical="center"/>
    </xf>
    <xf numFmtId="176" fontId="10" fillId="10" borderId="1" xfId="0" applyFont="1" applyFill="1" applyBorder="1" applyAlignment="1">
      <alignment horizontal="center" vertical="center"/>
    </xf>
    <xf numFmtId="176" fontId="9" fillId="10" borderId="1" xfId="0" applyFont="1" applyFill="1" applyBorder="1" applyAlignment="1">
      <alignment horizontal="center" vertical="center"/>
    </xf>
    <xf numFmtId="176" fontId="33" fillId="14" borderId="1" xfId="0" applyFont="1" applyFill="1" applyBorder="1" applyAlignment="1">
      <alignment horizontal="center" vertical="center"/>
    </xf>
    <xf numFmtId="176" fontId="33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6" fontId="10" fillId="15" borderId="1" xfId="0" applyFont="1" applyFill="1" applyBorder="1" applyAlignment="1">
      <alignment horizontal="center" vertical="center"/>
    </xf>
    <xf numFmtId="176" fontId="4" fillId="15" borderId="1" xfId="0" applyFont="1" applyFill="1" applyBorder="1" applyAlignment="1">
      <alignment horizontal="center" vertical="center"/>
    </xf>
    <xf numFmtId="176" fontId="8" fillId="16" borderId="1" xfId="0" applyFont="1" applyFill="1" applyBorder="1" applyAlignment="1">
      <alignment horizontal="center" vertical="center"/>
    </xf>
    <xf numFmtId="176" fontId="10" fillId="16" borderId="1" xfId="0" applyFont="1" applyFill="1" applyBorder="1" applyAlignment="1">
      <alignment horizontal="center" vertical="center"/>
    </xf>
    <xf numFmtId="176" fontId="8" fillId="16" borderId="1" xfId="0" applyFont="1" applyFill="1" applyBorder="1" applyAlignment="1">
      <alignment horizontal="center" vertical="center" wrapText="1"/>
    </xf>
    <xf numFmtId="176" fontId="4" fillId="16" borderId="1" xfId="0" applyFont="1" applyFill="1" applyBorder="1" applyAlignment="1">
      <alignment horizontal="center" vertical="center"/>
    </xf>
    <xf numFmtId="0" fontId="33" fillId="0" borderId="1" xfId="0" applyNumberFormat="1" applyFont="1" applyBorder="1" applyAlignment="1">
      <alignment horizontal="center" vertical="center"/>
    </xf>
    <xf numFmtId="176" fontId="10" fillId="5" borderId="1" xfId="0" applyFont="1" applyFill="1" applyBorder="1" applyAlignment="1">
      <alignment horizontal="center" vertical="center" wrapText="1"/>
    </xf>
    <xf numFmtId="176" fontId="4" fillId="5" borderId="1" xfId="0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176" fontId="4" fillId="5" borderId="1" xfId="0" applyFont="1" applyFill="1" applyBorder="1" applyAlignment="1">
      <alignment horizontal="center" vertical="center" wrapText="1"/>
    </xf>
    <xf numFmtId="176" fontId="12" fillId="0" borderId="1" xfId="0" applyFont="1" applyBorder="1" applyAlignment="1">
      <alignment horizontal="center" vertical="center"/>
    </xf>
    <xf numFmtId="176" fontId="0" fillId="0" borderId="1" xfId="0" applyBorder="1" applyAlignment="1">
      <alignment horizontal="center" vertical="center"/>
    </xf>
    <xf numFmtId="176" fontId="0" fillId="0" borderId="1" xfId="0" applyBorder="1">
      <alignment vertical="center"/>
    </xf>
    <xf numFmtId="176" fontId="4" fillId="7" borderId="1" xfId="0" applyFont="1" applyFill="1" applyBorder="1" applyAlignment="1">
      <alignment horizontal="center" vertical="center" wrapText="1"/>
    </xf>
    <xf numFmtId="176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2" fillId="0" borderId="1" xfId="0" applyFont="1" applyBorder="1" applyAlignment="1">
      <alignment horizontal="center" vertical="center" wrapText="1"/>
    </xf>
    <xf numFmtId="10" fontId="2" fillId="0" borderId="9" xfId="0" applyNumberFormat="1" applyFont="1" applyBorder="1" applyAlignment="1">
      <alignment horizontal="center" vertical="center"/>
    </xf>
    <xf numFmtId="10" fontId="11" fillId="3" borderId="11" xfId="0" applyNumberFormat="1" applyFont="1" applyFill="1" applyBorder="1" applyAlignment="1">
      <alignment horizontal="center" vertical="center"/>
    </xf>
    <xf numFmtId="10" fontId="4" fillId="8" borderId="18" xfId="0" applyNumberFormat="1" applyFont="1" applyFill="1" applyBorder="1">
      <alignment vertical="center"/>
    </xf>
    <xf numFmtId="176" fontId="2" fillId="0" borderId="25" xfId="0" applyFont="1" applyBorder="1" applyAlignment="1">
      <alignment horizontal="center" vertical="center"/>
    </xf>
    <xf numFmtId="176" fontId="2" fillId="0" borderId="15" xfId="0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6" fontId="2" fillId="0" borderId="15" xfId="0" applyFont="1" applyBorder="1" applyAlignment="1">
      <alignment horizontal="center" vertical="center" wrapText="1"/>
    </xf>
    <xf numFmtId="0" fontId="2" fillId="0" borderId="15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 vertical="center"/>
    </xf>
    <xf numFmtId="176" fontId="2" fillId="0" borderId="4" xfId="0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6" fontId="2" fillId="0" borderId="4" xfId="0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76" fontId="4" fillId="0" borderId="22" xfId="0" applyFont="1" applyBorder="1" applyAlignment="1">
      <alignment horizontal="center" vertical="center"/>
    </xf>
    <xf numFmtId="176" fontId="4" fillId="0" borderId="12" xfId="0" applyFont="1" applyBorder="1" applyAlignment="1">
      <alignment horizontal="center" vertical="center"/>
    </xf>
    <xf numFmtId="176" fontId="4" fillId="0" borderId="23" xfId="0" applyFont="1" applyBorder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6" fontId="4" fillId="0" borderId="24" xfId="0" applyFont="1" applyBorder="1" applyAlignment="1">
      <alignment horizontal="center" vertical="center"/>
    </xf>
    <xf numFmtId="176" fontId="4" fillId="0" borderId="25" xfId="0" applyFont="1" applyBorder="1" applyAlignment="1">
      <alignment horizontal="center" vertical="center"/>
    </xf>
    <xf numFmtId="176" fontId="4" fillId="0" borderId="1" xfId="0" applyFont="1" applyBorder="1" applyAlignment="1">
      <alignment horizontal="center" vertical="center"/>
    </xf>
    <xf numFmtId="176" fontId="4" fillId="0" borderId="3" xfId="0" applyFont="1" applyBorder="1" applyAlignment="1">
      <alignment horizontal="center" vertical="center"/>
    </xf>
    <xf numFmtId="176" fontId="4" fillId="0" borderId="2" xfId="0" applyFont="1" applyBorder="1" applyAlignment="1">
      <alignment horizontal="center" vertical="center"/>
    </xf>
    <xf numFmtId="176" fontId="4" fillId="0" borderId="4" xfId="0" applyFont="1" applyBorder="1" applyAlignment="1">
      <alignment horizontal="center" vertical="center"/>
    </xf>
    <xf numFmtId="176" fontId="4" fillId="0" borderId="1" xfId="0" applyFont="1" applyBorder="1" applyAlignment="1">
      <alignment horizontal="center" vertical="center" wrapText="1"/>
    </xf>
    <xf numFmtId="10" fontId="4" fillId="0" borderId="18" xfId="0" applyNumberFormat="1" applyFont="1" applyBorder="1" applyAlignment="1">
      <alignment horizontal="center" vertical="center" wrapText="1"/>
    </xf>
    <xf numFmtId="10" fontId="4" fillId="6" borderId="18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4" fillId="2" borderId="18" xfId="0" applyNumberFormat="1" applyFont="1" applyFill="1" applyBorder="1" applyAlignment="1">
      <alignment horizontal="center" vertical="center" wrapText="1"/>
    </xf>
    <xf numFmtId="0" fontId="21" fillId="0" borderId="21" xfId="18" applyNumberFormat="1" applyFont="1" applyBorder="1" applyAlignment="1">
      <alignment horizontal="center" vertical="center"/>
    </xf>
    <xf numFmtId="0" fontId="21" fillId="0" borderId="20" xfId="18" applyNumberFormat="1" applyFont="1" applyBorder="1" applyAlignment="1">
      <alignment horizontal="center" vertical="center"/>
    </xf>
    <xf numFmtId="0" fontId="21" fillId="0" borderId="1" xfId="18" applyNumberFormat="1" applyFont="1" applyBorder="1" applyAlignment="1">
      <alignment horizontal="center" vertical="center"/>
    </xf>
    <xf numFmtId="0" fontId="21" fillId="0" borderId="1" xfId="18" applyNumberFormat="1" applyFont="1" applyBorder="1" applyAlignment="1">
      <alignment horizontal="center" vertical="center" wrapText="1"/>
    </xf>
    <xf numFmtId="1" fontId="21" fillId="0" borderId="1" xfId="18" applyNumberFormat="1" applyFont="1" applyBorder="1" applyAlignment="1">
      <alignment horizontal="center" vertical="center"/>
    </xf>
    <xf numFmtId="0" fontId="21" fillId="5" borderId="1" xfId="18" applyNumberFormat="1" applyFont="1" applyFill="1" applyBorder="1" applyAlignment="1">
      <alignment horizontal="center" vertical="center" wrapText="1"/>
    </xf>
    <xf numFmtId="49" fontId="29" fillId="0" borderId="1" xfId="18" applyNumberFormat="1" applyFont="1" applyBorder="1" applyAlignment="1">
      <alignment horizontal="center" vertical="center"/>
    </xf>
    <xf numFmtId="10" fontId="21" fillId="7" borderId="1" xfId="18" applyNumberFormat="1" applyFont="1" applyFill="1" applyBorder="1" applyAlignment="1">
      <alignment horizontal="center" vertical="center"/>
    </xf>
    <xf numFmtId="176" fontId="25" fillId="3" borderId="5" xfId="0" applyFont="1" applyFill="1" applyBorder="1" applyAlignment="1">
      <alignment horizontal="center" vertical="center"/>
    </xf>
    <xf numFmtId="176" fontId="25" fillId="3" borderId="6" xfId="0" applyFont="1" applyFill="1" applyBorder="1" applyAlignment="1">
      <alignment horizontal="center" vertical="center"/>
    </xf>
    <xf numFmtId="176" fontId="25" fillId="3" borderId="7" xfId="0" applyFont="1" applyFill="1" applyBorder="1" applyAlignment="1">
      <alignment horizontal="center" vertical="center"/>
    </xf>
    <xf numFmtId="176" fontId="21" fillId="3" borderId="1" xfId="0" applyFont="1" applyFill="1" applyBorder="1" applyAlignment="1">
      <alignment horizontal="center" vertical="center"/>
    </xf>
    <xf numFmtId="176" fontId="21" fillId="3" borderId="1" xfId="0" applyFont="1" applyFill="1" applyBorder="1" applyAlignment="1">
      <alignment horizontal="center" vertical="center" wrapText="1"/>
    </xf>
    <xf numFmtId="177" fontId="21" fillId="3" borderId="1" xfId="0" applyNumberFormat="1" applyFont="1" applyFill="1" applyBorder="1" applyAlignment="1">
      <alignment horizontal="center" vertical="center"/>
    </xf>
    <xf numFmtId="49" fontId="29" fillId="0" borderId="3" xfId="18" applyNumberFormat="1" applyFont="1" applyBorder="1" applyAlignment="1">
      <alignment horizontal="center" vertical="center"/>
    </xf>
    <xf numFmtId="49" fontId="29" fillId="0" borderId="2" xfId="18" applyNumberFormat="1" applyFont="1" applyBorder="1" applyAlignment="1">
      <alignment horizontal="center" vertical="center"/>
    </xf>
    <xf numFmtId="49" fontId="29" fillId="0" borderId="4" xfId="18" applyNumberFormat="1" applyFont="1" applyBorder="1" applyAlignment="1">
      <alignment horizontal="center" vertical="center"/>
    </xf>
    <xf numFmtId="0" fontId="21" fillId="0" borderId="3" xfId="18" applyNumberFormat="1" applyFont="1" applyBorder="1" applyAlignment="1">
      <alignment horizontal="center" vertical="center" wrapText="1"/>
    </xf>
    <xf numFmtId="0" fontId="21" fillId="0" borderId="2" xfId="18" applyNumberFormat="1" applyFont="1" applyBorder="1" applyAlignment="1">
      <alignment horizontal="center" vertical="center" wrapText="1"/>
    </xf>
    <xf numFmtId="0" fontId="21" fillId="0" borderId="4" xfId="18" applyNumberFormat="1" applyFont="1" applyBorder="1" applyAlignment="1">
      <alignment horizontal="center" vertical="center" wrapText="1"/>
    </xf>
    <xf numFmtId="10" fontId="21" fillId="7" borderId="3" xfId="18" applyNumberFormat="1" applyFont="1" applyFill="1" applyBorder="1" applyAlignment="1">
      <alignment horizontal="center" vertical="center"/>
    </xf>
    <xf numFmtId="10" fontId="21" fillId="7" borderId="2" xfId="18" applyNumberFormat="1" applyFont="1" applyFill="1" applyBorder="1" applyAlignment="1">
      <alignment horizontal="center" vertical="center"/>
    </xf>
    <xf numFmtId="10" fontId="21" fillId="7" borderId="4" xfId="18" applyNumberFormat="1" applyFont="1" applyFill="1" applyBorder="1" applyAlignment="1">
      <alignment horizontal="center" vertical="center"/>
    </xf>
    <xf numFmtId="0" fontId="4" fillId="0" borderId="3" xfId="11" applyNumberFormat="1" applyFont="1" applyBorder="1" applyAlignment="1">
      <alignment horizontal="center" vertical="center" wrapText="1"/>
    </xf>
    <xf numFmtId="0" fontId="4" fillId="0" borderId="2" xfId="11" applyNumberFormat="1" applyFont="1" applyBorder="1" applyAlignment="1">
      <alignment horizontal="center" vertical="center" wrapText="1"/>
    </xf>
    <xf numFmtId="0" fontId="4" fillId="0" borderId="4" xfId="11" applyNumberFormat="1" applyFont="1" applyBorder="1" applyAlignment="1">
      <alignment horizontal="center" vertical="center" wrapText="1"/>
    </xf>
    <xf numFmtId="0" fontId="10" fillId="0" borderId="3" xfId="11" applyNumberFormat="1" applyFont="1" applyBorder="1" applyAlignment="1">
      <alignment horizontal="center" vertical="center"/>
    </xf>
    <xf numFmtId="0" fontId="10" fillId="0" borderId="2" xfId="11" applyNumberFormat="1" applyFont="1" applyBorder="1" applyAlignment="1">
      <alignment horizontal="center" vertical="center"/>
    </xf>
    <xf numFmtId="0" fontId="10" fillId="0" borderId="4" xfId="11" applyNumberFormat="1" applyFont="1" applyBorder="1" applyAlignment="1">
      <alignment horizontal="center" vertical="center"/>
    </xf>
    <xf numFmtId="0" fontId="4" fillId="0" borderId="5" xfId="11" applyNumberFormat="1" applyFont="1" applyBorder="1" applyAlignment="1">
      <alignment horizontal="center" vertical="center"/>
    </xf>
    <xf numFmtId="0" fontId="4" fillId="0" borderId="7" xfId="11" applyNumberFormat="1" applyFont="1" applyBorder="1" applyAlignment="1">
      <alignment horizontal="center" vertical="center"/>
    </xf>
    <xf numFmtId="0" fontId="4" fillId="0" borderId="1" xfId="11" applyNumberFormat="1" applyFont="1" applyBorder="1" applyAlignment="1">
      <alignment horizontal="center" vertical="center"/>
    </xf>
    <xf numFmtId="0" fontId="4" fillId="0" borderId="3" xfId="11" applyNumberFormat="1" applyFont="1" applyBorder="1" applyAlignment="1">
      <alignment horizontal="center" vertical="center"/>
    </xf>
    <xf numFmtId="0" fontId="4" fillId="0" borderId="4" xfId="11" applyNumberFormat="1" applyFont="1" applyBorder="1" applyAlignment="1">
      <alignment horizontal="center" vertical="center"/>
    </xf>
    <xf numFmtId="0" fontId="4" fillId="0" borderId="2" xfId="11" applyNumberFormat="1" applyFont="1" applyBorder="1" applyAlignment="1">
      <alignment horizontal="center" vertical="center"/>
    </xf>
    <xf numFmtId="0" fontId="4" fillId="5" borderId="3" xfId="11" applyNumberFormat="1" applyFont="1" applyFill="1" applyBorder="1" applyAlignment="1">
      <alignment horizontal="center" vertical="center" wrapText="1"/>
    </xf>
    <xf numFmtId="0" fontId="4" fillId="5" borderId="2" xfId="11" applyNumberFormat="1" applyFont="1" applyFill="1" applyBorder="1" applyAlignment="1">
      <alignment horizontal="center" vertical="center" wrapText="1"/>
    </xf>
    <xf numFmtId="0" fontId="4" fillId="5" borderId="4" xfId="11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21" fillId="0" borderId="2" xfId="18" applyNumberFormat="1" applyFont="1" applyBorder="1" applyAlignment="1">
      <alignment horizontal="center" vertical="center"/>
    </xf>
    <xf numFmtId="0" fontId="21" fillId="0" borderId="4" xfId="18" applyNumberFormat="1" applyFont="1" applyBorder="1" applyAlignment="1">
      <alignment horizontal="center" vertical="center"/>
    </xf>
    <xf numFmtId="49" fontId="21" fillId="0" borderId="3" xfId="18" applyNumberFormat="1" applyFont="1" applyBorder="1" applyAlignment="1">
      <alignment horizontal="center" vertical="center" wrapText="1"/>
    </xf>
    <xf numFmtId="49" fontId="21" fillId="0" borderId="2" xfId="18" applyNumberFormat="1" applyFont="1" applyBorder="1" applyAlignment="1">
      <alignment horizontal="center" vertical="center" wrapText="1"/>
    </xf>
    <xf numFmtId="49" fontId="21" fillId="0" borderId="4" xfId="18" applyNumberFormat="1" applyFont="1" applyBorder="1" applyAlignment="1">
      <alignment horizontal="center" vertical="center" wrapText="1"/>
    </xf>
    <xf numFmtId="1" fontId="21" fillId="0" borderId="3" xfId="18" applyNumberFormat="1" applyFont="1" applyBorder="1" applyAlignment="1">
      <alignment horizontal="center" vertical="center"/>
    </xf>
    <xf numFmtId="1" fontId="21" fillId="0" borderId="2" xfId="18" applyNumberFormat="1" applyFont="1" applyBorder="1" applyAlignment="1">
      <alignment horizontal="center" vertical="center"/>
    </xf>
    <xf numFmtId="1" fontId="21" fillId="0" borderId="4" xfId="18" applyNumberFormat="1" applyFont="1" applyBorder="1" applyAlignment="1">
      <alignment horizontal="center" vertical="center"/>
    </xf>
    <xf numFmtId="0" fontId="21" fillId="0" borderId="3" xfId="18" applyNumberFormat="1" applyFont="1" applyBorder="1" applyAlignment="1">
      <alignment horizontal="center" vertical="center"/>
    </xf>
    <xf numFmtId="0" fontId="21" fillId="0" borderId="5" xfId="18" applyNumberFormat="1" applyFont="1" applyBorder="1" applyAlignment="1">
      <alignment horizontal="center" vertical="center"/>
    </xf>
    <xf numFmtId="0" fontId="21" fillId="0" borderId="7" xfId="18" applyNumberFormat="1" applyFont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176" fontId="3" fillId="3" borderId="5" xfId="0" applyFont="1" applyFill="1" applyBorder="1" applyAlignment="1">
      <alignment horizontal="center" vertical="center"/>
    </xf>
    <xf numFmtId="176" fontId="3" fillId="3" borderId="6" xfId="0" applyFont="1" applyFill="1" applyBorder="1" applyAlignment="1">
      <alignment horizontal="center" vertical="center"/>
    </xf>
    <xf numFmtId="176" fontId="3" fillId="3" borderId="7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 wrapText="1"/>
    </xf>
    <xf numFmtId="0" fontId="21" fillId="0" borderId="1" xfId="0" applyNumberFormat="1" applyFont="1" applyBorder="1" applyAlignment="1">
      <alignment horizontal="center" vertical="center"/>
    </xf>
    <xf numFmtId="0" fontId="25" fillId="3" borderId="1" xfId="0" applyNumberFormat="1" applyFont="1" applyFill="1" applyBorder="1" applyAlignment="1">
      <alignment horizontal="center" vertical="center"/>
    </xf>
    <xf numFmtId="0" fontId="21" fillId="3" borderId="1" xfId="0" applyNumberFormat="1" applyFont="1" applyFill="1" applyBorder="1" applyAlignment="1">
      <alignment horizontal="center" vertical="center"/>
    </xf>
    <xf numFmtId="0" fontId="21" fillId="3" borderId="1" xfId="0" applyNumberFormat="1" applyFont="1" applyFill="1" applyBorder="1" applyAlignment="1">
      <alignment horizontal="center" vertical="center" wrapText="1"/>
    </xf>
    <xf numFmtId="10" fontId="4" fillId="4" borderId="3" xfId="11" applyNumberFormat="1" applyFont="1" applyFill="1" applyBorder="1" applyAlignment="1">
      <alignment horizontal="center" vertical="center"/>
    </xf>
    <xf numFmtId="10" fontId="4" fillId="4" borderId="2" xfId="11" applyNumberFormat="1" applyFont="1" applyFill="1" applyBorder="1" applyAlignment="1">
      <alignment horizontal="center" vertical="center"/>
    </xf>
    <xf numFmtId="10" fontId="4" fillId="4" borderId="4" xfId="11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26" fillId="0" borderId="1" xfId="0" applyNumberFormat="1" applyFont="1" applyBorder="1" applyAlignment="1">
      <alignment horizontal="center" vertical="center"/>
    </xf>
    <xf numFmtId="0" fontId="21" fillId="0" borderId="3" xfId="0" applyNumberFormat="1" applyFont="1" applyBorder="1" applyAlignment="1">
      <alignment horizontal="center" vertical="center" wrapText="1"/>
    </xf>
    <xf numFmtId="0" fontId="21" fillId="0" borderId="2" xfId="0" applyNumberFormat="1" applyFont="1" applyBorder="1" applyAlignment="1">
      <alignment horizontal="center" vertical="center" wrapText="1"/>
    </xf>
    <xf numFmtId="0" fontId="21" fillId="0" borderId="4" xfId="0" applyNumberFormat="1" applyFont="1" applyBorder="1" applyAlignment="1">
      <alignment horizontal="center" vertical="center" wrapText="1"/>
    </xf>
    <xf numFmtId="0" fontId="21" fillId="0" borderId="3" xfId="0" applyNumberFormat="1" applyFont="1" applyBorder="1" applyAlignment="1">
      <alignment horizontal="center" vertical="center"/>
    </xf>
    <xf numFmtId="0" fontId="21" fillId="0" borderId="2" xfId="0" applyNumberFormat="1" applyFont="1" applyBorder="1" applyAlignment="1">
      <alignment horizontal="center" vertical="center"/>
    </xf>
    <xf numFmtId="0" fontId="21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176" fontId="25" fillId="3" borderId="1" xfId="0" applyFont="1" applyFill="1" applyBorder="1" applyAlignment="1">
      <alignment horizontal="center" vertical="center"/>
    </xf>
    <xf numFmtId="10" fontId="21" fillId="3" borderId="1" xfId="0" applyNumberFormat="1" applyFont="1" applyFill="1" applyBorder="1" applyAlignment="1">
      <alignment horizontal="center" vertical="center"/>
    </xf>
    <xf numFmtId="10" fontId="21" fillId="7" borderId="1" xfId="0" applyNumberFormat="1" applyFont="1" applyFill="1" applyBorder="1" applyAlignment="1">
      <alignment horizontal="center" vertical="center"/>
    </xf>
    <xf numFmtId="0" fontId="21" fillId="5" borderId="3" xfId="18" applyNumberFormat="1" applyFont="1" applyFill="1" applyBorder="1" applyAlignment="1">
      <alignment horizontal="center" vertical="center" wrapText="1"/>
    </xf>
    <xf numFmtId="0" fontId="21" fillId="5" borderId="2" xfId="18" applyNumberFormat="1" applyFont="1" applyFill="1" applyBorder="1" applyAlignment="1">
      <alignment horizontal="center" vertical="center" wrapText="1"/>
    </xf>
    <xf numFmtId="0" fontId="21" fillId="5" borderId="4" xfId="18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/>
    </xf>
    <xf numFmtId="176" fontId="3" fillId="3" borderId="1" xfId="0" applyFont="1" applyFill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0" fontId="21" fillId="0" borderId="1" xfId="0" applyNumberFormat="1" applyFont="1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/>
    </xf>
    <xf numFmtId="0" fontId="12" fillId="17" borderId="5" xfId="0" applyNumberFormat="1" applyFont="1" applyFill="1" applyBorder="1" applyAlignment="1">
      <alignment horizontal="center" vertical="center"/>
    </xf>
    <xf numFmtId="0" fontId="0" fillId="17" borderId="6" xfId="0" applyNumberFormat="1" applyFill="1" applyBorder="1" applyAlignment="1">
      <alignment horizontal="center" vertical="center"/>
    </xf>
    <xf numFmtId="0" fontId="0" fillId="17" borderId="7" xfId="0" applyNumberFormat="1" applyFill="1" applyBorder="1" applyAlignment="1">
      <alignment horizontal="center" vertical="center"/>
    </xf>
    <xf numFmtId="176" fontId="12" fillId="10" borderId="3" xfId="0" applyFont="1" applyFill="1" applyBorder="1" applyAlignment="1">
      <alignment horizontal="center" vertical="center"/>
    </xf>
    <xf numFmtId="176" fontId="0" fillId="10" borderId="4" xfId="0" applyFill="1" applyBorder="1" applyAlignment="1">
      <alignment horizontal="center" vertical="center"/>
    </xf>
    <xf numFmtId="176" fontId="12" fillId="18" borderId="1" xfId="0" applyFont="1" applyFill="1" applyBorder="1" applyAlignment="1">
      <alignment horizontal="center" vertical="center"/>
    </xf>
    <xf numFmtId="176" fontId="0" fillId="18" borderId="1" xfId="0" applyFill="1" applyBorder="1" applyAlignment="1">
      <alignment horizontal="center" vertical="center"/>
    </xf>
    <xf numFmtId="176" fontId="33" fillId="14" borderId="5" xfId="0" applyFont="1" applyFill="1" applyBorder="1" applyAlignment="1">
      <alignment horizontal="center" vertical="center"/>
    </xf>
    <xf numFmtId="176" fontId="33" fillId="14" borderId="6" xfId="0" applyFont="1" applyFill="1" applyBorder="1" applyAlignment="1">
      <alignment horizontal="center" vertical="center"/>
    </xf>
    <xf numFmtId="176" fontId="33" fillId="14" borderId="7" xfId="0" applyFont="1" applyFill="1" applyBorder="1" applyAlignment="1">
      <alignment horizontal="center" vertical="center"/>
    </xf>
    <xf numFmtId="176" fontId="4" fillId="13" borderId="3" xfId="0" applyFont="1" applyFill="1" applyBorder="1" applyAlignment="1">
      <alignment horizontal="center" vertical="center"/>
    </xf>
    <xf numFmtId="176" fontId="4" fillId="13" borderId="4" xfId="0" applyFont="1" applyFill="1" applyBorder="1" applyAlignment="1">
      <alignment horizontal="center" vertical="center"/>
    </xf>
    <xf numFmtId="176" fontId="4" fillId="11" borderId="3" xfId="0" applyFont="1" applyFill="1" applyBorder="1" applyAlignment="1">
      <alignment horizontal="center" vertical="center"/>
    </xf>
    <xf numFmtId="176" fontId="4" fillId="11" borderId="4" xfId="0" applyFont="1" applyFill="1" applyBorder="1" applyAlignment="1">
      <alignment horizontal="center" vertical="center"/>
    </xf>
    <xf numFmtId="176" fontId="4" fillId="12" borderId="3" xfId="0" applyFont="1" applyFill="1" applyBorder="1" applyAlignment="1">
      <alignment horizontal="center" vertical="center"/>
    </xf>
    <xf numFmtId="176" fontId="4" fillId="12" borderId="4" xfId="0" applyFont="1" applyFill="1" applyBorder="1" applyAlignment="1">
      <alignment horizontal="center" vertical="center"/>
    </xf>
  </cellXfs>
  <cellStyles count="33">
    <cellStyle name="常规" xfId="0" builtinId="0"/>
    <cellStyle name="常规 10" xfId="7" xr:uid="{00000000-0005-0000-0000-000001000000}"/>
    <cellStyle name="常规 10 2" xfId="21" xr:uid="{00000000-0005-0000-0000-000002000000}"/>
    <cellStyle name="常规 11" xfId="8" xr:uid="{00000000-0005-0000-0000-000003000000}"/>
    <cellStyle name="常规 11 2" xfId="22" xr:uid="{00000000-0005-0000-0000-000004000000}"/>
    <cellStyle name="常规 12" xfId="2" xr:uid="{00000000-0005-0000-0000-000005000000}"/>
    <cellStyle name="常规 12 2" xfId="20" xr:uid="{00000000-0005-0000-0000-000006000000}"/>
    <cellStyle name="常规 13" xfId="9" xr:uid="{00000000-0005-0000-0000-000007000000}"/>
    <cellStyle name="常规 14" xfId="16" xr:uid="{00000000-0005-0000-0000-000008000000}"/>
    <cellStyle name="常规 15" xfId="32" xr:uid="{00000000-0005-0000-0000-000009000000}"/>
    <cellStyle name="常规 2" xfId="10" xr:uid="{00000000-0005-0000-0000-00000A000000}"/>
    <cellStyle name="常规 2 2" xfId="5" xr:uid="{00000000-0005-0000-0000-00000B000000}"/>
    <cellStyle name="常规 2 2 2" xfId="17" xr:uid="{00000000-0005-0000-0000-00000C000000}"/>
    <cellStyle name="常规 2 3" xfId="6" xr:uid="{00000000-0005-0000-0000-00000D000000}"/>
    <cellStyle name="常规 2 3 2" xfId="24" xr:uid="{00000000-0005-0000-0000-00000E000000}"/>
    <cellStyle name="常规 2 4" xfId="23" xr:uid="{00000000-0005-0000-0000-00000F000000}"/>
    <cellStyle name="常规 3" xfId="11" xr:uid="{00000000-0005-0000-0000-000010000000}"/>
    <cellStyle name="常规 3 2" xfId="18" xr:uid="{00000000-0005-0000-0000-000011000000}"/>
    <cellStyle name="常规 4" xfId="12" xr:uid="{00000000-0005-0000-0000-000012000000}"/>
    <cellStyle name="常规 4 2" xfId="13" xr:uid="{00000000-0005-0000-0000-000013000000}"/>
    <cellStyle name="常规 4 2 2" xfId="25" xr:uid="{00000000-0005-0000-0000-000014000000}"/>
    <cellStyle name="常规 4 3" xfId="19" xr:uid="{00000000-0005-0000-0000-000015000000}"/>
    <cellStyle name="常规 4 4" xfId="31" xr:uid="{00000000-0005-0000-0000-000016000000}"/>
    <cellStyle name="常规 5" xfId="14" xr:uid="{00000000-0005-0000-0000-000017000000}"/>
    <cellStyle name="常规 5 2" xfId="26" xr:uid="{00000000-0005-0000-0000-000018000000}"/>
    <cellStyle name="常规 6" xfId="1" xr:uid="{00000000-0005-0000-0000-000019000000}"/>
    <cellStyle name="常规 6 2" xfId="27" xr:uid="{00000000-0005-0000-0000-00001A000000}"/>
    <cellStyle name="常规 7" xfId="15" xr:uid="{00000000-0005-0000-0000-00001B000000}"/>
    <cellStyle name="常规 7 2" xfId="28" xr:uid="{00000000-0005-0000-0000-00001C000000}"/>
    <cellStyle name="常规 8" xfId="3" xr:uid="{00000000-0005-0000-0000-00001D000000}"/>
    <cellStyle name="常规 8 2" xfId="29" xr:uid="{00000000-0005-0000-0000-00001E000000}"/>
    <cellStyle name="常规 9" xfId="4" xr:uid="{00000000-0005-0000-0000-00001F000000}"/>
    <cellStyle name="常规 9 2" xfId="30" xr:uid="{00000000-0005-0000-0000-000020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5.png"/><Relationship Id="rId7" Type="http://schemas.openxmlformats.org/officeDocument/2006/relationships/image" Target="../media/image22.jpe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21.jpeg"/><Relationship Id="rId5" Type="http://schemas.openxmlformats.org/officeDocument/2006/relationships/image" Target="../media/image14.png"/><Relationship Id="rId4" Type="http://schemas.openxmlformats.org/officeDocument/2006/relationships/image" Target="../media/image6.png"/><Relationship Id="rId9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5.png"/><Relationship Id="rId7" Type="http://schemas.openxmlformats.org/officeDocument/2006/relationships/image" Target="../media/image2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23.png"/><Relationship Id="rId5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305865</xdr:colOff>
      <xdr:row>44</xdr:row>
      <xdr:rowOff>259773</xdr:rowOff>
    </xdr:from>
    <xdr:to>
      <xdr:col>12</xdr:col>
      <xdr:colOff>1180813</xdr:colOff>
      <xdr:row>44</xdr:row>
      <xdr:rowOff>818405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/>
        <a:stretch>
          <a:fillRect/>
        </a:stretch>
      </xdr:blipFill>
      <xdr:spPr>
        <a:xfrm>
          <a:off x="10173335" y="22174835"/>
          <a:ext cx="875030" cy="558165"/>
        </a:xfrm>
        <a:prstGeom prst="rect">
          <a:avLst/>
        </a:prstGeom>
      </xdr:spPr>
    </xdr:pic>
    <xdr:clientData/>
  </xdr:twoCellAnchor>
  <xdr:twoCellAnchor editAs="oneCell">
    <xdr:from>
      <xdr:col>12</xdr:col>
      <xdr:colOff>172150</xdr:colOff>
      <xdr:row>42</xdr:row>
      <xdr:rowOff>89065</xdr:rowOff>
    </xdr:from>
    <xdr:to>
      <xdr:col>12</xdr:col>
      <xdr:colOff>1356209</xdr:colOff>
      <xdr:row>42</xdr:row>
      <xdr:rowOff>932708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hqprint"/>
        <a:srcRect r="-1265"/>
        <a:stretch>
          <a:fillRect/>
        </a:stretch>
      </xdr:blipFill>
      <xdr:spPr>
        <a:xfrm>
          <a:off x="10039985" y="20986750"/>
          <a:ext cx="1183640" cy="843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13606</xdr:colOff>
      <xdr:row>46</xdr:row>
      <xdr:rowOff>169470</xdr:rowOff>
    </xdr:from>
    <xdr:to>
      <xdr:col>12</xdr:col>
      <xdr:colOff>1432921</xdr:colOff>
      <xdr:row>46</xdr:row>
      <xdr:rowOff>768183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1235" y="24118570"/>
          <a:ext cx="1419225" cy="598805"/>
        </a:xfrm>
        <a:prstGeom prst="rect">
          <a:avLst/>
        </a:prstGeom>
      </xdr:spPr>
    </xdr:pic>
    <xdr:clientData/>
  </xdr:twoCellAnchor>
  <xdr:twoCellAnchor editAs="oneCell">
    <xdr:from>
      <xdr:col>12</xdr:col>
      <xdr:colOff>195666</xdr:colOff>
      <xdr:row>47</xdr:row>
      <xdr:rowOff>242126</xdr:rowOff>
    </xdr:from>
    <xdr:to>
      <xdr:col>12</xdr:col>
      <xdr:colOff>1315163</xdr:colOff>
      <xdr:row>47</xdr:row>
      <xdr:rowOff>771103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63480" y="25208865"/>
          <a:ext cx="1119505" cy="528955"/>
        </a:xfrm>
        <a:prstGeom prst="rect">
          <a:avLst/>
        </a:prstGeom>
      </xdr:spPr>
    </xdr:pic>
    <xdr:clientData/>
  </xdr:twoCellAnchor>
  <xdr:twoCellAnchor editAs="oneCell">
    <xdr:from>
      <xdr:col>12</xdr:col>
      <xdr:colOff>81643</xdr:colOff>
      <xdr:row>48</xdr:row>
      <xdr:rowOff>111376</xdr:rowOff>
    </xdr:from>
    <xdr:to>
      <xdr:col>12</xdr:col>
      <xdr:colOff>1419472</xdr:colOff>
      <xdr:row>48</xdr:row>
      <xdr:rowOff>774371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49180" y="26095325"/>
          <a:ext cx="1337945" cy="662940"/>
        </a:xfrm>
        <a:prstGeom prst="rect">
          <a:avLst/>
        </a:prstGeom>
      </xdr:spPr>
    </xdr:pic>
    <xdr:clientData/>
  </xdr:twoCellAnchor>
  <xdr:twoCellAnchor editAs="oneCell">
    <xdr:from>
      <xdr:col>12</xdr:col>
      <xdr:colOff>29691</xdr:colOff>
      <xdr:row>49</xdr:row>
      <xdr:rowOff>107086</xdr:rowOff>
    </xdr:from>
    <xdr:to>
      <xdr:col>12</xdr:col>
      <xdr:colOff>1306476</xdr:colOff>
      <xdr:row>49</xdr:row>
      <xdr:rowOff>899308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97110" y="27108150"/>
          <a:ext cx="1276985" cy="792480"/>
        </a:xfrm>
        <a:prstGeom prst="rect">
          <a:avLst/>
        </a:prstGeom>
      </xdr:spPr>
    </xdr:pic>
    <xdr:clientData/>
  </xdr:twoCellAnchor>
  <xdr:twoCellAnchor editAs="oneCell">
    <xdr:from>
      <xdr:col>8</xdr:col>
      <xdr:colOff>123264</xdr:colOff>
      <xdr:row>13</xdr:row>
      <xdr:rowOff>851646</xdr:rowOff>
    </xdr:from>
    <xdr:to>
      <xdr:col>8</xdr:col>
      <xdr:colOff>1410597</xdr:colOff>
      <xdr:row>15</xdr:row>
      <xdr:rowOff>40901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71490" y="2421255"/>
          <a:ext cx="1287145" cy="1223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123265</xdr:colOff>
      <xdr:row>18</xdr:row>
      <xdr:rowOff>958680</xdr:rowOff>
    </xdr:from>
    <xdr:to>
      <xdr:col>8</xdr:col>
      <xdr:colOff>1311088</xdr:colOff>
      <xdr:row>20</xdr:row>
      <xdr:rowOff>558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71490" y="7614285"/>
          <a:ext cx="11874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403413</xdr:colOff>
      <xdr:row>12</xdr:row>
      <xdr:rowOff>33619</xdr:rowOff>
    </xdr:from>
    <xdr:to>
      <xdr:col>12</xdr:col>
      <xdr:colOff>1087965</xdr:colOff>
      <xdr:row>12</xdr:row>
      <xdr:rowOff>933619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71125" y="585470"/>
          <a:ext cx="684530" cy="900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381000</xdr:colOff>
      <xdr:row>13</xdr:row>
      <xdr:rowOff>67236</xdr:rowOff>
    </xdr:from>
    <xdr:to>
      <xdr:col>12</xdr:col>
      <xdr:colOff>1109146</xdr:colOff>
      <xdr:row>13</xdr:row>
      <xdr:rowOff>967236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48900" y="1636395"/>
          <a:ext cx="727710" cy="900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280147</xdr:colOff>
      <xdr:row>14</xdr:row>
      <xdr:rowOff>89647</xdr:rowOff>
    </xdr:from>
    <xdr:to>
      <xdr:col>12</xdr:col>
      <xdr:colOff>1066355</xdr:colOff>
      <xdr:row>14</xdr:row>
      <xdr:rowOff>989647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47935" y="2676525"/>
          <a:ext cx="786130" cy="89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448235</xdr:colOff>
      <xdr:row>15</xdr:row>
      <xdr:rowOff>56030</xdr:rowOff>
    </xdr:from>
    <xdr:to>
      <xdr:col>12</xdr:col>
      <xdr:colOff>1125483</xdr:colOff>
      <xdr:row>15</xdr:row>
      <xdr:rowOff>956030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15575" y="3660140"/>
          <a:ext cx="677545" cy="89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246530</xdr:colOff>
      <xdr:row>16</xdr:row>
      <xdr:rowOff>67235</xdr:rowOff>
    </xdr:from>
    <xdr:to>
      <xdr:col>12</xdr:col>
      <xdr:colOff>1262105</xdr:colOff>
      <xdr:row>16</xdr:row>
      <xdr:rowOff>967235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14280" y="4688205"/>
          <a:ext cx="1015365" cy="900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369795</xdr:colOff>
      <xdr:row>17</xdr:row>
      <xdr:rowOff>67236</xdr:rowOff>
    </xdr:from>
    <xdr:to>
      <xdr:col>12</xdr:col>
      <xdr:colOff>1054347</xdr:colOff>
      <xdr:row>17</xdr:row>
      <xdr:rowOff>967236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237470" y="5705475"/>
          <a:ext cx="684530" cy="900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347382</xdr:colOff>
      <xdr:row>18</xdr:row>
      <xdr:rowOff>100853</xdr:rowOff>
    </xdr:from>
    <xdr:to>
      <xdr:col>12</xdr:col>
      <xdr:colOff>1075528</xdr:colOff>
      <xdr:row>18</xdr:row>
      <xdr:rowOff>1000853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215245" y="6756400"/>
          <a:ext cx="727710" cy="900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324970</xdr:colOff>
      <xdr:row>19</xdr:row>
      <xdr:rowOff>56029</xdr:rowOff>
    </xdr:from>
    <xdr:to>
      <xdr:col>12</xdr:col>
      <xdr:colOff>1111178</xdr:colOff>
      <xdr:row>19</xdr:row>
      <xdr:rowOff>956029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192385" y="7729220"/>
          <a:ext cx="786130" cy="89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414617</xdr:colOff>
      <xdr:row>20</xdr:row>
      <xdr:rowOff>89646</xdr:rowOff>
    </xdr:from>
    <xdr:to>
      <xdr:col>12</xdr:col>
      <xdr:colOff>1091865</xdr:colOff>
      <xdr:row>20</xdr:row>
      <xdr:rowOff>989646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281920" y="8780145"/>
          <a:ext cx="677545" cy="89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212912</xdr:colOff>
      <xdr:row>21</xdr:row>
      <xdr:rowOff>100852</xdr:rowOff>
    </xdr:from>
    <xdr:to>
      <xdr:col>12</xdr:col>
      <xdr:colOff>1228487</xdr:colOff>
      <xdr:row>21</xdr:row>
      <xdr:rowOff>1000852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080625" y="9808210"/>
          <a:ext cx="1015365" cy="900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235325</xdr:colOff>
      <xdr:row>45</xdr:row>
      <xdr:rowOff>112059</xdr:rowOff>
    </xdr:from>
    <xdr:to>
      <xdr:col>12</xdr:col>
      <xdr:colOff>1244229</xdr:colOff>
      <xdr:row>45</xdr:row>
      <xdr:rowOff>930089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102850" y="23044150"/>
          <a:ext cx="1009015" cy="817880"/>
        </a:xfrm>
        <a:prstGeom prst="rect">
          <a:avLst/>
        </a:prstGeom>
      </xdr:spPr>
    </xdr:pic>
    <xdr:clientData/>
  </xdr:twoCellAnchor>
  <xdr:oneCellAnchor>
    <xdr:from>
      <xdr:col>8</xdr:col>
      <xdr:colOff>123264</xdr:colOff>
      <xdr:row>23</xdr:row>
      <xdr:rowOff>851646</xdr:rowOff>
    </xdr:from>
    <xdr:ext cx="1287333" cy="1206313"/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71490" y="12593955"/>
          <a:ext cx="1287145" cy="1205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123265</xdr:colOff>
      <xdr:row>38</xdr:row>
      <xdr:rowOff>958680</xdr:rowOff>
    </xdr:from>
    <xdr:ext cx="1187823" cy="1058937"/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71490" y="17786985"/>
          <a:ext cx="1187450" cy="1059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403413</xdr:colOff>
      <xdr:row>22</xdr:row>
      <xdr:rowOff>33619</xdr:rowOff>
    </xdr:from>
    <xdr:ext cx="684552" cy="900000"/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71125" y="10758170"/>
          <a:ext cx="684530" cy="900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381000</xdr:colOff>
      <xdr:row>23</xdr:row>
      <xdr:rowOff>67236</xdr:rowOff>
    </xdr:from>
    <xdr:ext cx="728146" cy="900000"/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48900" y="11809095"/>
          <a:ext cx="727710" cy="900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280147</xdr:colOff>
      <xdr:row>24</xdr:row>
      <xdr:rowOff>89647</xdr:rowOff>
    </xdr:from>
    <xdr:ext cx="786208" cy="900000"/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47935" y="12849225"/>
          <a:ext cx="786130" cy="89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448235</xdr:colOff>
      <xdr:row>25</xdr:row>
      <xdr:rowOff>56030</xdr:rowOff>
    </xdr:from>
    <xdr:ext cx="677248" cy="900000"/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15575" y="13832840"/>
          <a:ext cx="677545" cy="89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369795</xdr:colOff>
      <xdr:row>37</xdr:row>
      <xdr:rowOff>67236</xdr:rowOff>
    </xdr:from>
    <xdr:ext cx="684552" cy="900000"/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237470" y="15878175"/>
          <a:ext cx="684530" cy="900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347382</xdr:colOff>
      <xdr:row>38</xdr:row>
      <xdr:rowOff>100853</xdr:rowOff>
    </xdr:from>
    <xdr:ext cx="728146" cy="900000"/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215245" y="16929100"/>
          <a:ext cx="727710" cy="900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324970</xdr:colOff>
      <xdr:row>39</xdr:row>
      <xdr:rowOff>56029</xdr:rowOff>
    </xdr:from>
    <xdr:ext cx="786208" cy="900000"/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192385" y="17901920"/>
          <a:ext cx="786130" cy="89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414617</xdr:colOff>
      <xdr:row>40</xdr:row>
      <xdr:rowOff>89646</xdr:rowOff>
    </xdr:from>
    <xdr:ext cx="677248" cy="900000"/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281920" y="18952845"/>
          <a:ext cx="677545" cy="89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93722</xdr:colOff>
      <xdr:row>26</xdr:row>
      <xdr:rowOff>280146</xdr:rowOff>
    </xdr:from>
    <xdr:to>
      <xdr:col>12</xdr:col>
      <xdr:colOff>1427796</xdr:colOff>
      <xdr:row>26</xdr:row>
      <xdr:rowOff>710045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61245" y="15074265"/>
          <a:ext cx="1334135" cy="429895"/>
        </a:xfrm>
        <a:prstGeom prst="rect">
          <a:avLst/>
        </a:prstGeom>
      </xdr:spPr>
    </xdr:pic>
    <xdr:clientData/>
  </xdr:twoCellAnchor>
  <xdr:twoCellAnchor editAs="oneCell">
    <xdr:from>
      <xdr:col>12</xdr:col>
      <xdr:colOff>43807</xdr:colOff>
      <xdr:row>41</xdr:row>
      <xdr:rowOff>297467</xdr:rowOff>
    </xdr:from>
    <xdr:to>
      <xdr:col>12</xdr:col>
      <xdr:colOff>1377306</xdr:colOff>
      <xdr:row>41</xdr:row>
      <xdr:rowOff>763343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r="4741"/>
        <a:stretch>
          <a:fillRect/>
        </a:stretch>
      </xdr:blipFill>
      <xdr:spPr>
        <a:xfrm>
          <a:off x="9911080" y="20177760"/>
          <a:ext cx="1333500" cy="466090"/>
        </a:xfrm>
        <a:prstGeom prst="rect">
          <a:avLst/>
        </a:prstGeom>
      </xdr:spPr>
    </xdr:pic>
    <xdr:clientData/>
  </xdr:twoCellAnchor>
  <xdr:oneCellAnchor>
    <xdr:from>
      <xdr:col>12</xdr:col>
      <xdr:colOff>291353</xdr:colOff>
      <xdr:row>54</xdr:row>
      <xdr:rowOff>280147</xdr:rowOff>
    </xdr:from>
    <xdr:ext cx="874948" cy="558632"/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/>
        <a:stretch>
          <a:fillRect/>
        </a:stretch>
      </xdr:blipFill>
      <xdr:spPr>
        <a:xfrm>
          <a:off x="10568828" y="36170347"/>
          <a:ext cx="874948" cy="558632"/>
        </a:xfrm>
        <a:prstGeom prst="rect">
          <a:avLst/>
        </a:prstGeom>
      </xdr:spPr>
    </xdr:pic>
    <xdr:clientData/>
  </xdr:oneCellAnchor>
  <xdr:oneCellAnchor>
    <xdr:from>
      <xdr:col>12</xdr:col>
      <xdr:colOff>65590</xdr:colOff>
      <xdr:row>50</xdr:row>
      <xdr:rowOff>201706</xdr:rowOff>
    </xdr:from>
    <xdr:ext cx="1286490" cy="542683"/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41384" y="33023735"/>
          <a:ext cx="1286490" cy="542683"/>
        </a:xfrm>
        <a:prstGeom prst="rect">
          <a:avLst/>
        </a:prstGeom>
      </xdr:spPr>
    </xdr:pic>
    <xdr:clientData/>
  </xdr:oneCellAnchor>
  <xdr:oneCellAnchor>
    <xdr:from>
      <xdr:col>12</xdr:col>
      <xdr:colOff>145676</xdr:colOff>
      <xdr:row>51</xdr:row>
      <xdr:rowOff>268941</xdr:rowOff>
    </xdr:from>
    <xdr:ext cx="1119497" cy="528977"/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21470" y="34099500"/>
          <a:ext cx="1119497" cy="528977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53</xdr:row>
      <xdr:rowOff>118202</xdr:rowOff>
    </xdr:from>
    <xdr:ext cx="1086285" cy="674020"/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66294" y="35965820"/>
          <a:ext cx="1086285" cy="674020"/>
        </a:xfrm>
        <a:prstGeom prst="rect">
          <a:avLst/>
        </a:prstGeom>
      </xdr:spPr>
    </xdr:pic>
    <xdr:clientData/>
  </xdr:oneCellAnchor>
  <xdr:oneCellAnchor>
    <xdr:from>
      <xdr:col>12</xdr:col>
      <xdr:colOff>102055</xdr:colOff>
      <xdr:row>52</xdr:row>
      <xdr:rowOff>201706</xdr:rowOff>
    </xdr:from>
    <xdr:ext cx="1202156" cy="595759"/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77849" y="35040794"/>
          <a:ext cx="1202156" cy="595759"/>
        </a:xfrm>
        <a:prstGeom prst="rect">
          <a:avLst/>
        </a:prstGeom>
      </xdr:spPr>
    </xdr:pic>
    <xdr:clientData/>
  </xdr:oneCellAnchor>
  <xdr:oneCellAnchor>
    <xdr:from>
      <xdr:col>12</xdr:col>
      <xdr:colOff>403413</xdr:colOff>
      <xdr:row>27</xdr:row>
      <xdr:rowOff>33619</xdr:rowOff>
    </xdr:from>
    <xdr:ext cx="684552" cy="900000"/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90413" y="10632346"/>
          <a:ext cx="684552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381000</xdr:colOff>
      <xdr:row>28</xdr:row>
      <xdr:rowOff>67236</xdr:rowOff>
    </xdr:from>
    <xdr:ext cx="728146" cy="900000"/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00" y="11670418"/>
          <a:ext cx="728146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280147</xdr:colOff>
      <xdr:row>29</xdr:row>
      <xdr:rowOff>89647</xdr:rowOff>
    </xdr:from>
    <xdr:ext cx="786208" cy="900000"/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67147" y="12697283"/>
          <a:ext cx="786208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448235</xdr:colOff>
      <xdr:row>30</xdr:row>
      <xdr:rowOff>56030</xdr:rowOff>
    </xdr:from>
    <xdr:ext cx="677248" cy="900000"/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35235" y="13668121"/>
          <a:ext cx="677248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123265</xdr:colOff>
      <xdr:row>33</xdr:row>
      <xdr:rowOff>958680</xdr:rowOff>
    </xdr:from>
    <xdr:ext cx="1187823" cy="1058937"/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78492" y="27628680"/>
          <a:ext cx="1187823" cy="1058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369795</xdr:colOff>
      <xdr:row>32</xdr:row>
      <xdr:rowOff>67236</xdr:rowOff>
    </xdr:from>
    <xdr:ext cx="684552" cy="900000"/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656795" y="25732781"/>
          <a:ext cx="684552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347382</xdr:colOff>
      <xdr:row>33</xdr:row>
      <xdr:rowOff>100853</xdr:rowOff>
    </xdr:from>
    <xdr:ext cx="728146" cy="900000"/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634382" y="26770853"/>
          <a:ext cx="728146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324970</xdr:colOff>
      <xdr:row>34</xdr:row>
      <xdr:rowOff>56029</xdr:rowOff>
    </xdr:from>
    <xdr:ext cx="786208" cy="900000"/>
    <xdr:pic>
      <xdr:nvPicPr>
        <xdr:cNvPr id="60" name="图片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611970" y="27730484"/>
          <a:ext cx="786208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414617</xdr:colOff>
      <xdr:row>35</xdr:row>
      <xdr:rowOff>89646</xdr:rowOff>
    </xdr:from>
    <xdr:ext cx="677248" cy="900000"/>
    <xdr:pic>
      <xdr:nvPicPr>
        <xdr:cNvPr id="61" name="图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10701617" y="28768555"/>
          <a:ext cx="677248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43807</xdr:colOff>
      <xdr:row>36</xdr:row>
      <xdr:rowOff>297467</xdr:rowOff>
    </xdr:from>
    <xdr:ext cx="1333499" cy="465876"/>
    <xdr:pic>
      <xdr:nvPicPr>
        <xdr:cNvPr id="66" name="图片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r="4741"/>
        <a:stretch>
          <a:fillRect/>
        </a:stretch>
      </xdr:blipFill>
      <xdr:spPr>
        <a:xfrm>
          <a:off x="10330807" y="29980831"/>
          <a:ext cx="1333499" cy="465876"/>
        </a:xfrm>
        <a:prstGeom prst="rect">
          <a:avLst/>
        </a:prstGeom>
      </xdr:spPr>
    </xdr:pic>
    <xdr:clientData/>
  </xdr:oneCellAnchor>
  <xdr:oneCellAnchor>
    <xdr:from>
      <xdr:col>12</xdr:col>
      <xdr:colOff>93722</xdr:colOff>
      <xdr:row>31</xdr:row>
      <xdr:rowOff>280146</xdr:rowOff>
    </xdr:from>
    <xdr:ext cx="1334074" cy="429899"/>
    <xdr:pic>
      <xdr:nvPicPr>
        <xdr:cNvPr id="67" name="图片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80722" y="14896691"/>
          <a:ext cx="1334074" cy="429899"/>
        </a:xfrm>
        <a:prstGeom prst="rect">
          <a:avLst/>
        </a:prstGeom>
      </xdr:spPr>
    </xdr:pic>
    <xdr:clientData/>
  </xdr:oneCellAnchor>
  <xdr:oneCellAnchor>
    <xdr:from>
      <xdr:col>8</xdr:col>
      <xdr:colOff>123264</xdr:colOff>
      <xdr:row>28</xdr:row>
      <xdr:rowOff>851646</xdr:rowOff>
    </xdr:from>
    <xdr:ext cx="1287333" cy="1206313"/>
    <xdr:pic>
      <xdr:nvPicPr>
        <xdr:cNvPr id="68" name="图片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78491" y="12454828"/>
          <a:ext cx="1287333" cy="1206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147593</xdr:colOff>
      <xdr:row>43</xdr:row>
      <xdr:rowOff>113393</xdr:rowOff>
    </xdr:from>
    <xdr:to>
      <xdr:col>12</xdr:col>
      <xdr:colOff>1331652</xdr:colOff>
      <xdr:row>43</xdr:row>
      <xdr:rowOff>957036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hqprint"/>
        <a:srcRect r="-1265"/>
        <a:stretch>
          <a:fillRect/>
        </a:stretch>
      </xdr:blipFill>
      <xdr:spPr>
        <a:xfrm>
          <a:off x="10570664" y="31886072"/>
          <a:ext cx="1184059" cy="843643"/>
        </a:xfrm>
        <a:prstGeom prst="rect">
          <a:avLst/>
        </a:prstGeom>
      </xdr:spPr>
    </xdr:pic>
    <xdr:clientData/>
  </xdr:twoCellAnchor>
  <xdr:twoCellAnchor editAs="oneCell">
    <xdr:from>
      <xdr:col>12</xdr:col>
      <xdr:colOff>312964</xdr:colOff>
      <xdr:row>55</xdr:row>
      <xdr:rowOff>128999</xdr:rowOff>
    </xdr:from>
    <xdr:to>
      <xdr:col>12</xdr:col>
      <xdr:colOff>1156607</xdr:colOff>
      <xdr:row>55</xdr:row>
      <xdr:rowOff>777750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1E867D89-FC2F-B9D4-816D-8CFF86CF8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736035" y="56067963"/>
          <a:ext cx="843643" cy="648751"/>
        </a:xfrm>
        <a:prstGeom prst="rect">
          <a:avLst/>
        </a:prstGeom>
      </xdr:spPr>
    </xdr:pic>
    <xdr:clientData/>
  </xdr:twoCellAnchor>
  <xdr:twoCellAnchor editAs="oneCell">
    <xdr:from>
      <xdr:col>12</xdr:col>
      <xdr:colOff>353788</xdr:colOff>
      <xdr:row>56</xdr:row>
      <xdr:rowOff>149678</xdr:rowOff>
    </xdr:from>
    <xdr:to>
      <xdr:col>12</xdr:col>
      <xdr:colOff>1128771</xdr:colOff>
      <xdr:row>56</xdr:row>
      <xdr:rowOff>789714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B3491015-A4E0-A7A4-47C1-F8B5F8A80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776859" y="57095571"/>
          <a:ext cx="774983" cy="640036"/>
        </a:xfrm>
        <a:prstGeom prst="rect">
          <a:avLst/>
        </a:prstGeom>
      </xdr:spPr>
    </xdr:pic>
    <xdr:clientData/>
  </xdr:twoCellAnchor>
  <xdr:twoCellAnchor editAs="oneCell">
    <xdr:from>
      <xdr:col>12</xdr:col>
      <xdr:colOff>176893</xdr:colOff>
      <xdr:row>57</xdr:row>
      <xdr:rowOff>185128</xdr:rowOff>
    </xdr:from>
    <xdr:to>
      <xdr:col>12</xdr:col>
      <xdr:colOff>1292679</xdr:colOff>
      <xdr:row>57</xdr:row>
      <xdr:rowOff>810333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8F4B1BF0-9E12-2259-B985-5AB46B6EC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99964" y="58137949"/>
          <a:ext cx="1115786" cy="625205"/>
        </a:xfrm>
        <a:prstGeom prst="rect">
          <a:avLst/>
        </a:prstGeom>
      </xdr:spPr>
    </xdr:pic>
    <xdr:clientData/>
  </xdr:twoCellAnchor>
  <xdr:twoCellAnchor editAs="oneCell">
    <xdr:from>
      <xdr:col>12</xdr:col>
      <xdr:colOff>217714</xdr:colOff>
      <xdr:row>58</xdr:row>
      <xdr:rowOff>137390</xdr:rowOff>
    </xdr:from>
    <xdr:to>
      <xdr:col>12</xdr:col>
      <xdr:colOff>1224644</xdr:colOff>
      <xdr:row>58</xdr:row>
      <xdr:rowOff>814464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439571B5-1CE7-5295-3157-7896F5507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640785" y="59097140"/>
          <a:ext cx="1006930" cy="677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367392</xdr:colOff>
      <xdr:row>2</xdr:row>
      <xdr:rowOff>190500</xdr:rowOff>
    </xdr:from>
    <xdr:to>
      <xdr:col>7</xdr:col>
      <xdr:colOff>2000250</xdr:colOff>
      <xdr:row>2</xdr:row>
      <xdr:rowOff>879293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8192" y="2533650"/>
          <a:ext cx="1632858" cy="688793"/>
        </a:xfrm>
        <a:prstGeom prst="rect">
          <a:avLst/>
        </a:prstGeom>
      </xdr:spPr>
    </xdr:pic>
    <xdr:clientData/>
  </xdr:twoCellAnchor>
  <xdr:twoCellAnchor editAs="oneCell">
    <xdr:from>
      <xdr:col>7</xdr:col>
      <xdr:colOff>340177</xdr:colOff>
      <xdr:row>3</xdr:row>
      <xdr:rowOff>163285</xdr:rowOff>
    </xdr:from>
    <xdr:to>
      <xdr:col>7</xdr:col>
      <xdr:colOff>1837640</xdr:colOff>
      <xdr:row>3</xdr:row>
      <xdr:rowOff>870856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0977" y="3563710"/>
          <a:ext cx="1497463" cy="707571"/>
        </a:xfrm>
        <a:prstGeom prst="rect">
          <a:avLst/>
        </a:prstGeom>
      </xdr:spPr>
    </xdr:pic>
    <xdr:clientData/>
  </xdr:twoCellAnchor>
  <xdr:twoCellAnchor editAs="oneCell">
    <xdr:from>
      <xdr:col>7</xdr:col>
      <xdr:colOff>340178</xdr:colOff>
      <xdr:row>4</xdr:row>
      <xdr:rowOff>180648</xdr:rowOff>
    </xdr:from>
    <xdr:to>
      <xdr:col>7</xdr:col>
      <xdr:colOff>1864178</xdr:colOff>
      <xdr:row>4</xdr:row>
      <xdr:rowOff>935905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0978" y="4638348"/>
          <a:ext cx="1524000" cy="755257"/>
        </a:xfrm>
        <a:prstGeom prst="rect">
          <a:avLst/>
        </a:prstGeom>
      </xdr:spPr>
    </xdr:pic>
    <xdr:clientData/>
  </xdr:twoCellAnchor>
  <xdr:twoCellAnchor editAs="oneCell">
    <xdr:from>
      <xdr:col>7</xdr:col>
      <xdr:colOff>326573</xdr:colOff>
      <xdr:row>5</xdr:row>
      <xdr:rowOff>92243</xdr:rowOff>
    </xdr:from>
    <xdr:to>
      <xdr:col>7</xdr:col>
      <xdr:colOff>1850573</xdr:colOff>
      <xdr:row>5</xdr:row>
      <xdr:rowOff>1037857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27373" y="5607218"/>
          <a:ext cx="1524000" cy="945614"/>
        </a:xfrm>
        <a:prstGeom prst="rect">
          <a:avLst/>
        </a:prstGeom>
      </xdr:spPr>
    </xdr:pic>
    <xdr:clientData/>
  </xdr:twoCellAnchor>
  <xdr:twoCellAnchor editAs="oneCell">
    <xdr:from>
      <xdr:col>7</xdr:col>
      <xdr:colOff>557893</xdr:colOff>
      <xdr:row>15</xdr:row>
      <xdr:rowOff>163286</xdr:rowOff>
    </xdr:from>
    <xdr:to>
      <xdr:col>7</xdr:col>
      <xdr:colOff>1566797</xdr:colOff>
      <xdr:row>15</xdr:row>
      <xdr:rowOff>981316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8693" y="13079186"/>
          <a:ext cx="1008904" cy="818030"/>
        </a:xfrm>
        <a:prstGeom prst="rect">
          <a:avLst/>
        </a:prstGeom>
      </xdr:spPr>
    </xdr:pic>
    <xdr:clientData/>
  </xdr:twoCellAnchor>
  <xdr:oneCellAnchor>
    <xdr:from>
      <xdr:col>7</xdr:col>
      <xdr:colOff>625929</xdr:colOff>
      <xdr:row>13</xdr:row>
      <xdr:rowOff>81643</xdr:rowOff>
    </xdr:from>
    <xdr:ext cx="958390" cy="898072"/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6729" y="10882993"/>
          <a:ext cx="958390" cy="89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585108</xdr:colOff>
      <xdr:row>14</xdr:row>
      <xdr:rowOff>74216</xdr:rowOff>
    </xdr:from>
    <xdr:ext cx="1074963" cy="958323"/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908" y="11932841"/>
          <a:ext cx="1074963" cy="958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345621</xdr:colOff>
      <xdr:row>6</xdr:row>
      <xdr:rowOff>166007</xdr:rowOff>
    </xdr:from>
    <xdr:to>
      <xdr:col>7</xdr:col>
      <xdr:colOff>1978479</xdr:colOff>
      <xdr:row>6</xdr:row>
      <xdr:rowOff>854800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0978" y="6751864"/>
          <a:ext cx="1632858" cy="688793"/>
        </a:xfrm>
        <a:prstGeom prst="rect">
          <a:avLst/>
        </a:prstGeom>
      </xdr:spPr>
    </xdr:pic>
    <xdr:clientData/>
  </xdr:twoCellAnchor>
  <xdr:twoCellAnchor editAs="oneCell">
    <xdr:from>
      <xdr:col>7</xdr:col>
      <xdr:colOff>318406</xdr:colOff>
      <xdr:row>7</xdr:row>
      <xdr:rowOff>138792</xdr:rowOff>
    </xdr:from>
    <xdr:to>
      <xdr:col>7</xdr:col>
      <xdr:colOff>1815869</xdr:colOff>
      <xdr:row>7</xdr:row>
      <xdr:rowOff>846363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3763" y="7786006"/>
          <a:ext cx="1497463" cy="707571"/>
        </a:xfrm>
        <a:prstGeom prst="rect">
          <a:avLst/>
        </a:prstGeom>
      </xdr:spPr>
    </xdr:pic>
    <xdr:clientData/>
  </xdr:twoCellAnchor>
  <xdr:twoCellAnchor editAs="oneCell">
    <xdr:from>
      <xdr:col>7</xdr:col>
      <xdr:colOff>318407</xdr:colOff>
      <xdr:row>8</xdr:row>
      <xdr:rowOff>156155</xdr:rowOff>
    </xdr:from>
    <xdr:to>
      <xdr:col>7</xdr:col>
      <xdr:colOff>1842407</xdr:colOff>
      <xdr:row>8</xdr:row>
      <xdr:rowOff>911412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13764" y="8864726"/>
          <a:ext cx="1524000" cy="755257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304802</xdr:colOff>
      <xdr:row>9</xdr:row>
      <xdr:rowOff>67749</xdr:rowOff>
    </xdr:from>
    <xdr:to>
      <xdr:col>7</xdr:col>
      <xdr:colOff>1828802</xdr:colOff>
      <xdr:row>9</xdr:row>
      <xdr:rowOff>1013363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0159" y="9837678"/>
          <a:ext cx="1524000" cy="945614"/>
        </a:xfrm>
        <a:prstGeom prst="rect">
          <a:avLst/>
        </a:prstGeom>
      </xdr:spPr>
    </xdr:pic>
    <xdr:clientData/>
  </xdr:twoCellAnchor>
  <xdr:oneCellAnchor>
    <xdr:from>
      <xdr:col>7</xdr:col>
      <xdr:colOff>559494</xdr:colOff>
      <xdr:row>12</xdr:row>
      <xdr:rowOff>114459</xdr:rowOff>
    </xdr:from>
    <xdr:ext cx="1184059" cy="843643"/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r="-1265"/>
        <a:stretch>
          <a:fillRect/>
        </a:stretch>
      </xdr:blipFill>
      <xdr:spPr>
        <a:xfrm>
          <a:off x="6954851" y="10945745"/>
          <a:ext cx="1184059" cy="843643"/>
        </a:xfrm>
        <a:prstGeom prst="rect">
          <a:avLst/>
        </a:prstGeom>
      </xdr:spPr>
    </xdr:pic>
    <xdr:clientData/>
  </xdr:oneCellAnchor>
  <xdr:oneCellAnchor>
    <xdr:from>
      <xdr:col>7</xdr:col>
      <xdr:colOff>398370</xdr:colOff>
      <xdr:row>10</xdr:row>
      <xdr:rowOff>82764</xdr:rowOff>
    </xdr:from>
    <xdr:ext cx="1357179" cy="866524"/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93727" y="8954621"/>
          <a:ext cx="1357179" cy="866524"/>
        </a:xfrm>
        <a:prstGeom prst="rect">
          <a:avLst/>
        </a:prstGeom>
      </xdr:spPr>
    </xdr:pic>
    <xdr:clientData/>
  </xdr:oneCellAnchor>
  <xdr:oneCellAnchor>
    <xdr:from>
      <xdr:col>7</xdr:col>
      <xdr:colOff>474570</xdr:colOff>
      <xdr:row>11</xdr:row>
      <xdr:rowOff>124946</xdr:rowOff>
    </xdr:from>
    <xdr:ext cx="1357179" cy="866524"/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69927" y="15364946"/>
          <a:ext cx="1357179" cy="8665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345621</xdr:colOff>
      <xdr:row>2</xdr:row>
      <xdr:rowOff>166007</xdr:rowOff>
    </xdr:from>
    <xdr:to>
      <xdr:col>7</xdr:col>
      <xdr:colOff>1978479</xdr:colOff>
      <xdr:row>2</xdr:row>
      <xdr:rowOff>854800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6421" y="4776107"/>
          <a:ext cx="1632858" cy="688793"/>
        </a:xfrm>
        <a:prstGeom prst="rect">
          <a:avLst/>
        </a:prstGeom>
      </xdr:spPr>
    </xdr:pic>
    <xdr:clientData/>
  </xdr:twoCellAnchor>
  <xdr:twoCellAnchor editAs="oneCell">
    <xdr:from>
      <xdr:col>7</xdr:col>
      <xdr:colOff>318406</xdr:colOff>
      <xdr:row>3</xdr:row>
      <xdr:rowOff>138792</xdr:rowOff>
    </xdr:from>
    <xdr:to>
      <xdr:col>7</xdr:col>
      <xdr:colOff>1815869</xdr:colOff>
      <xdr:row>3</xdr:row>
      <xdr:rowOff>846363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9206" y="5806167"/>
          <a:ext cx="1497463" cy="707571"/>
        </a:xfrm>
        <a:prstGeom prst="rect">
          <a:avLst/>
        </a:prstGeom>
      </xdr:spPr>
    </xdr:pic>
    <xdr:clientData/>
  </xdr:twoCellAnchor>
  <xdr:twoCellAnchor editAs="oneCell">
    <xdr:from>
      <xdr:col>7</xdr:col>
      <xdr:colOff>318407</xdr:colOff>
      <xdr:row>4</xdr:row>
      <xdr:rowOff>156155</xdr:rowOff>
    </xdr:from>
    <xdr:to>
      <xdr:col>7</xdr:col>
      <xdr:colOff>1842407</xdr:colOff>
      <xdr:row>4</xdr:row>
      <xdr:rowOff>911412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19207" y="6880805"/>
          <a:ext cx="1524000" cy="755257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304802</xdr:colOff>
      <xdr:row>5</xdr:row>
      <xdr:rowOff>67749</xdr:rowOff>
    </xdr:from>
    <xdr:to>
      <xdr:col>7</xdr:col>
      <xdr:colOff>1828802</xdr:colOff>
      <xdr:row>5</xdr:row>
      <xdr:rowOff>1013363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2" y="7849674"/>
          <a:ext cx="1524000" cy="945614"/>
        </a:xfrm>
        <a:prstGeom prst="rect">
          <a:avLst/>
        </a:prstGeom>
      </xdr:spPr>
    </xdr:pic>
    <xdr:clientData/>
  </xdr:twoCellAnchor>
  <xdr:oneCellAnchor>
    <xdr:from>
      <xdr:col>7</xdr:col>
      <xdr:colOff>398370</xdr:colOff>
      <xdr:row>6</xdr:row>
      <xdr:rowOff>82764</xdr:rowOff>
    </xdr:from>
    <xdr:ext cx="1357179" cy="866524"/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9170" y="8921964"/>
          <a:ext cx="1357179" cy="866524"/>
        </a:xfrm>
        <a:prstGeom prst="rect">
          <a:avLst/>
        </a:prstGeom>
      </xdr:spPr>
    </xdr:pic>
    <xdr:clientData/>
  </xdr:oneCellAnchor>
  <xdr:oneCellAnchor>
    <xdr:from>
      <xdr:col>7</xdr:col>
      <xdr:colOff>666751</xdr:colOff>
      <xdr:row>7</xdr:row>
      <xdr:rowOff>108856</xdr:rowOff>
    </xdr:from>
    <xdr:ext cx="905381" cy="875893"/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11721" r="6169"/>
        <a:stretch>
          <a:fillRect/>
        </a:stretch>
      </xdr:blipFill>
      <xdr:spPr>
        <a:xfrm>
          <a:off x="7402287" y="5796642"/>
          <a:ext cx="905381" cy="875893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625929</xdr:colOff>
      <xdr:row>8</xdr:row>
      <xdr:rowOff>108857</xdr:rowOff>
    </xdr:from>
    <xdr:ext cx="1053353" cy="899160"/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12228" r="7558"/>
        <a:stretch>
          <a:fillRect/>
        </a:stretch>
      </xdr:blipFill>
      <xdr:spPr>
        <a:xfrm>
          <a:off x="7361465" y="6858000"/>
          <a:ext cx="1053353" cy="89916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544286</xdr:colOff>
      <xdr:row>9</xdr:row>
      <xdr:rowOff>108857</xdr:rowOff>
    </xdr:from>
    <xdr:ext cx="1064560" cy="899160"/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10411" r="8522"/>
        <a:stretch>
          <a:fillRect/>
        </a:stretch>
      </xdr:blipFill>
      <xdr:spPr>
        <a:xfrm flipH="1">
          <a:off x="7279822" y="7919357"/>
          <a:ext cx="1064560" cy="89916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625929</xdr:colOff>
      <xdr:row>10</xdr:row>
      <xdr:rowOff>54428</xdr:rowOff>
    </xdr:from>
    <xdr:ext cx="1303617" cy="826135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1" r="6769"/>
        <a:stretch>
          <a:fillRect/>
        </a:stretch>
      </xdr:blipFill>
      <xdr:spPr>
        <a:xfrm>
          <a:off x="7361465" y="8926285"/>
          <a:ext cx="1303617" cy="82613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72"/>
  <sheetViews>
    <sheetView tabSelected="1" zoomScale="85" zoomScaleNormal="85" zoomScaleSheetLayoutView="55" workbookViewId="0">
      <pane xSplit="2" ySplit="12" topLeftCell="C55" activePane="bottomRight" state="frozen"/>
      <selection pane="topRight"/>
      <selection pane="bottomLeft"/>
      <selection pane="bottomRight" activeCell="G57" sqref="G57"/>
    </sheetView>
  </sheetViews>
  <sheetFormatPr defaultColWidth="9" defaultRowHeight="13.5" x14ac:dyDescent="0.2"/>
  <cols>
    <col min="1" max="1" width="0.375" style="1" customWidth="1"/>
    <col min="2" max="2" width="5.625" style="1" customWidth="1"/>
    <col min="3" max="3" width="6.75" style="1" customWidth="1"/>
    <col min="4" max="4" width="6.625" style="1" customWidth="1"/>
    <col min="5" max="5" width="9.125" style="1" customWidth="1"/>
    <col min="6" max="6" width="15" style="1" customWidth="1"/>
    <col min="7" max="7" width="17.125" style="1" customWidth="1"/>
    <col min="8" max="8" width="12.625" style="1" customWidth="1"/>
    <col min="9" max="9" width="19.625" style="1" customWidth="1"/>
    <col min="10" max="10" width="10.375" style="125" bestFit="1" customWidth="1"/>
    <col min="11" max="11" width="15" style="1" customWidth="1"/>
    <col min="12" max="12" width="18.375" style="1" customWidth="1"/>
    <col min="13" max="13" width="19.125" style="1" customWidth="1"/>
    <col min="14" max="14" width="25.625" style="1" customWidth="1"/>
    <col min="15" max="15" width="9.5" style="47" customWidth="1"/>
    <col min="16" max="16" width="10.125" style="47" customWidth="1"/>
    <col min="17" max="17" width="14.375" style="1" customWidth="1"/>
    <col min="18" max="18" width="13.5" style="1" customWidth="1"/>
    <col min="19" max="19" width="25.625" style="1" customWidth="1"/>
    <col min="20" max="20" width="10.125" style="2" customWidth="1"/>
    <col min="21" max="21" width="27.625" style="1" customWidth="1"/>
    <col min="22" max="22" width="23.875" style="1" customWidth="1"/>
    <col min="23" max="16384" width="9" style="1"/>
  </cols>
  <sheetData>
    <row r="1" spans="1:21" ht="3" customHeight="1" thickBot="1" x14ac:dyDescent="0.25">
      <c r="A1" s="8"/>
      <c r="B1" s="9"/>
      <c r="C1" s="9"/>
      <c r="D1" s="9"/>
      <c r="E1" s="9"/>
      <c r="F1" s="9"/>
      <c r="G1" s="9"/>
      <c r="H1" s="9"/>
      <c r="I1" s="9"/>
      <c r="J1" s="122"/>
      <c r="K1" s="9"/>
      <c r="L1" s="9"/>
      <c r="M1" s="9"/>
      <c r="N1" s="9"/>
      <c r="O1" s="134"/>
      <c r="P1" s="134"/>
      <c r="Q1" s="9"/>
      <c r="R1" s="9"/>
      <c r="S1" s="9"/>
      <c r="T1" s="194"/>
      <c r="U1" s="31"/>
    </row>
    <row r="2" spans="1:21" s="7" customFormat="1" ht="40.5" customHeight="1" x14ac:dyDescent="0.2">
      <c r="A2" s="10"/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23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35" t="s">
        <v>13</v>
      </c>
      <c r="P2" s="135" t="s">
        <v>14</v>
      </c>
      <c r="Q2" s="11" t="s">
        <v>15</v>
      </c>
      <c r="R2" s="11" t="s">
        <v>16</v>
      </c>
      <c r="S2" s="11" t="s">
        <v>17</v>
      </c>
      <c r="T2" s="195" t="s">
        <v>18</v>
      </c>
      <c r="U2" s="32" t="s">
        <v>19</v>
      </c>
    </row>
    <row r="3" spans="1:21" ht="80.099999999999994" hidden="1" customHeight="1" x14ac:dyDescent="0.2">
      <c r="A3" s="209" t="s">
        <v>20</v>
      </c>
      <c r="B3" s="210"/>
      <c r="C3" s="12" t="s">
        <v>21</v>
      </c>
      <c r="D3" s="215" t="s">
        <v>22</v>
      </c>
      <c r="E3" s="215" t="s">
        <v>23</v>
      </c>
      <c r="F3" s="215" t="s">
        <v>24</v>
      </c>
      <c r="G3" s="219" t="s">
        <v>25</v>
      </c>
      <c r="H3" s="215" t="s">
        <v>26</v>
      </c>
      <c r="I3" s="215"/>
      <c r="J3" s="124"/>
      <c r="K3" s="19" t="s">
        <v>27</v>
      </c>
      <c r="L3" s="19" t="s">
        <v>28</v>
      </c>
      <c r="M3" s="20"/>
      <c r="N3" s="20" t="s">
        <v>29</v>
      </c>
      <c r="O3" s="136">
        <v>1</v>
      </c>
      <c r="P3" s="136">
        <v>80</v>
      </c>
      <c r="Q3" s="20" t="s">
        <v>30</v>
      </c>
      <c r="R3" s="20" t="s">
        <v>31</v>
      </c>
      <c r="S3" s="219" t="s">
        <v>32</v>
      </c>
      <c r="T3" s="222">
        <v>0.4148</v>
      </c>
      <c r="U3" s="223" t="s">
        <v>33</v>
      </c>
    </row>
    <row r="4" spans="1:21" ht="80.099999999999994" hidden="1" customHeight="1" x14ac:dyDescent="0.2">
      <c r="A4" s="211"/>
      <c r="B4" s="212"/>
      <c r="C4" s="15"/>
      <c r="D4" s="215"/>
      <c r="E4" s="215"/>
      <c r="F4" s="215"/>
      <c r="G4" s="215"/>
      <c r="H4" s="215"/>
      <c r="I4" s="215"/>
      <c r="J4" s="124"/>
      <c r="K4" s="19" t="s">
        <v>34</v>
      </c>
      <c r="L4" s="19" t="s">
        <v>35</v>
      </c>
      <c r="M4" s="20"/>
      <c r="N4" s="20" t="s">
        <v>36</v>
      </c>
      <c r="O4" s="136">
        <v>1</v>
      </c>
      <c r="P4" s="136">
        <v>10</v>
      </c>
      <c r="Q4" s="20" t="s">
        <v>30</v>
      </c>
      <c r="R4" s="20" t="s">
        <v>31</v>
      </c>
      <c r="S4" s="219"/>
      <c r="T4" s="222"/>
      <c r="U4" s="223"/>
    </row>
    <row r="5" spans="1:21" ht="80.099999999999994" hidden="1" customHeight="1" x14ac:dyDescent="0.2">
      <c r="A5" s="211"/>
      <c r="B5" s="212"/>
      <c r="C5" s="15"/>
      <c r="D5" s="215"/>
      <c r="E5" s="215"/>
      <c r="F5" s="215"/>
      <c r="G5" s="215"/>
      <c r="H5" s="215"/>
      <c r="I5" s="215"/>
      <c r="J5" s="124"/>
      <c r="K5" s="19" t="s">
        <v>37</v>
      </c>
      <c r="L5" s="19" t="s">
        <v>38</v>
      </c>
      <c r="M5" s="20"/>
      <c r="N5" s="20" t="s">
        <v>39</v>
      </c>
      <c r="O5" s="136">
        <v>1</v>
      </c>
      <c r="P5" s="136">
        <v>60</v>
      </c>
      <c r="Q5" s="20" t="s">
        <v>30</v>
      </c>
      <c r="R5" s="20" t="s">
        <v>31</v>
      </c>
      <c r="S5" s="219"/>
      <c r="T5" s="222"/>
      <c r="U5" s="223"/>
    </row>
    <row r="6" spans="1:21" ht="80.099999999999994" hidden="1" customHeight="1" x14ac:dyDescent="0.2">
      <c r="A6" s="211"/>
      <c r="B6" s="212"/>
      <c r="C6" s="15"/>
      <c r="D6" s="215"/>
      <c r="E6" s="215"/>
      <c r="F6" s="215"/>
      <c r="G6" s="215"/>
      <c r="H6" s="215"/>
      <c r="I6" s="215"/>
      <c r="J6" s="124"/>
      <c r="K6" s="19" t="s">
        <v>40</v>
      </c>
      <c r="L6" s="19" t="s">
        <v>41</v>
      </c>
      <c r="M6" s="20"/>
      <c r="N6" s="20" t="s">
        <v>42</v>
      </c>
      <c r="O6" s="136">
        <v>1</v>
      </c>
      <c r="P6" s="136">
        <v>30</v>
      </c>
      <c r="Q6" s="20" t="s">
        <v>30</v>
      </c>
      <c r="R6" s="20" t="s">
        <v>31</v>
      </c>
      <c r="S6" s="219"/>
      <c r="T6" s="222"/>
      <c r="U6" s="223"/>
    </row>
    <row r="7" spans="1:21" ht="80.099999999999994" hidden="1" customHeight="1" x14ac:dyDescent="0.2">
      <c r="A7" s="211"/>
      <c r="B7" s="212"/>
      <c r="C7" s="15"/>
      <c r="D7" s="215"/>
      <c r="E7" s="215"/>
      <c r="F7" s="215"/>
      <c r="G7" s="215"/>
      <c r="H7" s="215"/>
      <c r="I7" s="215"/>
      <c r="J7" s="124"/>
      <c r="K7" s="21" t="s">
        <v>43</v>
      </c>
      <c r="L7" s="22" t="s">
        <v>44</v>
      </c>
      <c r="M7" s="21"/>
      <c r="N7" s="21" t="s">
        <v>45</v>
      </c>
      <c r="O7" s="53">
        <v>1</v>
      </c>
      <c r="P7" s="53" t="s">
        <v>46</v>
      </c>
      <c r="Q7" s="21" t="s">
        <v>47</v>
      </c>
      <c r="R7" s="21" t="s">
        <v>48</v>
      </c>
      <c r="S7" s="219"/>
      <c r="T7" s="222"/>
      <c r="U7" s="223"/>
    </row>
    <row r="8" spans="1:21" ht="80.099999999999994" hidden="1" customHeight="1" x14ac:dyDescent="0.2">
      <c r="A8" s="211"/>
      <c r="B8" s="212"/>
      <c r="C8" s="15"/>
      <c r="D8" s="215"/>
      <c r="E8" s="215" t="s">
        <v>49</v>
      </c>
      <c r="F8" s="215" t="s">
        <v>50</v>
      </c>
      <c r="G8" s="219" t="s">
        <v>51</v>
      </c>
      <c r="H8" s="215" t="s">
        <v>26</v>
      </c>
      <c r="I8" s="215"/>
      <c r="J8" s="124"/>
      <c r="K8" s="19" t="s">
        <v>52</v>
      </c>
      <c r="L8" s="19" t="s">
        <v>53</v>
      </c>
      <c r="M8" s="20"/>
      <c r="N8" s="20" t="s">
        <v>29</v>
      </c>
      <c r="O8" s="136">
        <v>1</v>
      </c>
      <c r="P8" s="136">
        <v>80</v>
      </c>
      <c r="Q8" s="20" t="s">
        <v>30</v>
      </c>
      <c r="R8" s="20" t="s">
        <v>31</v>
      </c>
      <c r="S8" s="219" t="s">
        <v>32</v>
      </c>
      <c r="T8" s="222">
        <v>0.4148</v>
      </c>
      <c r="U8" s="223" t="s">
        <v>33</v>
      </c>
    </row>
    <row r="9" spans="1:21" ht="80.099999999999994" hidden="1" customHeight="1" x14ac:dyDescent="0.2">
      <c r="A9" s="211"/>
      <c r="B9" s="212"/>
      <c r="C9" s="15"/>
      <c r="D9" s="215"/>
      <c r="E9" s="215"/>
      <c r="F9" s="215"/>
      <c r="G9" s="215"/>
      <c r="H9" s="215"/>
      <c r="I9" s="215"/>
      <c r="J9" s="124"/>
      <c r="K9" s="19" t="s">
        <v>54</v>
      </c>
      <c r="L9" s="19" t="s">
        <v>55</v>
      </c>
      <c r="M9" s="20"/>
      <c r="N9" s="20" t="s">
        <v>36</v>
      </c>
      <c r="O9" s="136">
        <v>1</v>
      </c>
      <c r="P9" s="136">
        <v>10</v>
      </c>
      <c r="Q9" s="20" t="s">
        <v>30</v>
      </c>
      <c r="R9" s="20" t="s">
        <v>31</v>
      </c>
      <c r="S9" s="219"/>
      <c r="T9" s="222"/>
      <c r="U9" s="223"/>
    </row>
    <row r="10" spans="1:21" ht="80.099999999999994" hidden="1" customHeight="1" x14ac:dyDescent="0.2">
      <c r="A10" s="211"/>
      <c r="B10" s="212"/>
      <c r="C10" s="15"/>
      <c r="D10" s="215"/>
      <c r="E10" s="215"/>
      <c r="F10" s="215"/>
      <c r="G10" s="215"/>
      <c r="H10" s="215"/>
      <c r="I10" s="215"/>
      <c r="J10" s="124"/>
      <c r="K10" s="19" t="s">
        <v>56</v>
      </c>
      <c r="L10" s="19" t="s">
        <v>57</v>
      </c>
      <c r="M10" s="20"/>
      <c r="N10" s="20" t="s">
        <v>39</v>
      </c>
      <c r="O10" s="136">
        <v>1</v>
      </c>
      <c r="P10" s="136">
        <v>60</v>
      </c>
      <c r="Q10" s="20" t="s">
        <v>30</v>
      </c>
      <c r="R10" s="20" t="s">
        <v>31</v>
      </c>
      <c r="S10" s="219"/>
      <c r="T10" s="222"/>
      <c r="U10" s="223"/>
    </row>
    <row r="11" spans="1:21" ht="80.099999999999994" hidden="1" customHeight="1" x14ac:dyDescent="0.2">
      <c r="A11" s="211"/>
      <c r="B11" s="212"/>
      <c r="C11" s="15"/>
      <c r="D11" s="215"/>
      <c r="E11" s="215"/>
      <c r="F11" s="215"/>
      <c r="G11" s="215"/>
      <c r="H11" s="215"/>
      <c r="I11" s="215"/>
      <c r="J11" s="124"/>
      <c r="K11" s="19" t="s">
        <v>58</v>
      </c>
      <c r="L11" s="19" t="s">
        <v>59</v>
      </c>
      <c r="M11" s="20"/>
      <c r="N11" s="20" t="s">
        <v>42</v>
      </c>
      <c r="O11" s="136">
        <v>1</v>
      </c>
      <c r="P11" s="136">
        <v>30</v>
      </c>
      <c r="Q11" s="20" t="s">
        <v>30</v>
      </c>
      <c r="R11" s="20" t="s">
        <v>31</v>
      </c>
      <c r="S11" s="219"/>
      <c r="T11" s="222"/>
      <c r="U11" s="223"/>
    </row>
    <row r="12" spans="1:21" ht="80.099999999999994" hidden="1" customHeight="1" x14ac:dyDescent="0.2">
      <c r="A12" s="211"/>
      <c r="B12" s="212"/>
      <c r="C12" s="15"/>
      <c r="D12" s="215"/>
      <c r="E12" s="215"/>
      <c r="F12" s="215"/>
      <c r="G12" s="215"/>
      <c r="H12" s="215"/>
      <c r="I12" s="215"/>
      <c r="J12" s="124"/>
      <c r="K12" s="21" t="s">
        <v>60</v>
      </c>
      <c r="L12" s="21" t="s">
        <v>61</v>
      </c>
      <c r="M12" s="21"/>
      <c r="N12" s="21" t="s">
        <v>45</v>
      </c>
      <c r="O12" s="53">
        <v>1</v>
      </c>
      <c r="P12" s="53" t="s">
        <v>46</v>
      </c>
      <c r="Q12" s="21" t="s">
        <v>47</v>
      </c>
      <c r="R12" s="21" t="s">
        <v>48</v>
      </c>
      <c r="S12" s="219"/>
      <c r="T12" s="222"/>
      <c r="U12" s="223"/>
    </row>
    <row r="13" spans="1:21" ht="80.099999999999994" customHeight="1" x14ac:dyDescent="0.2">
      <c r="A13" s="211"/>
      <c r="B13" s="212"/>
      <c r="C13" s="16" t="s">
        <v>629</v>
      </c>
      <c r="D13" s="215"/>
      <c r="E13" s="215" t="s">
        <v>23</v>
      </c>
      <c r="F13" s="219" t="s">
        <v>63</v>
      </c>
      <c r="G13" s="219" t="s">
        <v>64</v>
      </c>
      <c r="H13" s="215" t="s">
        <v>65</v>
      </c>
      <c r="I13" s="215"/>
      <c r="J13" s="124">
        <v>1</v>
      </c>
      <c r="K13" s="19" t="s">
        <v>66</v>
      </c>
      <c r="L13" s="19" t="s">
        <v>67</v>
      </c>
      <c r="M13" s="19"/>
      <c r="N13" s="20" t="s">
        <v>68</v>
      </c>
      <c r="O13" s="136">
        <v>1</v>
      </c>
      <c r="P13" s="136">
        <v>70</v>
      </c>
      <c r="Q13" s="20" t="s">
        <v>30</v>
      </c>
      <c r="R13" s="20" t="s">
        <v>31</v>
      </c>
      <c r="S13" s="219" t="s">
        <v>32</v>
      </c>
      <c r="T13" s="222">
        <v>0.875</v>
      </c>
      <c r="U13" s="220"/>
    </row>
    <row r="14" spans="1:21" ht="80.099999999999994" customHeight="1" x14ac:dyDescent="0.2">
      <c r="A14" s="211"/>
      <c r="B14" s="212"/>
      <c r="C14" s="16" t="s">
        <v>629</v>
      </c>
      <c r="D14" s="215"/>
      <c r="E14" s="215"/>
      <c r="F14" s="215"/>
      <c r="G14" s="215"/>
      <c r="H14" s="215"/>
      <c r="I14" s="215"/>
      <c r="J14" s="124">
        <v>2</v>
      </c>
      <c r="K14" s="19" t="s">
        <v>69</v>
      </c>
      <c r="L14" s="19" t="s">
        <v>70</v>
      </c>
      <c r="M14" s="19"/>
      <c r="N14" s="20" t="s">
        <v>71</v>
      </c>
      <c r="O14" s="136">
        <v>1</v>
      </c>
      <c r="P14" s="136">
        <v>30</v>
      </c>
      <c r="Q14" s="20" t="s">
        <v>30</v>
      </c>
      <c r="R14" s="20" t="s">
        <v>31</v>
      </c>
      <c r="S14" s="219"/>
      <c r="T14" s="222"/>
      <c r="U14" s="220"/>
    </row>
    <row r="15" spans="1:21" ht="80.099999999999994" customHeight="1" x14ac:dyDescent="0.2">
      <c r="A15" s="211"/>
      <c r="B15" s="212"/>
      <c r="C15" s="16" t="s">
        <v>629</v>
      </c>
      <c r="D15" s="215"/>
      <c r="E15" s="215"/>
      <c r="F15" s="215"/>
      <c r="G15" s="215"/>
      <c r="H15" s="215"/>
      <c r="I15" s="215"/>
      <c r="J15" s="124">
        <v>3</v>
      </c>
      <c r="K15" s="19" t="s">
        <v>72</v>
      </c>
      <c r="L15" s="19" t="s">
        <v>73</v>
      </c>
      <c r="M15" s="19"/>
      <c r="N15" s="19" t="s">
        <v>74</v>
      </c>
      <c r="O15" s="136">
        <v>1</v>
      </c>
      <c r="P15" s="136">
        <v>10</v>
      </c>
      <c r="Q15" s="20" t="s">
        <v>30</v>
      </c>
      <c r="R15" s="20" t="s">
        <v>31</v>
      </c>
      <c r="S15" s="219"/>
      <c r="T15" s="222"/>
      <c r="U15" s="220"/>
    </row>
    <row r="16" spans="1:21" ht="80.099999999999994" customHeight="1" x14ac:dyDescent="0.2">
      <c r="A16" s="211"/>
      <c r="B16" s="212"/>
      <c r="C16" s="16" t="s">
        <v>629</v>
      </c>
      <c r="D16" s="215"/>
      <c r="E16" s="215"/>
      <c r="F16" s="215"/>
      <c r="G16" s="215"/>
      <c r="H16" s="215"/>
      <c r="I16" s="215"/>
      <c r="J16" s="124">
        <v>4</v>
      </c>
      <c r="K16" s="19" t="s">
        <v>75</v>
      </c>
      <c r="L16" s="19" t="s">
        <v>76</v>
      </c>
      <c r="M16" s="19"/>
      <c r="N16" s="20" t="s">
        <v>77</v>
      </c>
      <c r="O16" s="136">
        <v>1</v>
      </c>
      <c r="P16" s="136">
        <v>40</v>
      </c>
      <c r="Q16" s="20" t="s">
        <v>30</v>
      </c>
      <c r="R16" s="20" t="s">
        <v>31</v>
      </c>
      <c r="S16" s="219"/>
      <c r="T16" s="222"/>
      <c r="U16" s="220"/>
    </row>
    <row r="17" spans="1:25" ht="80.099999999999994" customHeight="1" x14ac:dyDescent="0.2">
      <c r="A17" s="211"/>
      <c r="B17" s="212"/>
      <c r="C17" s="16" t="s">
        <v>629</v>
      </c>
      <c r="D17" s="215"/>
      <c r="E17" s="215"/>
      <c r="F17" s="215"/>
      <c r="G17" s="215"/>
      <c r="H17" s="215"/>
      <c r="I17" s="215"/>
      <c r="J17" s="124">
        <v>5</v>
      </c>
      <c r="K17" s="22" t="s">
        <v>78</v>
      </c>
      <c r="L17" s="22" t="s">
        <v>79</v>
      </c>
      <c r="M17" s="22"/>
      <c r="N17" s="22" t="s">
        <v>80</v>
      </c>
      <c r="O17" s="53">
        <v>1</v>
      </c>
      <c r="P17" s="53" t="s">
        <v>46</v>
      </c>
      <c r="Q17" s="21" t="s">
        <v>81</v>
      </c>
      <c r="R17" s="21" t="s">
        <v>46</v>
      </c>
      <c r="S17" s="219"/>
      <c r="T17" s="222"/>
      <c r="U17" s="220"/>
    </row>
    <row r="18" spans="1:25" ht="80.099999999999994" customHeight="1" x14ac:dyDescent="0.2">
      <c r="A18" s="211"/>
      <c r="B18" s="212"/>
      <c r="C18" s="16" t="s">
        <v>629</v>
      </c>
      <c r="D18" s="215"/>
      <c r="E18" s="215" t="s">
        <v>49</v>
      </c>
      <c r="F18" s="219" t="s">
        <v>82</v>
      </c>
      <c r="G18" s="219" t="s">
        <v>83</v>
      </c>
      <c r="H18" s="215" t="s">
        <v>65</v>
      </c>
      <c r="I18" s="215"/>
      <c r="J18" s="124">
        <v>6</v>
      </c>
      <c r="K18" s="19" t="s">
        <v>84</v>
      </c>
      <c r="L18" s="19" t="s">
        <v>85</v>
      </c>
      <c r="M18" s="20"/>
      <c r="N18" s="20" t="s">
        <v>68</v>
      </c>
      <c r="O18" s="136">
        <v>1</v>
      </c>
      <c r="P18" s="136">
        <v>70</v>
      </c>
      <c r="Q18" s="20" t="s">
        <v>30</v>
      </c>
      <c r="R18" s="20" t="s">
        <v>31</v>
      </c>
      <c r="S18" s="219" t="s">
        <v>32</v>
      </c>
      <c r="T18" s="222">
        <v>0.875</v>
      </c>
      <c r="U18" s="220"/>
      <c r="V18" s="35"/>
    </row>
    <row r="19" spans="1:25" ht="80.099999999999994" customHeight="1" x14ac:dyDescent="0.2">
      <c r="A19" s="211"/>
      <c r="B19" s="212"/>
      <c r="C19" s="16" t="s">
        <v>629</v>
      </c>
      <c r="D19" s="215"/>
      <c r="E19" s="215"/>
      <c r="F19" s="215"/>
      <c r="G19" s="215"/>
      <c r="H19" s="215"/>
      <c r="I19" s="215"/>
      <c r="J19" s="124">
        <v>7</v>
      </c>
      <c r="K19" s="19" t="s">
        <v>86</v>
      </c>
      <c r="L19" s="19" t="s">
        <v>87</v>
      </c>
      <c r="M19" s="20"/>
      <c r="N19" s="20" t="s">
        <v>71</v>
      </c>
      <c r="O19" s="136">
        <v>1</v>
      </c>
      <c r="P19" s="136">
        <v>30</v>
      </c>
      <c r="Q19" s="20" t="s">
        <v>30</v>
      </c>
      <c r="R19" s="20" t="s">
        <v>31</v>
      </c>
      <c r="S19" s="219"/>
      <c r="T19" s="222"/>
      <c r="U19" s="220"/>
      <c r="V19" s="36"/>
    </row>
    <row r="20" spans="1:25" ht="80.099999999999994" customHeight="1" x14ac:dyDescent="0.2">
      <c r="A20" s="211"/>
      <c r="B20" s="212"/>
      <c r="C20" s="16" t="s">
        <v>629</v>
      </c>
      <c r="D20" s="215"/>
      <c r="E20" s="215"/>
      <c r="F20" s="215"/>
      <c r="G20" s="215"/>
      <c r="H20" s="215"/>
      <c r="I20" s="215"/>
      <c r="J20" s="124">
        <v>8</v>
      </c>
      <c r="K20" s="20" t="s">
        <v>88</v>
      </c>
      <c r="L20" s="19" t="s">
        <v>89</v>
      </c>
      <c r="M20" s="20"/>
      <c r="N20" s="20" t="s">
        <v>74</v>
      </c>
      <c r="O20" s="136">
        <v>1</v>
      </c>
      <c r="P20" s="136">
        <v>10</v>
      </c>
      <c r="Q20" s="20" t="s">
        <v>30</v>
      </c>
      <c r="R20" s="20" t="s">
        <v>31</v>
      </c>
      <c r="S20" s="219"/>
      <c r="T20" s="222"/>
      <c r="U20" s="220"/>
      <c r="V20" s="36"/>
    </row>
    <row r="21" spans="1:25" ht="80.099999999999994" customHeight="1" x14ac:dyDescent="0.2">
      <c r="A21" s="211"/>
      <c r="B21" s="212"/>
      <c r="C21" s="16" t="s">
        <v>629</v>
      </c>
      <c r="D21" s="215"/>
      <c r="E21" s="215"/>
      <c r="F21" s="215"/>
      <c r="G21" s="215"/>
      <c r="H21" s="215"/>
      <c r="I21" s="215"/>
      <c r="J21" s="124">
        <v>9</v>
      </c>
      <c r="K21" s="20" t="s">
        <v>90</v>
      </c>
      <c r="L21" s="19" t="s">
        <v>91</v>
      </c>
      <c r="M21" s="20"/>
      <c r="N21" s="20" t="s">
        <v>77</v>
      </c>
      <c r="O21" s="136">
        <v>1</v>
      </c>
      <c r="P21" s="136">
        <v>40</v>
      </c>
      <c r="Q21" s="20" t="s">
        <v>30</v>
      </c>
      <c r="R21" s="20" t="s">
        <v>31</v>
      </c>
      <c r="S21" s="219"/>
      <c r="T21" s="222"/>
      <c r="U21" s="220"/>
      <c r="V21" s="36"/>
    </row>
    <row r="22" spans="1:25" ht="80.099999999999994" customHeight="1" x14ac:dyDescent="0.2">
      <c r="A22" s="211"/>
      <c r="B22" s="212"/>
      <c r="C22" s="16" t="s">
        <v>629</v>
      </c>
      <c r="D22" s="215"/>
      <c r="E22" s="215"/>
      <c r="F22" s="215"/>
      <c r="G22" s="215"/>
      <c r="H22" s="215"/>
      <c r="I22" s="215"/>
      <c r="J22" s="124">
        <v>10</v>
      </c>
      <c r="K22" s="21" t="s">
        <v>92</v>
      </c>
      <c r="L22" s="23" t="s">
        <v>93</v>
      </c>
      <c r="M22" s="21"/>
      <c r="N22" s="21" t="s">
        <v>80</v>
      </c>
      <c r="O22" s="53">
        <v>1</v>
      </c>
      <c r="P22" s="53" t="s">
        <v>46</v>
      </c>
      <c r="Q22" s="21" t="s">
        <v>81</v>
      </c>
      <c r="R22" s="21" t="s">
        <v>46</v>
      </c>
      <c r="S22" s="219"/>
      <c r="T22" s="222"/>
      <c r="U22" s="220"/>
      <c r="V22" s="36"/>
    </row>
    <row r="23" spans="1:25" ht="80.099999999999994" customHeight="1" x14ac:dyDescent="0.2">
      <c r="A23" s="211"/>
      <c r="B23" s="212"/>
      <c r="C23" s="16" t="s">
        <v>629</v>
      </c>
      <c r="D23" s="216" t="s">
        <v>94</v>
      </c>
      <c r="E23" s="215" t="s">
        <v>23</v>
      </c>
      <c r="F23" s="219" t="s">
        <v>564</v>
      </c>
      <c r="G23" s="219" t="s">
        <v>64</v>
      </c>
      <c r="H23" s="215" t="s">
        <v>65</v>
      </c>
      <c r="I23" s="215"/>
      <c r="J23" s="124">
        <v>11</v>
      </c>
      <c r="K23" s="19" t="s">
        <v>66</v>
      </c>
      <c r="L23" s="19" t="s">
        <v>67</v>
      </c>
      <c r="M23" s="19"/>
      <c r="N23" s="20" t="s">
        <v>68</v>
      </c>
      <c r="O23" s="136">
        <v>1</v>
      </c>
      <c r="P23" s="136">
        <v>70</v>
      </c>
      <c r="Q23" s="20" t="s">
        <v>30</v>
      </c>
      <c r="R23" s="20" t="s">
        <v>31</v>
      </c>
      <c r="S23" s="219" t="s">
        <v>95</v>
      </c>
      <c r="T23" s="222">
        <v>0.9506</v>
      </c>
      <c r="U23" s="221" t="s">
        <v>95</v>
      </c>
      <c r="V23" s="36"/>
    </row>
    <row r="24" spans="1:25" ht="80.099999999999994" customHeight="1" x14ac:dyDescent="0.2">
      <c r="A24" s="211"/>
      <c r="B24" s="212"/>
      <c r="C24" s="16" t="s">
        <v>629</v>
      </c>
      <c r="D24" s="217"/>
      <c r="E24" s="215"/>
      <c r="F24" s="215"/>
      <c r="G24" s="215"/>
      <c r="H24" s="215"/>
      <c r="I24" s="215"/>
      <c r="J24" s="124">
        <v>12</v>
      </c>
      <c r="K24" s="19" t="s">
        <v>69</v>
      </c>
      <c r="L24" s="19" t="s">
        <v>70</v>
      </c>
      <c r="M24" s="19"/>
      <c r="N24" s="20" t="s">
        <v>71</v>
      </c>
      <c r="O24" s="136">
        <v>1</v>
      </c>
      <c r="P24" s="136">
        <v>30</v>
      </c>
      <c r="Q24" s="20" t="s">
        <v>30</v>
      </c>
      <c r="R24" s="20" t="s">
        <v>31</v>
      </c>
      <c r="S24" s="219"/>
      <c r="T24" s="222"/>
      <c r="U24" s="221"/>
      <c r="V24" s="36"/>
    </row>
    <row r="25" spans="1:25" ht="80.099999999999994" customHeight="1" x14ac:dyDescent="0.2">
      <c r="A25" s="211"/>
      <c r="B25" s="212"/>
      <c r="C25" s="16" t="s">
        <v>629</v>
      </c>
      <c r="D25" s="217"/>
      <c r="E25" s="215"/>
      <c r="F25" s="215"/>
      <c r="G25" s="215"/>
      <c r="H25" s="215"/>
      <c r="I25" s="215"/>
      <c r="J25" s="124">
        <v>13</v>
      </c>
      <c r="K25" s="19" t="s">
        <v>72</v>
      </c>
      <c r="L25" s="19" t="s">
        <v>73</v>
      </c>
      <c r="M25" s="19"/>
      <c r="N25" s="19" t="s">
        <v>74</v>
      </c>
      <c r="O25" s="136">
        <v>1</v>
      </c>
      <c r="P25" s="136">
        <v>10</v>
      </c>
      <c r="Q25" s="20" t="s">
        <v>30</v>
      </c>
      <c r="R25" s="20" t="s">
        <v>31</v>
      </c>
      <c r="S25" s="219"/>
      <c r="T25" s="222"/>
      <c r="U25" s="221"/>
      <c r="V25" s="36"/>
    </row>
    <row r="26" spans="1:25" ht="80.099999999999994" customHeight="1" x14ac:dyDescent="0.2">
      <c r="A26" s="211"/>
      <c r="B26" s="212"/>
      <c r="C26" s="16" t="s">
        <v>629</v>
      </c>
      <c r="D26" s="217"/>
      <c r="E26" s="215"/>
      <c r="F26" s="215"/>
      <c r="G26" s="215"/>
      <c r="H26" s="215"/>
      <c r="I26" s="215"/>
      <c r="J26" s="124">
        <v>14</v>
      </c>
      <c r="K26" s="19" t="s">
        <v>75</v>
      </c>
      <c r="L26" s="19" t="s">
        <v>76</v>
      </c>
      <c r="M26" s="19"/>
      <c r="N26" s="20" t="s">
        <v>77</v>
      </c>
      <c r="O26" s="136">
        <v>1</v>
      </c>
      <c r="P26" s="136">
        <v>40</v>
      </c>
      <c r="Q26" s="20" t="s">
        <v>30</v>
      </c>
      <c r="R26" s="20" t="s">
        <v>31</v>
      </c>
      <c r="S26" s="219"/>
      <c r="T26" s="222"/>
      <c r="U26" s="221"/>
      <c r="Y26" s="1" t="s">
        <v>96</v>
      </c>
    </row>
    <row r="27" spans="1:25" ht="80.099999999999994" customHeight="1" x14ac:dyDescent="0.2">
      <c r="A27" s="211"/>
      <c r="B27" s="212"/>
      <c r="C27" s="16" t="s">
        <v>629</v>
      </c>
      <c r="D27" s="217"/>
      <c r="E27" s="215"/>
      <c r="F27" s="215"/>
      <c r="G27" s="215"/>
      <c r="H27" s="215"/>
      <c r="I27" s="215"/>
      <c r="J27" s="124">
        <v>15</v>
      </c>
      <c r="K27" s="22" t="s">
        <v>78</v>
      </c>
      <c r="L27" s="22" t="s">
        <v>97</v>
      </c>
      <c r="M27" s="22"/>
      <c r="N27" s="22" t="s">
        <v>98</v>
      </c>
      <c r="O27" s="53" t="s">
        <v>99</v>
      </c>
      <c r="P27" s="53" t="s">
        <v>46</v>
      </c>
      <c r="Q27" s="21" t="s">
        <v>81</v>
      </c>
      <c r="R27" s="21" t="s">
        <v>46</v>
      </c>
      <c r="S27" s="219"/>
      <c r="T27" s="222"/>
      <c r="U27" s="221"/>
      <c r="V27" s="36"/>
    </row>
    <row r="28" spans="1:25" ht="80.099999999999994" customHeight="1" x14ac:dyDescent="0.2">
      <c r="A28" s="211"/>
      <c r="B28" s="212"/>
      <c r="C28" s="16" t="s">
        <v>629</v>
      </c>
      <c r="D28" s="217"/>
      <c r="E28" s="215" t="s">
        <v>23</v>
      </c>
      <c r="F28" s="216" t="s">
        <v>565</v>
      </c>
      <c r="G28" s="216" t="s">
        <v>577</v>
      </c>
      <c r="H28" s="215" t="s">
        <v>579</v>
      </c>
      <c r="I28" s="215"/>
      <c r="J28" s="124">
        <v>16</v>
      </c>
      <c r="K28" s="183" t="s">
        <v>558</v>
      </c>
      <c r="L28" s="183" t="s">
        <v>554</v>
      </c>
      <c r="M28" s="183"/>
      <c r="N28" s="184" t="s">
        <v>68</v>
      </c>
      <c r="O28" s="185">
        <v>1</v>
      </c>
      <c r="P28" s="185">
        <v>70</v>
      </c>
      <c r="Q28" s="186" t="s">
        <v>562</v>
      </c>
      <c r="R28" s="184" t="s">
        <v>31</v>
      </c>
      <c r="S28" s="219" t="s">
        <v>95</v>
      </c>
      <c r="T28" s="222">
        <v>0.9506</v>
      </c>
      <c r="U28" s="221" t="s">
        <v>95</v>
      </c>
      <c r="V28" s="36"/>
    </row>
    <row r="29" spans="1:25" ht="80.099999999999994" customHeight="1" x14ac:dyDescent="0.2">
      <c r="A29" s="211"/>
      <c r="B29" s="212"/>
      <c r="C29" s="16" t="s">
        <v>629</v>
      </c>
      <c r="D29" s="217"/>
      <c r="E29" s="215"/>
      <c r="F29" s="217"/>
      <c r="G29" s="217"/>
      <c r="H29" s="215"/>
      <c r="I29" s="215"/>
      <c r="J29" s="124">
        <v>17</v>
      </c>
      <c r="K29" s="183" t="s">
        <v>559</v>
      </c>
      <c r="L29" s="183" t="s">
        <v>555</v>
      </c>
      <c r="M29" s="183"/>
      <c r="N29" s="184" t="s">
        <v>71</v>
      </c>
      <c r="O29" s="185">
        <v>1</v>
      </c>
      <c r="P29" s="185">
        <v>30</v>
      </c>
      <c r="Q29" s="186" t="s">
        <v>563</v>
      </c>
      <c r="R29" s="184" t="s">
        <v>31</v>
      </c>
      <c r="S29" s="219"/>
      <c r="T29" s="222"/>
      <c r="U29" s="221"/>
      <c r="V29" s="36"/>
    </row>
    <row r="30" spans="1:25" ht="80.099999999999994" customHeight="1" x14ac:dyDescent="0.2">
      <c r="A30" s="211"/>
      <c r="B30" s="212"/>
      <c r="C30" s="16" t="s">
        <v>629</v>
      </c>
      <c r="D30" s="217"/>
      <c r="E30" s="215"/>
      <c r="F30" s="217"/>
      <c r="G30" s="217"/>
      <c r="H30" s="215"/>
      <c r="I30" s="215"/>
      <c r="J30" s="124">
        <v>18</v>
      </c>
      <c r="K30" s="183" t="s">
        <v>560</v>
      </c>
      <c r="L30" s="183" t="s">
        <v>556</v>
      </c>
      <c r="M30" s="183"/>
      <c r="N30" s="183" t="s">
        <v>74</v>
      </c>
      <c r="O30" s="185">
        <v>1</v>
      </c>
      <c r="P30" s="185">
        <v>10</v>
      </c>
      <c r="Q30" s="186" t="s">
        <v>562</v>
      </c>
      <c r="R30" s="184" t="s">
        <v>31</v>
      </c>
      <c r="S30" s="219"/>
      <c r="T30" s="222"/>
      <c r="U30" s="221"/>
      <c r="V30" s="36"/>
    </row>
    <row r="31" spans="1:25" ht="80.099999999999994" customHeight="1" x14ac:dyDescent="0.2">
      <c r="A31" s="211"/>
      <c r="B31" s="212"/>
      <c r="C31" s="16" t="s">
        <v>629</v>
      </c>
      <c r="D31" s="217"/>
      <c r="E31" s="215"/>
      <c r="F31" s="217"/>
      <c r="G31" s="217"/>
      <c r="H31" s="215"/>
      <c r="I31" s="215"/>
      <c r="J31" s="124">
        <v>19</v>
      </c>
      <c r="K31" s="183" t="s">
        <v>561</v>
      </c>
      <c r="L31" s="183" t="s">
        <v>557</v>
      </c>
      <c r="M31" s="183"/>
      <c r="N31" s="184" t="s">
        <v>77</v>
      </c>
      <c r="O31" s="185">
        <v>1</v>
      </c>
      <c r="P31" s="185">
        <v>40</v>
      </c>
      <c r="Q31" s="186" t="s">
        <v>563</v>
      </c>
      <c r="R31" s="184" t="s">
        <v>31</v>
      </c>
      <c r="S31" s="219"/>
      <c r="T31" s="222"/>
      <c r="U31" s="221"/>
      <c r="V31" s="36"/>
    </row>
    <row r="32" spans="1:25" ht="80.099999999999994" customHeight="1" x14ac:dyDescent="0.2">
      <c r="A32" s="211"/>
      <c r="B32" s="212"/>
      <c r="C32" s="16" t="s">
        <v>629</v>
      </c>
      <c r="D32" s="217"/>
      <c r="E32" s="215"/>
      <c r="F32" s="218"/>
      <c r="G32" s="218"/>
      <c r="H32" s="215"/>
      <c r="I32" s="215"/>
      <c r="J32" s="124">
        <v>20</v>
      </c>
      <c r="K32" s="22" t="s">
        <v>78</v>
      </c>
      <c r="L32" s="22" t="s">
        <v>97</v>
      </c>
      <c r="M32" s="22"/>
      <c r="N32" s="22" t="s">
        <v>98</v>
      </c>
      <c r="O32" s="53" t="s">
        <v>99</v>
      </c>
      <c r="P32" s="53" t="s">
        <v>46</v>
      </c>
      <c r="Q32" s="21" t="s">
        <v>81</v>
      </c>
      <c r="R32" s="21" t="s">
        <v>46</v>
      </c>
      <c r="S32" s="219"/>
      <c r="T32" s="222"/>
      <c r="U32" s="221"/>
      <c r="V32" s="36"/>
    </row>
    <row r="33" spans="1:22" ht="80.099999999999994" customHeight="1" x14ac:dyDescent="0.2">
      <c r="A33" s="211"/>
      <c r="B33" s="212"/>
      <c r="C33" s="16" t="s">
        <v>629</v>
      </c>
      <c r="D33" s="217"/>
      <c r="E33" s="215" t="s">
        <v>49</v>
      </c>
      <c r="F33" s="219" t="s">
        <v>82</v>
      </c>
      <c r="G33" s="219" t="s">
        <v>83</v>
      </c>
      <c r="H33" s="215" t="s">
        <v>65</v>
      </c>
      <c r="I33" s="215"/>
      <c r="J33" s="124">
        <v>21</v>
      </c>
      <c r="K33" s="19" t="s">
        <v>84</v>
      </c>
      <c r="L33" s="19" t="s">
        <v>85</v>
      </c>
      <c r="M33" s="20"/>
      <c r="N33" s="20" t="s">
        <v>68</v>
      </c>
      <c r="O33" s="136">
        <v>1</v>
      </c>
      <c r="P33" s="136">
        <v>70</v>
      </c>
      <c r="Q33" s="20" t="s">
        <v>30</v>
      </c>
      <c r="R33" s="20" t="s">
        <v>31</v>
      </c>
      <c r="S33" s="219" t="s">
        <v>95</v>
      </c>
      <c r="T33" s="222">
        <v>0.9506</v>
      </c>
      <c r="U33" s="221" t="s">
        <v>95</v>
      </c>
      <c r="V33" s="36"/>
    </row>
    <row r="34" spans="1:22" ht="80.099999999999994" customHeight="1" x14ac:dyDescent="0.2">
      <c r="A34" s="211"/>
      <c r="B34" s="212"/>
      <c r="C34" s="16" t="s">
        <v>629</v>
      </c>
      <c r="D34" s="217"/>
      <c r="E34" s="215"/>
      <c r="F34" s="215"/>
      <c r="G34" s="215"/>
      <c r="H34" s="215"/>
      <c r="I34" s="215"/>
      <c r="J34" s="124">
        <v>22</v>
      </c>
      <c r="K34" s="19" t="s">
        <v>86</v>
      </c>
      <c r="L34" s="19" t="s">
        <v>87</v>
      </c>
      <c r="M34" s="20"/>
      <c r="N34" s="20" t="s">
        <v>71</v>
      </c>
      <c r="O34" s="136">
        <v>1</v>
      </c>
      <c r="P34" s="136">
        <v>30</v>
      </c>
      <c r="Q34" s="20" t="s">
        <v>30</v>
      </c>
      <c r="R34" s="20" t="s">
        <v>31</v>
      </c>
      <c r="S34" s="219"/>
      <c r="T34" s="222"/>
      <c r="U34" s="221"/>
      <c r="V34" s="36"/>
    </row>
    <row r="35" spans="1:22" ht="80.099999999999994" customHeight="1" x14ac:dyDescent="0.2">
      <c r="A35" s="211"/>
      <c r="B35" s="212"/>
      <c r="C35" s="16" t="s">
        <v>629</v>
      </c>
      <c r="D35" s="217"/>
      <c r="E35" s="215"/>
      <c r="F35" s="215"/>
      <c r="G35" s="215"/>
      <c r="H35" s="215"/>
      <c r="I35" s="215"/>
      <c r="J35" s="124">
        <v>23</v>
      </c>
      <c r="K35" s="20" t="s">
        <v>88</v>
      </c>
      <c r="L35" s="19" t="s">
        <v>89</v>
      </c>
      <c r="M35" s="20"/>
      <c r="N35" s="20" t="s">
        <v>74</v>
      </c>
      <c r="O35" s="136">
        <v>1</v>
      </c>
      <c r="P35" s="136">
        <v>10</v>
      </c>
      <c r="Q35" s="20" t="s">
        <v>30</v>
      </c>
      <c r="R35" s="20" t="s">
        <v>31</v>
      </c>
      <c r="S35" s="219"/>
      <c r="T35" s="222"/>
      <c r="U35" s="221"/>
      <c r="V35" s="36"/>
    </row>
    <row r="36" spans="1:22" ht="80.099999999999994" customHeight="1" x14ac:dyDescent="0.2">
      <c r="A36" s="211"/>
      <c r="B36" s="212"/>
      <c r="C36" s="16" t="s">
        <v>629</v>
      </c>
      <c r="D36" s="217"/>
      <c r="E36" s="215"/>
      <c r="F36" s="215"/>
      <c r="G36" s="215"/>
      <c r="H36" s="215"/>
      <c r="I36" s="215"/>
      <c r="J36" s="124">
        <v>24</v>
      </c>
      <c r="K36" s="20" t="s">
        <v>90</v>
      </c>
      <c r="L36" s="19" t="s">
        <v>91</v>
      </c>
      <c r="M36" s="20"/>
      <c r="N36" s="20" t="s">
        <v>77</v>
      </c>
      <c r="O36" s="136">
        <v>1</v>
      </c>
      <c r="P36" s="136">
        <v>40</v>
      </c>
      <c r="Q36" s="20" t="s">
        <v>30</v>
      </c>
      <c r="R36" s="20" t="s">
        <v>31</v>
      </c>
      <c r="S36" s="219"/>
      <c r="T36" s="222"/>
      <c r="U36" s="221"/>
      <c r="V36" s="36"/>
    </row>
    <row r="37" spans="1:22" ht="80.099999999999994" customHeight="1" x14ac:dyDescent="0.2">
      <c r="A37" s="211"/>
      <c r="B37" s="212"/>
      <c r="C37" s="16" t="s">
        <v>629</v>
      </c>
      <c r="D37" s="217"/>
      <c r="E37" s="215"/>
      <c r="F37" s="215"/>
      <c r="G37" s="215"/>
      <c r="H37" s="215"/>
      <c r="I37" s="215"/>
      <c r="J37" s="124">
        <v>25</v>
      </c>
      <c r="K37" s="21" t="s">
        <v>92</v>
      </c>
      <c r="L37" s="23" t="s">
        <v>216</v>
      </c>
      <c r="M37" s="21"/>
      <c r="N37" s="21" t="s">
        <v>98</v>
      </c>
      <c r="O37" s="53" t="s">
        <v>99</v>
      </c>
      <c r="P37" s="53" t="s">
        <v>46</v>
      </c>
      <c r="Q37" s="21" t="s">
        <v>81</v>
      </c>
      <c r="R37" s="21" t="s">
        <v>46</v>
      </c>
      <c r="S37" s="219"/>
      <c r="T37" s="222"/>
      <c r="U37" s="221"/>
      <c r="V37" s="36"/>
    </row>
    <row r="38" spans="1:22" ht="80.099999999999994" customHeight="1" x14ac:dyDescent="0.2">
      <c r="A38" s="211"/>
      <c r="B38" s="212"/>
      <c r="C38" s="16" t="s">
        <v>629</v>
      </c>
      <c r="D38" s="217"/>
      <c r="E38" s="215" t="s">
        <v>49</v>
      </c>
      <c r="F38" s="219" t="s">
        <v>567</v>
      </c>
      <c r="G38" s="219" t="s">
        <v>584</v>
      </c>
      <c r="H38" s="215" t="s">
        <v>580</v>
      </c>
      <c r="I38" s="215"/>
      <c r="J38" s="124">
        <v>26</v>
      </c>
      <c r="K38" s="183" t="s">
        <v>572</v>
      </c>
      <c r="L38" s="183" t="s">
        <v>568</v>
      </c>
      <c r="M38" s="184"/>
      <c r="N38" s="184" t="s">
        <v>68</v>
      </c>
      <c r="O38" s="185">
        <v>1</v>
      </c>
      <c r="P38" s="185">
        <v>70</v>
      </c>
      <c r="Q38" s="186" t="s">
        <v>562</v>
      </c>
      <c r="R38" s="184" t="s">
        <v>31</v>
      </c>
      <c r="S38" s="219" t="s">
        <v>95</v>
      </c>
      <c r="T38" s="222">
        <v>0.9506</v>
      </c>
      <c r="U38" s="221" t="s">
        <v>95</v>
      </c>
      <c r="V38" s="36"/>
    </row>
    <row r="39" spans="1:22" ht="80.099999999999994" customHeight="1" x14ac:dyDescent="0.2">
      <c r="A39" s="211"/>
      <c r="B39" s="212"/>
      <c r="C39" s="16" t="s">
        <v>629</v>
      </c>
      <c r="D39" s="217"/>
      <c r="E39" s="215"/>
      <c r="F39" s="215"/>
      <c r="G39" s="215"/>
      <c r="H39" s="215"/>
      <c r="I39" s="215"/>
      <c r="J39" s="124">
        <v>27</v>
      </c>
      <c r="K39" s="183" t="s">
        <v>573</v>
      </c>
      <c r="L39" s="183" t="s">
        <v>569</v>
      </c>
      <c r="M39" s="184"/>
      <c r="N39" s="184" t="s">
        <v>71</v>
      </c>
      <c r="O39" s="185">
        <v>1</v>
      </c>
      <c r="P39" s="185">
        <v>30</v>
      </c>
      <c r="Q39" s="186" t="s">
        <v>566</v>
      </c>
      <c r="R39" s="184" t="s">
        <v>31</v>
      </c>
      <c r="S39" s="219"/>
      <c r="T39" s="222"/>
      <c r="U39" s="221"/>
      <c r="V39" s="36"/>
    </row>
    <row r="40" spans="1:22" ht="80.099999999999994" customHeight="1" x14ac:dyDescent="0.2">
      <c r="A40" s="211"/>
      <c r="B40" s="212"/>
      <c r="C40" s="16" t="s">
        <v>629</v>
      </c>
      <c r="D40" s="217"/>
      <c r="E40" s="215"/>
      <c r="F40" s="215"/>
      <c r="G40" s="215"/>
      <c r="H40" s="215"/>
      <c r="I40" s="215"/>
      <c r="J40" s="124">
        <v>28</v>
      </c>
      <c r="K40" s="184" t="s">
        <v>574</v>
      </c>
      <c r="L40" s="183" t="s">
        <v>570</v>
      </c>
      <c r="M40" s="184"/>
      <c r="N40" s="184" t="s">
        <v>74</v>
      </c>
      <c r="O40" s="185">
        <v>1</v>
      </c>
      <c r="P40" s="185">
        <v>10</v>
      </c>
      <c r="Q40" s="186" t="s">
        <v>562</v>
      </c>
      <c r="R40" s="184" t="s">
        <v>31</v>
      </c>
      <c r="S40" s="219"/>
      <c r="T40" s="222"/>
      <c r="U40" s="221"/>
      <c r="V40" s="36"/>
    </row>
    <row r="41" spans="1:22" ht="80.099999999999994" customHeight="1" x14ac:dyDescent="0.2">
      <c r="A41" s="211"/>
      <c r="B41" s="212"/>
      <c r="C41" s="16" t="s">
        <v>629</v>
      </c>
      <c r="D41" s="217"/>
      <c r="E41" s="215"/>
      <c r="F41" s="215"/>
      <c r="G41" s="215"/>
      <c r="H41" s="215"/>
      <c r="I41" s="215"/>
      <c r="J41" s="124">
        <v>29</v>
      </c>
      <c r="K41" s="184" t="s">
        <v>575</v>
      </c>
      <c r="L41" s="183" t="s">
        <v>571</v>
      </c>
      <c r="M41" s="184"/>
      <c r="N41" s="184" t="s">
        <v>77</v>
      </c>
      <c r="O41" s="185">
        <v>1</v>
      </c>
      <c r="P41" s="185">
        <v>40</v>
      </c>
      <c r="Q41" s="186" t="s">
        <v>562</v>
      </c>
      <c r="R41" s="184" t="s">
        <v>31</v>
      </c>
      <c r="S41" s="219"/>
      <c r="T41" s="222"/>
      <c r="U41" s="221"/>
      <c r="V41" s="36"/>
    </row>
    <row r="42" spans="1:22" ht="80.099999999999994" customHeight="1" x14ac:dyDescent="0.2">
      <c r="A42" s="211"/>
      <c r="B42" s="212"/>
      <c r="C42" s="16" t="s">
        <v>629</v>
      </c>
      <c r="D42" s="218"/>
      <c r="E42" s="215"/>
      <c r="F42" s="215"/>
      <c r="G42" s="215"/>
      <c r="H42" s="215"/>
      <c r="I42" s="215"/>
      <c r="J42" s="124">
        <v>30</v>
      </c>
      <c r="K42" s="21" t="s">
        <v>92</v>
      </c>
      <c r="L42" s="23" t="s">
        <v>216</v>
      </c>
      <c r="M42" s="21"/>
      <c r="N42" s="21" t="s">
        <v>98</v>
      </c>
      <c r="O42" s="53" t="s">
        <v>99</v>
      </c>
      <c r="P42" s="53" t="s">
        <v>46</v>
      </c>
      <c r="Q42" s="21" t="s">
        <v>81</v>
      </c>
      <c r="R42" s="21" t="s">
        <v>46</v>
      </c>
      <c r="S42" s="219"/>
      <c r="T42" s="222"/>
      <c r="U42" s="221"/>
      <c r="V42" s="36"/>
    </row>
    <row r="43" spans="1:22" ht="80.099999999999994" customHeight="1" x14ac:dyDescent="0.2">
      <c r="A43" s="211"/>
      <c r="B43" s="212"/>
      <c r="C43" s="16" t="s">
        <v>629</v>
      </c>
      <c r="D43" s="16" t="s">
        <v>630</v>
      </c>
      <c r="E43" s="13" t="s">
        <v>100</v>
      </c>
      <c r="F43" s="13" t="s">
        <v>46</v>
      </c>
      <c r="G43" s="13" t="s">
        <v>46</v>
      </c>
      <c r="H43" s="13" t="s">
        <v>46</v>
      </c>
      <c r="I43" s="189"/>
      <c r="J43" s="124">
        <v>31</v>
      </c>
      <c r="K43" s="24" t="s">
        <v>587</v>
      </c>
      <c r="L43" s="20" t="s">
        <v>598</v>
      </c>
      <c r="M43" s="20"/>
      <c r="N43" s="20" t="s">
        <v>600</v>
      </c>
      <c r="O43" s="136">
        <v>1</v>
      </c>
      <c r="P43" s="136" t="s">
        <v>590</v>
      </c>
      <c r="Q43" s="37" t="s">
        <v>592</v>
      </c>
      <c r="R43" s="37" t="s">
        <v>594</v>
      </c>
      <c r="S43" s="13" t="s">
        <v>595</v>
      </c>
      <c r="T43" s="33">
        <v>0.91790000000000005</v>
      </c>
      <c r="U43" s="34"/>
      <c r="V43" s="36"/>
    </row>
    <row r="44" spans="1:22" ht="80.099999999999994" customHeight="1" x14ac:dyDescent="0.2">
      <c r="A44" s="211"/>
      <c r="B44" s="212"/>
      <c r="C44" s="16" t="s">
        <v>629</v>
      </c>
      <c r="D44" s="16" t="s">
        <v>94</v>
      </c>
      <c r="E44" s="13" t="s">
        <v>100</v>
      </c>
      <c r="F44" s="13" t="s">
        <v>46</v>
      </c>
      <c r="G44" s="13" t="s">
        <v>46</v>
      </c>
      <c r="H44" s="13" t="s">
        <v>46</v>
      </c>
      <c r="I44" s="189"/>
      <c r="J44" s="124">
        <v>32</v>
      </c>
      <c r="K44" s="24" t="s">
        <v>588</v>
      </c>
      <c r="L44" s="20" t="s">
        <v>610</v>
      </c>
      <c r="M44" s="20"/>
      <c r="N44" s="20" t="s">
        <v>589</v>
      </c>
      <c r="O44" s="136">
        <v>1</v>
      </c>
      <c r="P44" s="136" t="s">
        <v>591</v>
      </c>
      <c r="Q44" s="190" t="s">
        <v>593</v>
      </c>
      <c r="R44" s="37" t="s">
        <v>594</v>
      </c>
      <c r="S44" s="13" t="s">
        <v>595</v>
      </c>
      <c r="T44" s="33">
        <v>0.91790000000000005</v>
      </c>
      <c r="U44" s="34"/>
      <c r="V44" s="36"/>
    </row>
    <row r="45" spans="1:22" ht="80.099999999999994" customHeight="1" x14ac:dyDescent="0.2">
      <c r="A45" s="211"/>
      <c r="B45" s="212"/>
      <c r="C45" s="16" t="s">
        <v>629</v>
      </c>
      <c r="D45" s="16" t="s">
        <v>94</v>
      </c>
      <c r="E45" s="13" t="s">
        <v>100</v>
      </c>
      <c r="F45" s="13" t="s">
        <v>46</v>
      </c>
      <c r="G45" s="13" t="s">
        <v>46</v>
      </c>
      <c r="H45" s="13" t="s">
        <v>46</v>
      </c>
      <c r="I45" s="14" t="s">
        <v>46</v>
      </c>
      <c r="J45" s="124">
        <v>33</v>
      </c>
      <c r="K45" s="24" t="s">
        <v>102</v>
      </c>
      <c r="L45" s="25" t="s">
        <v>529</v>
      </c>
      <c r="M45" s="20"/>
      <c r="N45" s="20" t="s">
        <v>531</v>
      </c>
      <c r="O45" s="136">
        <v>1</v>
      </c>
      <c r="P45" s="136">
        <v>90</v>
      </c>
      <c r="Q45" s="37" t="s">
        <v>533</v>
      </c>
      <c r="R45" s="37" t="s">
        <v>535</v>
      </c>
      <c r="S45" s="13" t="s">
        <v>101</v>
      </c>
      <c r="T45" s="33">
        <v>0.95860000000000001</v>
      </c>
      <c r="U45" s="34"/>
      <c r="V45" s="38" t="s">
        <v>105</v>
      </c>
    </row>
    <row r="46" spans="1:22" ht="80.099999999999994" customHeight="1" x14ac:dyDescent="0.2">
      <c r="A46" s="211"/>
      <c r="B46" s="212"/>
      <c r="C46" s="16" t="s">
        <v>629</v>
      </c>
      <c r="D46" s="13" t="s">
        <v>22</v>
      </c>
      <c r="E46" s="13" t="s">
        <v>100</v>
      </c>
      <c r="F46" s="13" t="s">
        <v>46</v>
      </c>
      <c r="G46" s="13" t="s">
        <v>46</v>
      </c>
      <c r="H46" s="13" t="s">
        <v>46</v>
      </c>
      <c r="I46" s="14" t="s">
        <v>46</v>
      </c>
      <c r="J46" s="124">
        <v>34</v>
      </c>
      <c r="K46" s="26" t="s">
        <v>106</v>
      </c>
      <c r="L46" s="21" t="s">
        <v>107</v>
      </c>
      <c r="M46" s="21"/>
      <c r="N46" s="21" t="s">
        <v>108</v>
      </c>
      <c r="O46" s="53">
        <v>1</v>
      </c>
      <c r="P46" s="53" t="s">
        <v>46</v>
      </c>
      <c r="Q46" s="21" t="s">
        <v>47</v>
      </c>
      <c r="R46" s="21" t="s">
        <v>48</v>
      </c>
      <c r="S46" s="13" t="s">
        <v>109</v>
      </c>
      <c r="T46" s="4">
        <v>0.98799999999999999</v>
      </c>
      <c r="U46" s="39"/>
      <c r="V46" s="36"/>
    </row>
    <row r="47" spans="1:22" ht="80.099999999999994" customHeight="1" x14ac:dyDescent="0.2">
      <c r="A47" s="211"/>
      <c r="B47" s="212"/>
      <c r="C47" s="16" t="s">
        <v>629</v>
      </c>
      <c r="D47" s="16" t="s">
        <v>94</v>
      </c>
      <c r="E47" s="13" t="s">
        <v>100</v>
      </c>
      <c r="F47" s="13" t="s">
        <v>46</v>
      </c>
      <c r="G47" s="13" t="s">
        <v>46</v>
      </c>
      <c r="H47" s="13" t="s">
        <v>46</v>
      </c>
      <c r="I47" s="14" t="s">
        <v>46</v>
      </c>
      <c r="J47" s="124">
        <v>35</v>
      </c>
      <c r="K47" s="24" t="s">
        <v>110</v>
      </c>
      <c r="L47" s="24" t="s">
        <v>475</v>
      </c>
      <c r="M47" s="24"/>
      <c r="N47" s="24" t="s">
        <v>437</v>
      </c>
      <c r="O47" s="137">
        <v>1</v>
      </c>
      <c r="P47" s="137" t="s">
        <v>46</v>
      </c>
      <c r="Q47" s="24" t="s">
        <v>111</v>
      </c>
      <c r="R47" s="24" t="s">
        <v>104</v>
      </c>
      <c r="S47" s="13" t="s">
        <v>112</v>
      </c>
      <c r="T47" s="4">
        <v>0.93489999999999995</v>
      </c>
      <c r="U47" s="40"/>
      <c r="V47" s="36"/>
    </row>
    <row r="48" spans="1:22" ht="80.099999999999994" customHeight="1" x14ac:dyDescent="0.2">
      <c r="A48" s="211"/>
      <c r="B48" s="212"/>
      <c r="C48" s="16" t="s">
        <v>629</v>
      </c>
      <c r="D48" s="16" t="s">
        <v>94</v>
      </c>
      <c r="E48" s="13" t="s">
        <v>100</v>
      </c>
      <c r="F48" s="13" t="s">
        <v>46</v>
      </c>
      <c r="G48" s="13" t="s">
        <v>46</v>
      </c>
      <c r="H48" s="13" t="s">
        <v>46</v>
      </c>
      <c r="I48" s="14" t="s">
        <v>46</v>
      </c>
      <c r="J48" s="124">
        <v>36</v>
      </c>
      <c r="K48" s="24" t="s">
        <v>113</v>
      </c>
      <c r="L48" s="24" t="s">
        <v>476</v>
      </c>
      <c r="M48" s="24"/>
      <c r="N48" s="24" t="s">
        <v>438</v>
      </c>
      <c r="O48" s="137">
        <v>1</v>
      </c>
      <c r="P48" s="137" t="s">
        <v>46</v>
      </c>
      <c r="Q48" s="24" t="s">
        <v>111</v>
      </c>
      <c r="R48" s="24" t="s">
        <v>114</v>
      </c>
      <c r="S48" s="13" t="s">
        <v>115</v>
      </c>
      <c r="T48" s="4">
        <v>0.93489999999999995</v>
      </c>
      <c r="U48" s="40"/>
      <c r="V48" s="36"/>
    </row>
    <row r="49" spans="1:22" ht="80.099999999999994" customHeight="1" x14ac:dyDescent="0.2">
      <c r="A49" s="211"/>
      <c r="B49" s="212"/>
      <c r="C49" s="16" t="s">
        <v>629</v>
      </c>
      <c r="D49" s="16" t="s">
        <v>94</v>
      </c>
      <c r="E49" s="13" t="s">
        <v>100</v>
      </c>
      <c r="F49" s="13" t="s">
        <v>46</v>
      </c>
      <c r="G49" s="13" t="s">
        <v>46</v>
      </c>
      <c r="H49" s="13" t="s">
        <v>46</v>
      </c>
      <c r="I49" s="14" t="s">
        <v>46</v>
      </c>
      <c r="J49" s="124">
        <v>37</v>
      </c>
      <c r="K49" s="24" t="s">
        <v>116</v>
      </c>
      <c r="L49" s="24" t="s">
        <v>477</v>
      </c>
      <c r="M49" s="24"/>
      <c r="N49" s="24" t="s">
        <v>445</v>
      </c>
      <c r="O49" s="137">
        <v>1</v>
      </c>
      <c r="P49" s="137" t="s">
        <v>46</v>
      </c>
      <c r="Q49" s="24" t="s">
        <v>111</v>
      </c>
      <c r="R49" s="24" t="s">
        <v>104</v>
      </c>
      <c r="S49" s="13" t="s">
        <v>117</v>
      </c>
      <c r="T49" s="4">
        <v>0.93489999999999995</v>
      </c>
      <c r="U49" s="40"/>
      <c r="V49" s="36"/>
    </row>
    <row r="50" spans="1:22" ht="80.099999999999994" customHeight="1" x14ac:dyDescent="0.2">
      <c r="A50" s="211"/>
      <c r="B50" s="212"/>
      <c r="C50" s="16" t="s">
        <v>629</v>
      </c>
      <c r="D50" s="16" t="s">
        <v>94</v>
      </c>
      <c r="E50" s="13" t="s">
        <v>100</v>
      </c>
      <c r="F50" s="13" t="s">
        <v>46</v>
      </c>
      <c r="G50" s="13" t="s">
        <v>46</v>
      </c>
      <c r="H50" s="13" t="s">
        <v>46</v>
      </c>
      <c r="I50" s="14" t="s">
        <v>46</v>
      </c>
      <c r="J50" s="124">
        <v>38</v>
      </c>
      <c r="K50" s="24" t="s">
        <v>118</v>
      </c>
      <c r="L50" s="24" t="s">
        <v>478</v>
      </c>
      <c r="M50" s="24"/>
      <c r="N50" s="24" t="s">
        <v>445</v>
      </c>
      <c r="O50" s="137">
        <v>1</v>
      </c>
      <c r="P50" s="137" t="s">
        <v>46</v>
      </c>
      <c r="Q50" s="24" t="s">
        <v>111</v>
      </c>
      <c r="R50" s="24" t="s">
        <v>114</v>
      </c>
      <c r="S50" s="13" t="s">
        <v>119</v>
      </c>
      <c r="T50" s="4">
        <v>0.93489999999999995</v>
      </c>
      <c r="U50" s="138"/>
      <c r="V50" s="36"/>
    </row>
    <row r="51" spans="1:22" ht="80.099999999999994" customHeight="1" x14ac:dyDescent="0.2">
      <c r="A51" s="211"/>
      <c r="B51" s="212"/>
      <c r="C51" s="16" t="s">
        <v>629</v>
      </c>
      <c r="D51" s="13" t="s">
        <v>94</v>
      </c>
      <c r="E51" s="17" t="s">
        <v>100</v>
      </c>
      <c r="F51" s="13" t="s">
        <v>46</v>
      </c>
      <c r="G51" s="13" t="s">
        <v>46</v>
      </c>
      <c r="H51" s="13" t="s">
        <v>46</v>
      </c>
      <c r="I51" s="14" t="s">
        <v>46</v>
      </c>
      <c r="J51" s="124">
        <v>43</v>
      </c>
      <c r="K51" s="27" t="s">
        <v>435</v>
      </c>
      <c r="L51" s="28" t="s">
        <v>456</v>
      </c>
      <c r="M51" s="28"/>
      <c r="N51" s="28" t="s">
        <v>446</v>
      </c>
      <c r="O51" s="73">
        <v>1</v>
      </c>
      <c r="P51" s="73" t="s">
        <v>46</v>
      </c>
      <c r="Q51" s="41" t="s">
        <v>447</v>
      </c>
      <c r="R51" s="27" t="s">
        <v>114</v>
      </c>
      <c r="S51" s="13" t="s">
        <v>443</v>
      </c>
      <c r="T51" s="4">
        <v>0.93489999999999995</v>
      </c>
      <c r="U51" s="196" t="s">
        <v>479</v>
      </c>
      <c r="V51" s="36"/>
    </row>
    <row r="52" spans="1:22" ht="80.099999999999994" customHeight="1" x14ac:dyDescent="0.2">
      <c r="A52" s="211"/>
      <c r="B52" s="212"/>
      <c r="C52" s="16" t="s">
        <v>629</v>
      </c>
      <c r="D52" s="13" t="s">
        <v>94</v>
      </c>
      <c r="E52" s="17" t="s">
        <v>100</v>
      </c>
      <c r="F52" s="13" t="s">
        <v>46</v>
      </c>
      <c r="G52" s="13" t="s">
        <v>46</v>
      </c>
      <c r="H52" s="13" t="s">
        <v>46</v>
      </c>
      <c r="I52" s="14" t="s">
        <v>46</v>
      </c>
      <c r="J52" s="124">
        <v>44</v>
      </c>
      <c r="K52" s="27" t="s">
        <v>436</v>
      </c>
      <c r="L52" s="28" t="s">
        <v>457</v>
      </c>
      <c r="M52" s="28"/>
      <c r="N52" s="28" t="s">
        <v>437</v>
      </c>
      <c r="O52" s="73">
        <v>1</v>
      </c>
      <c r="P52" s="73" t="s">
        <v>46</v>
      </c>
      <c r="Q52" s="41" t="s">
        <v>120</v>
      </c>
      <c r="R52" s="27" t="s">
        <v>114</v>
      </c>
      <c r="S52" s="13" t="s">
        <v>444</v>
      </c>
      <c r="T52" s="4">
        <v>0.93489999999999995</v>
      </c>
      <c r="U52" s="196" t="s">
        <v>480</v>
      </c>
      <c r="V52" s="36"/>
    </row>
    <row r="53" spans="1:22" ht="80.099999999999994" customHeight="1" x14ac:dyDescent="0.2">
      <c r="A53" s="211"/>
      <c r="B53" s="212"/>
      <c r="C53" s="16" t="s">
        <v>629</v>
      </c>
      <c r="D53" s="13" t="s">
        <v>94</v>
      </c>
      <c r="E53" s="17" t="s">
        <v>100</v>
      </c>
      <c r="F53" s="13" t="s">
        <v>46</v>
      </c>
      <c r="G53" s="13" t="s">
        <v>46</v>
      </c>
      <c r="H53" s="13" t="s">
        <v>46</v>
      </c>
      <c r="I53" s="14" t="s">
        <v>46</v>
      </c>
      <c r="J53" s="124">
        <v>45</v>
      </c>
      <c r="K53" s="27" t="s">
        <v>440</v>
      </c>
      <c r="L53" s="28" t="s">
        <v>458</v>
      </c>
      <c r="M53" s="28"/>
      <c r="N53" s="28" t="s">
        <v>445</v>
      </c>
      <c r="O53" s="73">
        <v>1</v>
      </c>
      <c r="P53" s="73" t="s">
        <v>46</v>
      </c>
      <c r="Q53" s="41" t="s">
        <v>120</v>
      </c>
      <c r="R53" s="27" t="s">
        <v>114</v>
      </c>
      <c r="S53" s="13" t="s">
        <v>442</v>
      </c>
      <c r="T53" s="4">
        <v>0.93489999999999995</v>
      </c>
      <c r="U53" s="196" t="s">
        <v>481</v>
      </c>
      <c r="V53" s="36"/>
    </row>
    <row r="54" spans="1:22" ht="80.099999999999994" customHeight="1" x14ac:dyDescent="0.2">
      <c r="A54" s="211"/>
      <c r="B54" s="212"/>
      <c r="C54" s="16" t="s">
        <v>629</v>
      </c>
      <c r="D54" s="13" t="s">
        <v>94</v>
      </c>
      <c r="E54" s="17" t="s">
        <v>100</v>
      </c>
      <c r="F54" s="13" t="s">
        <v>46</v>
      </c>
      <c r="G54" s="13" t="s">
        <v>46</v>
      </c>
      <c r="H54" s="13" t="s">
        <v>46</v>
      </c>
      <c r="I54" s="14" t="s">
        <v>46</v>
      </c>
      <c r="J54" s="124">
        <v>46</v>
      </c>
      <c r="K54" s="27" t="s">
        <v>439</v>
      </c>
      <c r="L54" s="28" t="s">
        <v>459</v>
      </c>
      <c r="M54" s="28"/>
      <c r="N54" s="28" t="s">
        <v>445</v>
      </c>
      <c r="O54" s="73">
        <v>1</v>
      </c>
      <c r="P54" s="73" t="s">
        <v>46</v>
      </c>
      <c r="Q54" s="41" t="s">
        <v>448</v>
      </c>
      <c r="R54" s="27" t="s">
        <v>114</v>
      </c>
      <c r="S54" s="13" t="s">
        <v>441</v>
      </c>
      <c r="T54" s="4">
        <v>0.93489999999999995</v>
      </c>
      <c r="U54" s="196" t="s">
        <v>482</v>
      </c>
      <c r="V54" s="36"/>
    </row>
    <row r="55" spans="1:22" ht="80.099999999999994" customHeight="1" x14ac:dyDescent="0.2">
      <c r="A55" s="211"/>
      <c r="B55" s="212"/>
      <c r="C55" s="16" t="s">
        <v>629</v>
      </c>
      <c r="D55" s="13" t="s">
        <v>94</v>
      </c>
      <c r="E55" s="17" t="s">
        <v>100</v>
      </c>
      <c r="F55" s="13" t="s">
        <v>46</v>
      </c>
      <c r="G55" s="13" t="s">
        <v>46</v>
      </c>
      <c r="H55" s="13" t="s">
        <v>46</v>
      </c>
      <c r="I55" s="14" t="s">
        <v>46</v>
      </c>
      <c r="J55" s="124">
        <v>51</v>
      </c>
      <c r="K55" s="27" t="s">
        <v>432</v>
      </c>
      <c r="L55" s="28" t="s">
        <v>469</v>
      </c>
      <c r="M55" s="28"/>
      <c r="N55" s="28" t="s">
        <v>519</v>
      </c>
      <c r="O55" s="73">
        <v>1</v>
      </c>
      <c r="P55" s="73" t="s">
        <v>46</v>
      </c>
      <c r="Q55" s="41" t="s">
        <v>487</v>
      </c>
      <c r="R55" s="27" t="s">
        <v>433</v>
      </c>
      <c r="S55" s="13" t="s">
        <v>434</v>
      </c>
      <c r="T55" s="4">
        <v>0.95860000000000001</v>
      </c>
      <c r="U55" s="196" t="s">
        <v>484</v>
      </c>
      <c r="V55" s="36"/>
    </row>
    <row r="56" spans="1:22" ht="80.099999999999994" customHeight="1" x14ac:dyDescent="0.2">
      <c r="A56" s="211"/>
      <c r="B56" s="212"/>
      <c r="C56" s="1" t="s">
        <v>620</v>
      </c>
      <c r="D56" s="139" t="s">
        <v>94</v>
      </c>
      <c r="E56" s="139" t="s">
        <v>100</v>
      </c>
      <c r="F56" s="204" t="s">
        <v>611</v>
      </c>
      <c r="G56" s="204" t="s">
        <v>611</v>
      </c>
      <c r="H56" s="204" t="s">
        <v>611</v>
      </c>
      <c r="I56" s="204" t="s">
        <v>611</v>
      </c>
      <c r="J56" s="205">
        <v>56</v>
      </c>
      <c r="K56" s="204" t="s">
        <v>627</v>
      </c>
      <c r="L56" s="206" t="s">
        <v>624</v>
      </c>
      <c r="M56" s="204"/>
      <c r="N56" s="204" t="s">
        <v>612</v>
      </c>
      <c r="O56" s="207">
        <v>1</v>
      </c>
      <c r="P56" s="207" t="s">
        <v>611</v>
      </c>
      <c r="Q56" s="204" t="s">
        <v>613</v>
      </c>
      <c r="R56" s="204" t="s">
        <v>614</v>
      </c>
      <c r="S56" s="204" t="s">
        <v>615</v>
      </c>
      <c r="T56" s="208">
        <v>0.85</v>
      </c>
      <c r="U56" s="206" t="s">
        <v>628</v>
      </c>
    </row>
    <row r="57" spans="1:22" ht="80.099999999999994" customHeight="1" x14ac:dyDescent="0.2">
      <c r="A57" s="211"/>
      <c r="B57" s="212"/>
      <c r="C57" s="1" t="s">
        <v>620</v>
      </c>
      <c r="D57" s="13" t="s">
        <v>22</v>
      </c>
      <c r="E57" s="13" t="s">
        <v>100</v>
      </c>
      <c r="F57" s="191" t="s">
        <v>611</v>
      </c>
      <c r="G57" s="191" t="s">
        <v>611</v>
      </c>
      <c r="H57" s="191" t="s">
        <v>611</v>
      </c>
      <c r="I57" s="191" t="s">
        <v>611</v>
      </c>
      <c r="J57" s="192">
        <v>57</v>
      </c>
      <c r="K57" s="191" t="s">
        <v>627</v>
      </c>
      <c r="L57" s="193" t="s">
        <v>623</v>
      </c>
      <c r="M57" s="191"/>
      <c r="N57" s="191" t="s">
        <v>612</v>
      </c>
      <c r="O57" s="93">
        <v>1</v>
      </c>
      <c r="P57" s="93" t="s">
        <v>611</v>
      </c>
      <c r="Q57" s="191" t="s">
        <v>613</v>
      </c>
      <c r="R57" s="191" t="s">
        <v>614</v>
      </c>
      <c r="S57" s="191" t="s">
        <v>615</v>
      </c>
      <c r="T57" s="202">
        <v>0.85</v>
      </c>
      <c r="U57" s="193" t="s">
        <v>628</v>
      </c>
    </row>
    <row r="58" spans="1:22" ht="80.099999999999994" customHeight="1" x14ac:dyDescent="0.2">
      <c r="A58" s="211"/>
      <c r="B58" s="212"/>
      <c r="C58" s="1" t="s">
        <v>618</v>
      </c>
      <c r="D58" s="13" t="s">
        <v>22</v>
      </c>
      <c r="E58" s="13" t="s">
        <v>100</v>
      </c>
      <c r="F58" s="191" t="s">
        <v>611</v>
      </c>
      <c r="G58" s="191" t="s">
        <v>611</v>
      </c>
      <c r="H58" s="191" t="s">
        <v>611</v>
      </c>
      <c r="I58" s="191" t="s">
        <v>611</v>
      </c>
      <c r="J58" s="192">
        <v>57</v>
      </c>
      <c r="K58" s="191" t="s">
        <v>627</v>
      </c>
      <c r="L58" s="193" t="s">
        <v>625</v>
      </c>
      <c r="M58" s="191"/>
      <c r="N58" s="191" t="s">
        <v>616</v>
      </c>
      <c r="O58" s="93">
        <v>1</v>
      </c>
      <c r="P58" s="93" t="s">
        <v>611</v>
      </c>
      <c r="Q58" s="191" t="s">
        <v>613</v>
      </c>
      <c r="R58" s="191" t="s">
        <v>614</v>
      </c>
      <c r="S58" s="191" t="s">
        <v>615</v>
      </c>
      <c r="T58" s="202">
        <v>0.85</v>
      </c>
      <c r="U58" s="193" t="s">
        <v>628</v>
      </c>
    </row>
    <row r="59" spans="1:22" ht="80.099999999999994" customHeight="1" thickBot="1" x14ac:dyDescent="0.25">
      <c r="A59" s="213"/>
      <c r="B59" s="214"/>
      <c r="C59" s="197" t="s">
        <v>618</v>
      </c>
      <c r="D59" s="18" t="s">
        <v>22</v>
      </c>
      <c r="E59" s="18" t="s">
        <v>100</v>
      </c>
      <c r="F59" s="198" t="s">
        <v>611</v>
      </c>
      <c r="G59" s="198" t="s">
        <v>611</v>
      </c>
      <c r="H59" s="198" t="s">
        <v>611</v>
      </c>
      <c r="I59" s="198" t="s">
        <v>611</v>
      </c>
      <c r="J59" s="199">
        <v>58</v>
      </c>
      <c r="K59" s="198" t="s">
        <v>627</v>
      </c>
      <c r="L59" s="200" t="s">
        <v>626</v>
      </c>
      <c r="M59" s="198"/>
      <c r="N59" s="198" t="s">
        <v>616</v>
      </c>
      <c r="O59" s="201">
        <v>1</v>
      </c>
      <c r="P59" s="201" t="s">
        <v>611</v>
      </c>
      <c r="Q59" s="198" t="s">
        <v>613</v>
      </c>
      <c r="R59" s="198" t="s">
        <v>614</v>
      </c>
      <c r="S59" s="198" t="s">
        <v>615</v>
      </c>
      <c r="T59" s="203">
        <v>0.85</v>
      </c>
      <c r="U59" s="200" t="s">
        <v>628</v>
      </c>
    </row>
    <row r="60" spans="1:22" ht="80.099999999999994" customHeight="1" x14ac:dyDescent="0.2"/>
    <row r="61" spans="1:22" ht="80.099999999999994" customHeight="1" x14ac:dyDescent="0.2"/>
    <row r="62" spans="1:22" ht="80.099999999999994" customHeight="1" x14ac:dyDescent="0.2"/>
    <row r="63" spans="1:22" ht="80.099999999999994" customHeight="1" x14ac:dyDescent="0.2"/>
    <row r="64" spans="1:22" ht="80.099999999999994" customHeight="1" x14ac:dyDescent="0.2"/>
    <row r="65" ht="80.099999999999994" customHeight="1" x14ac:dyDescent="0.2"/>
    <row r="66" ht="80.099999999999994" customHeight="1" x14ac:dyDescent="0.2"/>
    <row r="67" ht="80.099999999999994" customHeight="1" x14ac:dyDescent="0.2"/>
    <row r="68" ht="80.099999999999994" customHeight="1" x14ac:dyDescent="0.2"/>
    <row r="69" ht="80.099999999999994" customHeight="1" x14ac:dyDescent="0.2"/>
    <row r="70" ht="80.099999999999994" customHeight="1" x14ac:dyDescent="0.2"/>
    <row r="71" ht="80.099999999999994" customHeight="1" x14ac:dyDescent="0.2"/>
    <row r="72" ht="80.099999999999994" customHeight="1" x14ac:dyDescent="0.2"/>
  </sheetData>
  <mergeCells count="67">
    <mergeCell ref="T38:T42"/>
    <mergeCell ref="S3:S7"/>
    <mergeCell ref="S8:S12"/>
    <mergeCell ref="T33:T37"/>
    <mergeCell ref="U33:U37"/>
    <mergeCell ref="S28:S32"/>
    <mergeCell ref="T28:T32"/>
    <mergeCell ref="U28:U32"/>
    <mergeCell ref="T3:T7"/>
    <mergeCell ref="T8:T12"/>
    <mergeCell ref="T13:T17"/>
    <mergeCell ref="T18:T22"/>
    <mergeCell ref="T23:T27"/>
    <mergeCell ref="U38:U42"/>
    <mergeCell ref="U3:U7"/>
    <mergeCell ref="U8:U12"/>
    <mergeCell ref="U13:U17"/>
    <mergeCell ref="U18:U22"/>
    <mergeCell ref="U23:U27"/>
    <mergeCell ref="S13:S17"/>
    <mergeCell ref="S18:S22"/>
    <mergeCell ref="S23:S27"/>
    <mergeCell ref="H38:H42"/>
    <mergeCell ref="I38:I42"/>
    <mergeCell ref="H33:H37"/>
    <mergeCell ref="I33:I37"/>
    <mergeCell ref="S33:S37"/>
    <mergeCell ref="S38:S42"/>
    <mergeCell ref="I28:I32"/>
    <mergeCell ref="H28:H32"/>
    <mergeCell ref="I3:I7"/>
    <mergeCell ref="I8:I12"/>
    <mergeCell ref="I13:I17"/>
    <mergeCell ref="I18:I22"/>
    <mergeCell ref="I23:I27"/>
    <mergeCell ref="H3:H7"/>
    <mergeCell ref="H8:H12"/>
    <mergeCell ref="H13:H17"/>
    <mergeCell ref="H18:H22"/>
    <mergeCell ref="H23:H27"/>
    <mergeCell ref="F38:F42"/>
    <mergeCell ref="G3:G7"/>
    <mergeCell ref="G8:G12"/>
    <mergeCell ref="G13:G17"/>
    <mergeCell ref="G18:G22"/>
    <mergeCell ref="G23:G27"/>
    <mergeCell ref="G38:G42"/>
    <mergeCell ref="F3:F7"/>
    <mergeCell ref="F8:F12"/>
    <mergeCell ref="F13:F17"/>
    <mergeCell ref="F18:F22"/>
    <mergeCell ref="F23:F27"/>
    <mergeCell ref="F33:F37"/>
    <mergeCell ref="G33:G37"/>
    <mergeCell ref="F28:F32"/>
    <mergeCell ref="G28:G32"/>
    <mergeCell ref="A3:B59"/>
    <mergeCell ref="D3:D22"/>
    <mergeCell ref="D23:D42"/>
    <mergeCell ref="E3:E7"/>
    <mergeCell ref="E8:E12"/>
    <mergeCell ref="E13:E17"/>
    <mergeCell ref="E18:E22"/>
    <mergeCell ref="E23:E27"/>
    <mergeCell ref="E38:E42"/>
    <mergeCell ref="E33:E37"/>
    <mergeCell ref="E28:E32"/>
  </mergeCells>
  <phoneticPr fontId="19" type="noConversion"/>
  <pageMargins left="0.70866141732283505" right="0.70866141732283505" top="0.74803149606299202" bottom="0.74803149606299202" header="0.31496062992126" footer="0.31496062992126"/>
  <pageSetup paperSize="9" scale="2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93"/>
  <sheetViews>
    <sheetView zoomScale="85" zoomScaleNormal="85" workbookViewId="0">
      <selection activeCell="I183" sqref="I183"/>
    </sheetView>
  </sheetViews>
  <sheetFormatPr defaultColWidth="9" defaultRowHeight="13.5" x14ac:dyDescent="0.2"/>
  <cols>
    <col min="1" max="1" width="1.125" style="47" customWidth="1"/>
    <col min="2" max="2" width="8.5" style="47" customWidth="1"/>
    <col min="3" max="3" width="6.125" style="47" customWidth="1"/>
    <col min="4" max="4" width="5.5" style="47" customWidth="1"/>
    <col min="5" max="5" width="12.125" style="63" customWidth="1"/>
    <col min="6" max="6" width="19.625" style="47" customWidth="1"/>
    <col min="7" max="7" width="25.625" style="47" customWidth="1"/>
    <col min="8" max="8" width="14.625" style="47" customWidth="1"/>
    <col min="9" max="9" width="21.375" style="63" customWidth="1"/>
    <col min="10" max="10" width="9" style="47" customWidth="1"/>
    <col min="11" max="11" width="18.125" style="47" customWidth="1"/>
    <col min="12" max="12" width="9" style="47" customWidth="1"/>
    <col min="13" max="13" width="9.625" style="47" customWidth="1"/>
    <col min="14" max="14" width="12.125" style="47" customWidth="1"/>
    <col min="15" max="15" width="8.5" style="47" customWidth="1"/>
    <col min="16" max="16" width="18" style="2" customWidth="1"/>
    <col min="17" max="17" width="14.5" style="2" customWidth="1"/>
    <col min="18" max="16384" width="9" style="1"/>
  </cols>
  <sheetData>
    <row r="1" spans="2:17" ht="9.75" customHeight="1" x14ac:dyDescent="0.2"/>
    <row r="2" spans="2:17" x14ac:dyDescent="0.2">
      <c r="B2" s="311" t="s">
        <v>124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2" t="s">
        <v>125</v>
      </c>
      <c r="N2" s="312"/>
      <c r="O2" s="312"/>
      <c r="P2" s="312"/>
      <c r="Q2" s="312"/>
    </row>
    <row r="3" spans="2:17" x14ac:dyDescent="0.2"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2"/>
      <c r="N3" s="312"/>
      <c r="O3" s="312"/>
      <c r="P3" s="312"/>
      <c r="Q3" s="312"/>
    </row>
    <row r="4" spans="2:17" ht="15.75" x14ac:dyDescent="0.2">
      <c r="B4" s="262" t="s">
        <v>126</v>
      </c>
      <c r="C4" s="262" t="s">
        <v>0</v>
      </c>
      <c r="D4" s="262" t="s">
        <v>8</v>
      </c>
      <c r="E4" s="282" t="s">
        <v>127</v>
      </c>
      <c r="F4" s="262" t="s">
        <v>128</v>
      </c>
      <c r="G4" s="262" t="s">
        <v>129</v>
      </c>
      <c r="H4" s="262"/>
      <c r="I4" s="262" t="s">
        <v>130</v>
      </c>
      <c r="J4" s="262"/>
      <c r="K4" s="262" t="s">
        <v>131</v>
      </c>
      <c r="L4" s="262"/>
      <c r="M4" s="262" t="s">
        <v>132</v>
      </c>
      <c r="N4" s="262" t="s">
        <v>133</v>
      </c>
      <c r="O4" s="262" t="s">
        <v>134</v>
      </c>
      <c r="P4" s="263" t="s">
        <v>135</v>
      </c>
      <c r="Q4" s="263"/>
    </row>
    <row r="5" spans="2:17" ht="15.75" x14ac:dyDescent="0.2">
      <c r="B5" s="262"/>
      <c r="C5" s="262"/>
      <c r="D5" s="262"/>
      <c r="E5" s="282"/>
      <c r="F5" s="262"/>
      <c r="G5" s="53" t="s">
        <v>136</v>
      </c>
      <c r="H5" s="53" t="s">
        <v>137</v>
      </c>
      <c r="I5" s="64" t="s">
        <v>138</v>
      </c>
      <c r="J5" s="53" t="s">
        <v>137</v>
      </c>
      <c r="K5" s="53" t="s">
        <v>138</v>
      </c>
      <c r="L5" s="53" t="s">
        <v>137</v>
      </c>
      <c r="M5" s="262"/>
      <c r="N5" s="262"/>
      <c r="O5" s="262"/>
      <c r="P5" s="263"/>
      <c r="Q5" s="263"/>
    </row>
    <row r="6" spans="2:17" ht="15" customHeight="1" x14ac:dyDescent="0.2">
      <c r="B6" s="294" t="s">
        <v>62</v>
      </c>
      <c r="C6" s="294" t="s">
        <v>20</v>
      </c>
      <c r="D6" s="50">
        <v>10</v>
      </c>
      <c r="E6" s="283" t="s">
        <v>139</v>
      </c>
      <c r="F6" s="285" t="s">
        <v>140</v>
      </c>
      <c r="G6" s="49" t="s">
        <v>141</v>
      </c>
      <c r="H6" s="49">
        <v>1</v>
      </c>
      <c r="I6" s="48" t="s">
        <v>46</v>
      </c>
      <c r="J6" s="49" t="s">
        <v>46</v>
      </c>
      <c r="K6" s="65" t="s">
        <v>302</v>
      </c>
      <c r="L6" s="49">
        <v>1</v>
      </c>
      <c r="M6" s="49">
        <v>0.8</v>
      </c>
      <c r="N6" s="49">
        <f>3600*10*0.9/M6*P6</f>
        <v>40495.949999999997</v>
      </c>
      <c r="O6" s="283">
        <v>1</v>
      </c>
      <c r="P6" s="42">
        <v>0.99990000000000001</v>
      </c>
      <c r="Q6" s="313">
        <f>PRODUCT(P6:P37)</f>
        <v>0.95061878093439922</v>
      </c>
    </row>
    <row r="7" spans="2:17" ht="15" customHeight="1" x14ac:dyDescent="0.2">
      <c r="B7" s="294"/>
      <c r="C7" s="294"/>
      <c r="D7" s="50">
        <v>20</v>
      </c>
      <c r="E7" s="283"/>
      <c r="F7" s="285"/>
      <c r="G7" s="49" t="s">
        <v>142</v>
      </c>
      <c r="H7" s="49">
        <v>1</v>
      </c>
      <c r="I7" s="48" t="s">
        <v>46</v>
      </c>
      <c r="J7" s="49" t="s">
        <v>46</v>
      </c>
      <c r="K7" s="65" t="s">
        <v>302</v>
      </c>
      <c r="L7" s="49">
        <v>1</v>
      </c>
      <c r="M7" s="49">
        <v>0.8</v>
      </c>
      <c r="N7" s="49">
        <f>3600*10*0.9/M7*P7</f>
        <v>40495.949999999997</v>
      </c>
      <c r="O7" s="283"/>
      <c r="P7" s="42">
        <v>0.99990000000000001</v>
      </c>
      <c r="Q7" s="313"/>
    </row>
    <row r="8" spans="2:17" ht="15" customHeight="1" x14ac:dyDescent="0.2">
      <c r="B8" s="294"/>
      <c r="C8" s="294"/>
      <c r="D8" s="50">
        <v>30</v>
      </c>
      <c r="E8" s="283"/>
      <c r="F8" s="285"/>
      <c r="G8" s="49" t="s">
        <v>143</v>
      </c>
      <c r="H8" s="49">
        <v>1</v>
      </c>
      <c r="I8" s="48" t="s">
        <v>46</v>
      </c>
      <c r="J8" s="49" t="s">
        <v>46</v>
      </c>
      <c r="K8" s="65" t="s">
        <v>303</v>
      </c>
      <c r="L8" s="49">
        <v>1</v>
      </c>
      <c r="M8" s="49">
        <v>0.8</v>
      </c>
      <c r="N8" s="49">
        <f>3600*10*0.9/M8*P8</f>
        <v>40495.949999999997</v>
      </c>
      <c r="O8" s="283"/>
      <c r="P8" s="42">
        <v>0.99990000000000001</v>
      </c>
      <c r="Q8" s="313"/>
    </row>
    <row r="9" spans="2:17" ht="15" customHeight="1" x14ac:dyDescent="0.2">
      <c r="B9" s="294"/>
      <c r="C9" s="294"/>
      <c r="D9" s="50">
        <v>40</v>
      </c>
      <c r="E9" s="283"/>
      <c r="F9" s="285"/>
      <c r="G9" s="49" t="s">
        <v>144</v>
      </c>
      <c r="H9" s="49">
        <v>1</v>
      </c>
      <c r="I9" s="48" t="s">
        <v>46</v>
      </c>
      <c r="J9" s="49" t="s">
        <v>46</v>
      </c>
      <c r="K9" s="65" t="s">
        <v>302</v>
      </c>
      <c r="L9" s="49">
        <v>1</v>
      </c>
      <c r="M9" s="49">
        <v>0.8</v>
      </c>
      <c r="N9" s="49">
        <f>3600*10*0.9/M9*P9</f>
        <v>40495.949999999997</v>
      </c>
      <c r="O9" s="283"/>
      <c r="P9" s="42">
        <v>0.99990000000000001</v>
      </c>
      <c r="Q9" s="313"/>
    </row>
    <row r="10" spans="2:17" ht="15" customHeight="1" x14ac:dyDescent="0.2">
      <c r="B10" s="294"/>
      <c r="C10" s="294"/>
      <c r="D10" s="50">
        <v>50</v>
      </c>
      <c r="E10" s="283" t="s">
        <v>145</v>
      </c>
      <c r="F10" s="49" t="s">
        <v>146</v>
      </c>
      <c r="G10" s="49" t="s">
        <v>46</v>
      </c>
      <c r="H10" s="49" t="s">
        <v>46</v>
      </c>
      <c r="I10" s="66" t="s">
        <v>147</v>
      </c>
      <c r="J10" s="54">
        <v>60</v>
      </c>
      <c r="K10" s="48" t="s">
        <v>46</v>
      </c>
      <c r="L10" s="49" t="s">
        <v>46</v>
      </c>
      <c r="M10" s="49">
        <v>2</v>
      </c>
      <c r="N10" s="49">
        <f>3600*10*0.9/M10*P10</f>
        <v>16198.380000000001</v>
      </c>
      <c r="O10" s="48">
        <v>2</v>
      </c>
      <c r="P10" s="42">
        <v>0.99990000000000001</v>
      </c>
      <c r="Q10" s="313"/>
    </row>
    <row r="11" spans="2:17" ht="15" customHeight="1" x14ac:dyDescent="0.2">
      <c r="B11" s="294"/>
      <c r="C11" s="294"/>
      <c r="D11" s="50">
        <v>60</v>
      </c>
      <c r="E11" s="283"/>
      <c r="F11" s="285" t="s">
        <v>148</v>
      </c>
      <c r="G11" s="283" t="s">
        <v>149</v>
      </c>
      <c r="H11" s="285">
        <v>1</v>
      </c>
      <c r="I11" s="67" t="s">
        <v>150</v>
      </c>
      <c r="J11" s="54">
        <v>50</v>
      </c>
      <c r="K11" s="48" t="s">
        <v>46</v>
      </c>
      <c r="L11" s="49" t="s">
        <v>46</v>
      </c>
      <c r="M11" s="285">
        <v>1.6</v>
      </c>
      <c r="N11" s="285">
        <f t="shared" ref="N11:N22" si="0">3600*10*0.9/M11*P11</f>
        <v>20247.974999999999</v>
      </c>
      <c r="O11" s="283">
        <v>1</v>
      </c>
      <c r="P11" s="314">
        <v>0.99990000000000001</v>
      </c>
      <c r="Q11" s="313"/>
    </row>
    <row r="12" spans="2:17" ht="15" customHeight="1" x14ac:dyDescent="0.2">
      <c r="B12" s="294"/>
      <c r="C12" s="294"/>
      <c r="D12" s="50">
        <v>70</v>
      </c>
      <c r="E12" s="283"/>
      <c r="F12" s="285"/>
      <c r="G12" s="283"/>
      <c r="H12" s="285"/>
      <c r="I12" s="67" t="s">
        <v>151</v>
      </c>
      <c r="J12" s="54">
        <v>1</v>
      </c>
      <c r="K12" s="48" t="s">
        <v>46</v>
      </c>
      <c r="L12" s="49" t="s">
        <v>46</v>
      </c>
      <c r="M12" s="285"/>
      <c r="N12" s="285"/>
      <c r="O12" s="283"/>
      <c r="P12" s="314"/>
      <c r="Q12" s="313"/>
    </row>
    <row r="13" spans="2:17" ht="15" customHeight="1" x14ac:dyDescent="0.2">
      <c r="B13" s="294"/>
      <c r="C13" s="294"/>
      <c r="D13" s="50">
        <v>80</v>
      </c>
      <c r="E13" s="283"/>
      <c r="F13" s="285"/>
      <c r="G13" s="283"/>
      <c r="H13" s="285"/>
      <c r="I13" s="67" t="s">
        <v>152</v>
      </c>
      <c r="J13" s="54">
        <v>50</v>
      </c>
      <c r="K13" s="48" t="s">
        <v>46</v>
      </c>
      <c r="L13" s="49" t="s">
        <v>46</v>
      </c>
      <c r="M13" s="285"/>
      <c r="N13" s="285"/>
      <c r="O13" s="283"/>
      <c r="P13" s="314"/>
      <c r="Q13" s="313"/>
    </row>
    <row r="14" spans="2:17" ht="15" customHeight="1" x14ac:dyDescent="0.2">
      <c r="B14" s="294"/>
      <c r="C14" s="294"/>
      <c r="D14" s="50">
        <v>90</v>
      </c>
      <c r="E14" s="283"/>
      <c r="F14" s="285"/>
      <c r="G14" s="283"/>
      <c r="H14" s="285"/>
      <c r="I14" s="67" t="s">
        <v>153</v>
      </c>
      <c r="J14" s="54">
        <v>1</v>
      </c>
      <c r="K14" s="48" t="s">
        <v>46</v>
      </c>
      <c r="L14" s="49" t="s">
        <v>46</v>
      </c>
      <c r="M14" s="285"/>
      <c r="N14" s="285"/>
      <c r="O14" s="283"/>
      <c r="P14" s="314"/>
      <c r="Q14" s="313"/>
    </row>
    <row r="15" spans="2:17" ht="15" customHeight="1" x14ac:dyDescent="0.2">
      <c r="B15" s="294"/>
      <c r="C15" s="294"/>
      <c r="D15" s="50">
        <v>100</v>
      </c>
      <c r="E15" s="283"/>
      <c r="F15" s="68" t="s">
        <v>154</v>
      </c>
      <c r="G15" s="49" t="s">
        <v>46</v>
      </c>
      <c r="H15" s="49" t="s">
        <v>46</v>
      </c>
      <c r="I15" s="48" t="s">
        <v>46</v>
      </c>
      <c r="J15" s="54" t="s">
        <v>46</v>
      </c>
      <c r="K15" s="66" t="s">
        <v>155</v>
      </c>
      <c r="L15" s="69">
        <v>1</v>
      </c>
      <c r="M15" s="49">
        <v>1</v>
      </c>
      <c r="N15" s="49">
        <f t="shared" si="0"/>
        <v>32396.760000000002</v>
      </c>
      <c r="O15" s="283">
        <v>1</v>
      </c>
      <c r="P15" s="42">
        <v>0.99990000000000001</v>
      </c>
      <c r="Q15" s="313"/>
    </row>
    <row r="16" spans="2:17" ht="15" customHeight="1" x14ac:dyDescent="0.2">
      <c r="B16" s="294"/>
      <c r="C16" s="294"/>
      <c r="D16" s="50">
        <v>110</v>
      </c>
      <c r="E16" s="283"/>
      <c r="F16" s="69" t="s">
        <v>156</v>
      </c>
      <c r="G16" s="49" t="s">
        <v>46</v>
      </c>
      <c r="H16" s="49" t="s">
        <v>46</v>
      </c>
      <c r="I16" s="48" t="s">
        <v>46</v>
      </c>
      <c r="J16" s="54" t="s">
        <v>46</v>
      </c>
      <c r="K16" s="69" t="s">
        <v>157</v>
      </c>
      <c r="L16" s="69">
        <v>1</v>
      </c>
      <c r="M16" s="49">
        <v>1</v>
      </c>
      <c r="N16" s="49">
        <f t="shared" si="0"/>
        <v>32396.760000000002</v>
      </c>
      <c r="O16" s="283"/>
      <c r="P16" s="42">
        <v>0.99990000000000001</v>
      </c>
      <c r="Q16" s="313"/>
    </row>
    <row r="17" spans="2:17" ht="15" customHeight="1" x14ac:dyDescent="0.2">
      <c r="B17" s="294"/>
      <c r="C17" s="294"/>
      <c r="D17" s="50">
        <v>120</v>
      </c>
      <c r="E17" s="283"/>
      <c r="F17" s="68" t="s">
        <v>158</v>
      </c>
      <c r="G17" s="49" t="s">
        <v>46</v>
      </c>
      <c r="H17" s="49" t="s">
        <v>46</v>
      </c>
      <c r="I17" s="49" t="s">
        <v>46</v>
      </c>
      <c r="J17" s="54" t="s">
        <v>46</v>
      </c>
      <c r="K17" s="69" t="s">
        <v>159</v>
      </c>
      <c r="L17" s="69">
        <v>1</v>
      </c>
      <c r="M17" s="49">
        <v>1.7</v>
      </c>
      <c r="N17" s="49">
        <f t="shared" si="0"/>
        <v>18868.235294117647</v>
      </c>
      <c r="O17" s="283"/>
      <c r="P17" s="42">
        <v>0.99</v>
      </c>
      <c r="Q17" s="313"/>
    </row>
    <row r="18" spans="2:17" ht="15" customHeight="1" x14ac:dyDescent="0.2">
      <c r="B18" s="294"/>
      <c r="C18" s="294"/>
      <c r="D18" s="50">
        <v>130</v>
      </c>
      <c r="E18" s="283"/>
      <c r="F18" s="68" t="s">
        <v>160</v>
      </c>
      <c r="G18" s="49" t="s">
        <v>46</v>
      </c>
      <c r="H18" s="49" t="s">
        <v>46</v>
      </c>
      <c r="I18" s="49" t="s">
        <v>46</v>
      </c>
      <c r="J18" s="54" t="s">
        <v>46</v>
      </c>
      <c r="K18" s="69" t="s">
        <v>161</v>
      </c>
      <c r="L18" s="69">
        <v>1</v>
      </c>
      <c r="M18" s="49">
        <v>1</v>
      </c>
      <c r="N18" s="49">
        <f t="shared" si="0"/>
        <v>32396.760000000002</v>
      </c>
      <c r="O18" s="283"/>
      <c r="P18" s="42">
        <v>0.99990000000000001</v>
      </c>
      <c r="Q18" s="313"/>
    </row>
    <row r="19" spans="2:17" ht="15" customHeight="1" x14ac:dyDescent="0.2">
      <c r="B19" s="294"/>
      <c r="C19" s="294"/>
      <c r="D19" s="50">
        <v>140</v>
      </c>
      <c r="E19" s="283"/>
      <c r="F19" s="68" t="s">
        <v>162</v>
      </c>
      <c r="G19" s="49" t="s">
        <v>46</v>
      </c>
      <c r="H19" s="49" t="s">
        <v>46</v>
      </c>
      <c r="I19" s="49" t="s">
        <v>46</v>
      </c>
      <c r="J19" s="54" t="s">
        <v>46</v>
      </c>
      <c r="K19" s="48" t="s">
        <v>163</v>
      </c>
      <c r="L19" s="49">
        <v>12</v>
      </c>
      <c r="M19" s="49">
        <v>1.7</v>
      </c>
      <c r="N19" s="49">
        <f>3600*10*0.9/M19*P19</f>
        <v>18868.235294117647</v>
      </c>
      <c r="O19" s="283"/>
      <c r="P19" s="42">
        <v>0.99</v>
      </c>
      <c r="Q19" s="313"/>
    </row>
    <row r="20" spans="2:17" ht="15" customHeight="1" x14ac:dyDescent="0.2">
      <c r="B20" s="294"/>
      <c r="C20" s="294"/>
      <c r="D20" s="50">
        <v>150</v>
      </c>
      <c r="E20" s="283"/>
      <c r="F20" s="49" t="s">
        <v>164</v>
      </c>
      <c r="G20" s="49" t="s">
        <v>46</v>
      </c>
      <c r="H20" s="49" t="s">
        <v>46</v>
      </c>
      <c r="I20" s="49" t="s">
        <v>46</v>
      </c>
      <c r="J20" s="54" t="s">
        <v>46</v>
      </c>
      <c r="K20" s="48" t="s">
        <v>165</v>
      </c>
      <c r="L20" s="49">
        <v>1</v>
      </c>
      <c r="M20" s="49">
        <v>1.5</v>
      </c>
      <c r="N20" s="49">
        <f t="shared" si="0"/>
        <v>21597.84</v>
      </c>
      <c r="O20" s="283"/>
      <c r="P20" s="42">
        <v>0.99990000000000001</v>
      </c>
      <c r="Q20" s="313"/>
    </row>
    <row r="21" spans="2:17" ht="15" customHeight="1" x14ac:dyDescent="0.2">
      <c r="B21" s="294"/>
      <c r="C21" s="294"/>
      <c r="D21" s="50">
        <v>160</v>
      </c>
      <c r="E21" s="283"/>
      <c r="F21" s="49" t="s">
        <v>166</v>
      </c>
      <c r="G21" s="49" t="s">
        <v>46</v>
      </c>
      <c r="H21" s="49" t="s">
        <v>46</v>
      </c>
      <c r="I21" s="48" t="s">
        <v>167</v>
      </c>
      <c r="J21" s="54">
        <v>60</v>
      </c>
      <c r="K21" s="48" t="s">
        <v>46</v>
      </c>
      <c r="L21" s="49" t="s">
        <v>46</v>
      </c>
      <c r="M21" s="49">
        <v>1.5</v>
      </c>
      <c r="N21" s="49">
        <f t="shared" si="0"/>
        <v>21597.84</v>
      </c>
      <c r="O21" s="283"/>
      <c r="P21" s="42">
        <v>0.99990000000000001</v>
      </c>
      <c r="Q21" s="313"/>
    </row>
    <row r="22" spans="2:17" ht="15" customHeight="1" x14ac:dyDescent="0.2">
      <c r="B22" s="294"/>
      <c r="C22" s="294"/>
      <c r="D22" s="50">
        <v>170</v>
      </c>
      <c r="E22" s="283"/>
      <c r="F22" s="49" t="s">
        <v>168</v>
      </c>
      <c r="G22" s="49" t="s">
        <v>46</v>
      </c>
      <c r="H22" s="49" t="s">
        <v>46</v>
      </c>
      <c r="I22" s="48" t="s">
        <v>46</v>
      </c>
      <c r="J22" s="54" t="s">
        <v>46</v>
      </c>
      <c r="K22" s="48" t="s">
        <v>169</v>
      </c>
      <c r="L22" s="49">
        <v>1</v>
      </c>
      <c r="M22" s="49">
        <v>1.5</v>
      </c>
      <c r="N22" s="49">
        <f t="shared" si="0"/>
        <v>21384</v>
      </c>
      <c r="O22" s="283"/>
      <c r="P22" s="42">
        <v>0.99</v>
      </c>
      <c r="Q22" s="313"/>
    </row>
    <row r="23" spans="2:17" ht="15" customHeight="1" x14ac:dyDescent="0.2">
      <c r="B23" s="294"/>
      <c r="C23" s="294"/>
      <c r="D23" s="50">
        <v>180</v>
      </c>
      <c r="E23" s="48" t="s">
        <v>170</v>
      </c>
      <c r="F23" s="54" t="s">
        <v>171</v>
      </c>
      <c r="G23" s="48" t="s">
        <v>46</v>
      </c>
      <c r="H23" s="49" t="s">
        <v>46</v>
      </c>
      <c r="I23" s="70" t="s">
        <v>172</v>
      </c>
      <c r="J23" s="54" t="s">
        <v>173</v>
      </c>
      <c r="K23" s="48" t="s">
        <v>46</v>
      </c>
      <c r="L23" s="49" t="s">
        <v>46</v>
      </c>
      <c r="M23" s="49">
        <v>1</v>
      </c>
      <c r="N23" s="49">
        <f>3600*10/M23*P23*0.9</f>
        <v>32396.760000000002</v>
      </c>
      <c r="O23" s="49">
        <v>1</v>
      </c>
      <c r="P23" s="42">
        <v>0.99990000000000001</v>
      </c>
      <c r="Q23" s="313"/>
    </row>
    <row r="24" spans="2:17" ht="15" customHeight="1" x14ac:dyDescent="0.2">
      <c r="B24" s="294"/>
      <c r="C24" s="294"/>
      <c r="D24" s="50">
        <v>190</v>
      </c>
      <c r="E24" s="283" t="s">
        <v>174</v>
      </c>
      <c r="F24" s="54" t="s">
        <v>175</v>
      </c>
      <c r="G24" s="49" t="s">
        <v>176</v>
      </c>
      <c r="H24" s="49">
        <v>1</v>
      </c>
      <c r="I24" s="48" t="s">
        <v>177</v>
      </c>
      <c r="J24" s="54">
        <v>40</v>
      </c>
      <c r="K24" s="49" t="s">
        <v>46</v>
      </c>
      <c r="L24" s="49" t="s">
        <v>46</v>
      </c>
      <c r="M24" s="49">
        <v>1</v>
      </c>
      <c r="N24" s="49">
        <f>3600*10/M24*P24*0.9</f>
        <v>32076</v>
      </c>
      <c r="O24" s="285">
        <v>1</v>
      </c>
      <c r="P24" s="314">
        <v>0.99</v>
      </c>
      <c r="Q24" s="313"/>
    </row>
    <row r="25" spans="2:17" ht="15" customHeight="1" x14ac:dyDescent="0.2">
      <c r="B25" s="294"/>
      <c r="C25" s="294"/>
      <c r="D25" s="50">
        <v>200</v>
      </c>
      <c r="E25" s="283"/>
      <c r="F25" s="69" t="s">
        <v>156</v>
      </c>
      <c r="G25" s="49" t="s">
        <v>46</v>
      </c>
      <c r="H25" s="49" t="s">
        <v>46</v>
      </c>
      <c r="I25" s="48" t="s">
        <v>46</v>
      </c>
      <c r="J25" s="54" t="s">
        <v>46</v>
      </c>
      <c r="K25" s="69" t="s">
        <v>157</v>
      </c>
      <c r="L25" s="69">
        <v>1</v>
      </c>
      <c r="M25" s="49">
        <v>1</v>
      </c>
      <c r="N25" s="49">
        <f>3600*10/M25*P24*0.9</f>
        <v>32076</v>
      </c>
      <c r="O25" s="285"/>
      <c r="P25" s="314"/>
      <c r="Q25" s="313"/>
    </row>
    <row r="26" spans="2:17" ht="15" customHeight="1" x14ac:dyDescent="0.2">
      <c r="B26" s="294"/>
      <c r="C26" s="294"/>
      <c r="D26" s="50">
        <v>210</v>
      </c>
      <c r="E26" s="283"/>
      <c r="F26" s="71" t="s">
        <v>215</v>
      </c>
      <c r="G26" s="72" t="s">
        <v>217</v>
      </c>
      <c r="H26" s="49">
        <v>1</v>
      </c>
      <c r="I26" s="48" t="s">
        <v>46</v>
      </c>
      <c r="J26" s="49" t="s">
        <v>46</v>
      </c>
      <c r="K26" s="71" t="s">
        <v>218</v>
      </c>
      <c r="L26" s="69">
        <v>1</v>
      </c>
      <c r="M26" s="49">
        <v>1</v>
      </c>
      <c r="N26" s="49">
        <f>3600*10/M26*P24*0.9</f>
        <v>32076</v>
      </c>
      <c r="O26" s="285"/>
      <c r="P26" s="314"/>
      <c r="Q26" s="313"/>
    </row>
    <row r="27" spans="2:17" ht="15" customHeight="1" x14ac:dyDescent="0.2">
      <c r="B27" s="294"/>
      <c r="C27" s="294"/>
      <c r="D27" s="50">
        <v>220</v>
      </c>
      <c r="E27" s="283"/>
      <c r="F27" s="68" t="s">
        <v>158</v>
      </c>
      <c r="G27" s="49" t="s">
        <v>46</v>
      </c>
      <c r="H27" s="49" t="s">
        <v>46</v>
      </c>
      <c r="I27" s="48" t="s">
        <v>46</v>
      </c>
      <c r="J27" s="49" t="s">
        <v>46</v>
      </c>
      <c r="K27" s="69" t="s">
        <v>159</v>
      </c>
      <c r="L27" s="49">
        <v>1</v>
      </c>
      <c r="M27" s="49">
        <v>1.7</v>
      </c>
      <c r="N27" s="49">
        <f>3600*10/M27*P24*0.9</f>
        <v>18868.235294117647</v>
      </c>
      <c r="O27" s="285"/>
      <c r="P27" s="314"/>
      <c r="Q27" s="313"/>
    </row>
    <row r="28" spans="2:17" ht="15" customHeight="1" x14ac:dyDescent="0.2">
      <c r="B28" s="294"/>
      <c r="C28" s="294"/>
      <c r="D28" s="50">
        <v>230</v>
      </c>
      <c r="E28" s="283"/>
      <c r="F28" s="68" t="s">
        <v>160</v>
      </c>
      <c r="G28" s="49" t="s">
        <v>46</v>
      </c>
      <c r="H28" s="49" t="s">
        <v>46</v>
      </c>
      <c r="I28" s="48" t="s">
        <v>46</v>
      </c>
      <c r="J28" s="49" t="s">
        <v>46</v>
      </c>
      <c r="K28" s="69" t="s">
        <v>161</v>
      </c>
      <c r="L28" s="49">
        <v>1</v>
      </c>
      <c r="M28" s="49">
        <v>1</v>
      </c>
      <c r="N28" s="49">
        <f>3600*10/M28*P24*0.9</f>
        <v>32076</v>
      </c>
      <c r="O28" s="285"/>
      <c r="P28" s="314"/>
      <c r="Q28" s="313"/>
    </row>
    <row r="29" spans="2:17" ht="15" customHeight="1" x14ac:dyDescent="0.2">
      <c r="B29" s="294"/>
      <c r="C29" s="294"/>
      <c r="D29" s="50">
        <v>240</v>
      </c>
      <c r="E29" s="283"/>
      <c r="F29" s="68" t="s">
        <v>178</v>
      </c>
      <c r="G29" s="49" t="s">
        <v>46</v>
      </c>
      <c r="H29" s="49" t="s">
        <v>46</v>
      </c>
      <c r="I29" s="49" t="s">
        <v>46</v>
      </c>
      <c r="J29" s="49" t="s">
        <v>46</v>
      </c>
      <c r="K29" s="48" t="s">
        <v>179</v>
      </c>
      <c r="L29" s="49">
        <v>12</v>
      </c>
      <c r="M29" s="49">
        <v>1.7</v>
      </c>
      <c r="N29" s="49">
        <f>3600*10/M29*P24*0.9</f>
        <v>18868.235294117647</v>
      </c>
      <c r="O29" s="285"/>
      <c r="P29" s="314"/>
      <c r="Q29" s="313"/>
    </row>
    <row r="30" spans="2:17" ht="15" customHeight="1" x14ac:dyDescent="0.2">
      <c r="B30" s="294"/>
      <c r="C30" s="294"/>
      <c r="D30" s="50">
        <v>250</v>
      </c>
      <c r="E30" s="283"/>
      <c r="F30" s="54" t="s">
        <v>180</v>
      </c>
      <c r="G30" s="48" t="s">
        <v>46</v>
      </c>
      <c r="H30" s="49" t="s">
        <v>46</v>
      </c>
      <c r="I30" s="48" t="s">
        <v>181</v>
      </c>
      <c r="J30" s="49">
        <v>1</v>
      </c>
      <c r="K30" s="70" t="s">
        <v>46</v>
      </c>
      <c r="L30" s="49" t="s">
        <v>46</v>
      </c>
      <c r="M30" s="49">
        <v>1.5</v>
      </c>
      <c r="N30" s="49">
        <f>3600*10/M30*P24*0.9</f>
        <v>21384</v>
      </c>
      <c r="O30" s="49">
        <v>1</v>
      </c>
      <c r="P30" s="314"/>
      <c r="Q30" s="313"/>
    </row>
    <row r="31" spans="2:17" ht="15" customHeight="1" x14ac:dyDescent="0.2">
      <c r="B31" s="294"/>
      <c r="C31" s="294"/>
      <c r="D31" s="50">
        <v>260</v>
      </c>
      <c r="E31" s="54" t="s">
        <v>182</v>
      </c>
      <c r="F31" s="73" t="s">
        <v>183</v>
      </c>
      <c r="G31" s="48" t="s">
        <v>46</v>
      </c>
      <c r="H31" s="49" t="s">
        <v>46</v>
      </c>
      <c r="I31" s="49" t="s">
        <v>46</v>
      </c>
      <c r="J31" s="49" t="s">
        <v>46</v>
      </c>
      <c r="K31" s="48" t="s">
        <v>307</v>
      </c>
      <c r="L31" s="49">
        <v>1</v>
      </c>
      <c r="M31" s="50">
        <v>1.7</v>
      </c>
      <c r="N31" s="54">
        <f>3600*10/M31*P31*0.9*L31</f>
        <v>19056.917647058825</v>
      </c>
      <c r="O31" s="49">
        <v>1</v>
      </c>
      <c r="P31" s="42">
        <v>0.99990000000000001</v>
      </c>
      <c r="Q31" s="313"/>
    </row>
    <row r="32" spans="2:17" ht="15" customHeight="1" x14ac:dyDescent="0.2">
      <c r="B32" s="294"/>
      <c r="C32" s="294"/>
      <c r="D32" s="50">
        <v>270</v>
      </c>
      <c r="E32" s="55" t="s">
        <v>305</v>
      </c>
      <c r="F32" s="55" t="s">
        <v>304</v>
      </c>
      <c r="G32" s="48" t="s">
        <v>46</v>
      </c>
      <c r="H32" s="49" t="s">
        <v>46</v>
      </c>
      <c r="I32" s="49" t="s">
        <v>46</v>
      </c>
      <c r="J32" s="49" t="s">
        <v>46</v>
      </c>
      <c r="K32" s="74" t="s">
        <v>306</v>
      </c>
      <c r="L32" s="49">
        <v>1</v>
      </c>
      <c r="M32" s="50">
        <v>1.5</v>
      </c>
      <c r="N32" s="54">
        <f>3600*10/M32*P32*0.9*L32</f>
        <v>21597.84</v>
      </c>
      <c r="O32" s="49">
        <v>1</v>
      </c>
      <c r="P32" s="42">
        <v>0.99990000000000001</v>
      </c>
      <c r="Q32" s="313"/>
    </row>
    <row r="33" spans="1:17" ht="15" customHeight="1" x14ac:dyDescent="0.2">
      <c r="B33" s="294"/>
      <c r="C33" s="294"/>
      <c r="D33" s="50">
        <v>280</v>
      </c>
      <c r="E33" s="284" t="s">
        <v>184</v>
      </c>
      <c r="F33" s="73" t="s">
        <v>185</v>
      </c>
      <c r="G33" s="48" t="s">
        <v>46</v>
      </c>
      <c r="H33" s="49" t="s">
        <v>46</v>
      </c>
      <c r="I33" s="74" t="s">
        <v>219</v>
      </c>
      <c r="J33" s="49">
        <v>1</v>
      </c>
      <c r="K33" s="48" t="s">
        <v>46</v>
      </c>
      <c r="L33" s="49" t="s">
        <v>46</v>
      </c>
      <c r="M33" s="285">
        <v>1.8</v>
      </c>
      <c r="N33" s="284">
        <f>3600*10/M33*P33*0.9</f>
        <v>17838</v>
      </c>
      <c r="O33" s="285">
        <v>18</v>
      </c>
      <c r="P33" s="314">
        <v>0.99099999999999999</v>
      </c>
      <c r="Q33" s="313"/>
    </row>
    <row r="34" spans="1:17" ht="15" customHeight="1" x14ac:dyDescent="0.2">
      <c r="B34" s="294"/>
      <c r="C34" s="294"/>
      <c r="D34" s="50">
        <v>290</v>
      </c>
      <c r="E34" s="284"/>
      <c r="F34" s="54" t="s">
        <v>186</v>
      </c>
      <c r="G34" s="48" t="s">
        <v>46</v>
      </c>
      <c r="H34" s="49" t="s">
        <v>46</v>
      </c>
      <c r="I34" s="48" t="s">
        <v>187</v>
      </c>
      <c r="J34" s="55" t="s">
        <v>220</v>
      </c>
      <c r="K34" s="48" t="s">
        <v>46</v>
      </c>
      <c r="L34" s="49" t="s">
        <v>46</v>
      </c>
      <c r="M34" s="285"/>
      <c r="N34" s="284"/>
      <c r="O34" s="285"/>
      <c r="P34" s="314"/>
      <c r="Q34" s="313"/>
    </row>
    <row r="35" spans="1:17" ht="15" customHeight="1" x14ac:dyDescent="0.2">
      <c r="B35" s="294"/>
      <c r="C35" s="294"/>
      <c r="D35" s="50">
        <v>300</v>
      </c>
      <c r="E35" s="284"/>
      <c r="F35" s="54" t="s">
        <v>188</v>
      </c>
      <c r="G35" s="48" t="s">
        <v>46</v>
      </c>
      <c r="H35" s="49" t="s">
        <v>46</v>
      </c>
      <c r="I35" s="75" t="s">
        <v>189</v>
      </c>
      <c r="J35" s="56" t="s">
        <v>190</v>
      </c>
      <c r="K35" s="48" t="s">
        <v>46</v>
      </c>
      <c r="L35" s="49" t="s">
        <v>46</v>
      </c>
      <c r="M35" s="285"/>
      <c r="N35" s="284"/>
      <c r="O35" s="285"/>
      <c r="P35" s="314"/>
      <c r="Q35" s="313"/>
    </row>
    <row r="36" spans="1:17" ht="15" customHeight="1" x14ac:dyDescent="0.2">
      <c r="B36" s="294"/>
      <c r="C36" s="294"/>
      <c r="D36" s="50">
        <v>310</v>
      </c>
      <c r="E36" s="284"/>
      <c r="F36" s="54" t="s">
        <v>191</v>
      </c>
      <c r="G36" s="48" t="s">
        <v>46</v>
      </c>
      <c r="H36" s="49" t="s">
        <v>46</v>
      </c>
      <c r="I36" s="48" t="s">
        <v>46</v>
      </c>
      <c r="J36" s="49" t="s">
        <v>46</v>
      </c>
      <c r="K36" s="69" t="s">
        <v>161</v>
      </c>
      <c r="L36" s="49">
        <v>1</v>
      </c>
      <c r="M36" s="285"/>
      <c r="N36" s="284"/>
      <c r="O36" s="285"/>
      <c r="P36" s="314"/>
      <c r="Q36" s="313"/>
    </row>
    <row r="37" spans="1:17" ht="15" customHeight="1" x14ac:dyDescent="0.2">
      <c r="B37" s="294"/>
      <c r="C37" s="294"/>
      <c r="D37" s="50">
        <v>320</v>
      </c>
      <c r="E37" s="284"/>
      <c r="F37" s="54" t="s">
        <v>192</v>
      </c>
      <c r="G37" s="48" t="s">
        <v>46</v>
      </c>
      <c r="H37" s="49" t="s">
        <v>46</v>
      </c>
      <c r="I37" s="48" t="s">
        <v>46</v>
      </c>
      <c r="J37" s="49" t="s">
        <v>46</v>
      </c>
      <c r="K37" s="48" t="s">
        <v>46</v>
      </c>
      <c r="L37" s="49" t="s">
        <v>46</v>
      </c>
      <c r="M37" s="285"/>
      <c r="N37" s="284"/>
      <c r="O37" s="285"/>
      <c r="P37" s="314"/>
      <c r="Q37" s="313"/>
    </row>
    <row r="38" spans="1:17" ht="15.75" x14ac:dyDescent="0.2">
      <c r="B38" s="51"/>
      <c r="C38" s="51"/>
      <c r="D38" s="51"/>
      <c r="E38" s="76"/>
      <c r="F38" s="51"/>
      <c r="G38" s="51"/>
      <c r="H38" s="51"/>
      <c r="I38" s="76"/>
      <c r="J38" s="51"/>
      <c r="K38" s="281" t="s">
        <v>193</v>
      </c>
      <c r="L38" s="281"/>
      <c r="M38" s="50">
        <f>O6*(M6+M7+M8+M9)+O10*M10+O11*M11+O15*(M15+M16+M17+M18+M19+M20+M21+M22)+O23*M23+O24*(M24+M25+M26+M27+M28+M29)+O30*M30+O31*M31+O32*M32+O33*M33</f>
        <v>65.199999999999989</v>
      </c>
      <c r="N38" s="50" t="s">
        <v>194</v>
      </c>
      <c r="O38" s="50">
        <f>SUM(O6:O37)</f>
        <v>28</v>
      </c>
      <c r="P38" s="3"/>
      <c r="Q38" s="3"/>
    </row>
    <row r="39" spans="1:17" ht="15.75" x14ac:dyDescent="0.2">
      <c r="B39" s="51"/>
      <c r="C39" s="51"/>
      <c r="D39" s="51"/>
      <c r="E39" s="76"/>
      <c r="F39" s="51"/>
      <c r="G39" s="51"/>
      <c r="H39" s="51"/>
      <c r="I39" s="76"/>
      <c r="J39" s="51"/>
      <c r="K39" s="51"/>
      <c r="L39" s="51"/>
      <c r="M39" s="51"/>
      <c r="N39" s="51"/>
      <c r="O39" s="51"/>
      <c r="P39" s="3"/>
      <c r="Q39" s="3"/>
    </row>
    <row r="40" spans="1:17" ht="15.75" x14ac:dyDescent="0.2">
      <c r="B40" s="51"/>
      <c r="C40" s="51"/>
      <c r="D40" s="51"/>
      <c r="E40" s="76"/>
      <c r="F40" s="51"/>
      <c r="G40" s="51"/>
      <c r="H40" s="51"/>
      <c r="I40" s="76"/>
      <c r="J40" s="51"/>
      <c r="K40" s="51"/>
      <c r="L40" s="51"/>
      <c r="M40" s="51"/>
      <c r="N40" s="51"/>
      <c r="O40" s="51"/>
      <c r="P40" s="3"/>
      <c r="Q40" s="3"/>
    </row>
    <row r="41" spans="1:17" s="44" customFormat="1" x14ac:dyDescent="0.2">
      <c r="A41" s="77"/>
      <c r="B41" s="288" t="s">
        <v>301</v>
      </c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305" t="s">
        <v>255</v>
      </c>
      <c r="N41" s="305"/>
      <c r="O41" s="305"/>
      <c r="P41" s="305"/>
      <c r="Q41" s="305"/>
    </row>
    <row r="42" spans="1:17" s="44" customFormat="1" x14ac:dyDescent="0.2">
      <c r="A42" s="77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305"/>
      <c r="N42" s="305"/>
      <c r="O42" s="305"/>
      <c r="P42" s="305"/>
      <c r="Q42" s="305"/>
    </row>
    <row r="43" spans="1:17" s="44" customFormat="1" ht="15.75" x14ac:dyDescent="0.2">
      <c r="A43" s="77"/>
      <c r="B43" s="289" t="s">
        <v>126</v>
      </c>
      <c r="C43" s="289" t="s">
        <v>0</v>
      </c>
      <c r="D43" s="289" t="s">
        <v>8</v>
      </c>
      <c r="E43" s="290" t="s">
        <v>127</v>
      </c>
      <c r="F43" s="289" t="s">
        <v>128</v>
      </c>
      <c r="G43" s="289" t="s">
        <v>129</v>
      </c>
      <c r="H43" s="289"/>
      <c r="I43" s="289" t="s">
        <v>130</v>
      </c>
      <c r="J43" s="289"/>
      <c r="K43" s="289" t="s">
        <v>131</v>
      </c>
      <c r="L43" s="289"/>
      <c r="M43" s="289" t="s">
        <v>132</v>
      </c>
      <c r="N43" s="289" t="s">
        <v>133</v>
      </c>
      <c r="O43" s="289" t="s">
        <v>134</v>
      </c>
      <c r="P43" s="306" t="s">
        <v>135</v>
      </c>
      <c r="Q43" s="306"/>
    </row>
    <row r="44" spans="1:17" s="44" customFormat="1" ht="15.75" x14ac:dyDescent="0.2">
      <c r="A44" s="77"/>
      <c r="B44" s="289"/>
      <c r="C44" s="289"/>
      <c r="D44" s="289"/>
      <c r="E44" s="290"/>
      <c r="F44" s="289"/>
      <c r="G44" s="57" t="s">
        <v>136</v>
      </c>
      <c r="H44" s="57" t="s">
        <v>137</v>
      </c>
      <c r="I44" s="78" t="s">
        <v>138</v>
      </c>
      <c r="J44" s="57" t="s">
        <v>137</v>
      </c>
      <c r="K44" s="57" t="s">
        <v>138</v>
      </c>
      <c r="L44" s="57" t="s">
        <v>137</v>
      </c>
      <c r="M44" s="289"/>
      <c r="N44" s="289"/>
      <c r="O44" s="289"/>
      <c r="P44" s="306"/>
      <c r="Q44" s="306"/>
    </row>
    <row r="45" spans="1:17" s="44" customFormat="1" ht="15.75" x14ac:dyDescent="0.2">
      <c r="A45" s="77"/>
      <c r="B45" s="295" t="s">
        <v>21</v>
      </c>
      <c r="C45" s="295" t="s">
        <v>20</v>
      </c>
      <c r="D45" s="52">
        <v>10</v>
      </c>
      <c r="E45" s="286" t="s">
        <v>195</v>
      </c>
      <c r="F45" s="287" t="s">
        <v>256</v>
      </c>
      <c r="G45" s="52" t="s">
        <v>257</v>
      </c>
      <c r="H45" s="52">
        <v>1</v>
      </c>
      <c r="I45" s="79" t="s">
        <v>258</v>
      </c>
      <c r="J45" s="52">
        <v>8</v>
      </c>
      <c r="K45" s="296" t="s">
        <v>251</v>
      </c>
      <c r="L45" s="299" t="s">
        <v>251</v>
      </c>
      <c r="M45" s="52">
        <v>2</v>
      </c>
      <c r="N45" s="52">
        <f>3600*10*0.9/M45*P45</f>
        <v>16198.380000000001</v>
      </c>
      <c r="O45" s="286">
        <v>3</v>
      </c>
      <c r="P45" s="43">
        <v>0.99990000000000001</v>
      </c>
      <c r="Q45" s="307">
        <f>PRODUCT(P45:P65)</f>
        <v>0.87295599633480436</v>
      </c>
    </row>
    <row r="46" spans="1:17" s="44" customFormat="1" ht="15.75" x14ac:dyDescent="0.2">
      <c r="A46" s="77"/>
      <c r="B46" s="295"/>
      <c r="C46" s="295"/>
      <c r="D46" s="52">
        <v>20</v>
      </c>
      <c r="E46" s="286"/>
      <c r="F46" s="287"/>
      <c r="G46" s="52" t="s">
        <v>259</v>
      </c>
      <c r="H46" s="52">
        <v>1</v>
      </c>
      <c r="I46" s="79" t="s">
        <v>258</v>
      </c>
      <c r="J46" s="52">
        <v>8</v>
      </c>
      <c r="K46" s="297"/>
      <c r="L46" s="300"/>
      <c r="M46" s="52">
        <v>2</v>
      </c>
      <c r="N46" s="52">
        <f>3600*10*0.9/M46*P46</f>
        <v>16198.380000000001</v>
      </c>
      <c r="O46" s="286"/>
      <c r="P46" s="43">
        <v>0.99990000000000001</v>
      </c>
      <c r="Q46" s="307"/>
    </row>
    <row r="47" spans="1:17" s="44" customFormat="1" ht="15.75" x14ac:dyDescent="0.2">
      <c r="A47" s="77"/>
      <c r="B47" s="295"/>
      <c r="C47" s="295"/>
      <c r="D47" s="52">
        <v>30</v>
      </c>
      <c r="E47" s="286"/>
      <c r="F47" s="287"/>
      <c r="G47" s="52" t="s">
        <v>260</v>
      </c>
      <c r="H47" s="52">
        <v>1</v>
      </c>
      <c r="I47" s="79" t="s">
        <v>258</v>
      </c>
      <c r="J47" s="52">
        <v>8</v>
      </c>
      <c r="K47" s="297"/>
      <c r="L47" s="300"/>
      <c r="M47" s="52">
        <v>2</v>
      </c>
      <c r="N47" s="52">
        <f>3600*10*0.9/M47*P47</f>
        <v>16198.380000000001</v>
      </c>
      <c r="O47" s="286"/>
      <c r="P47" s="43">
        <v>0.99990000000000001</v>
      </c>
      <c r="Q47" s="307"/>
    </row>
    <row r="48" spans="1:17" s="44" customFormat="1" ht="15.75" x14ac:dyDescent="0.2">
      <c r="A48" s="77"/>
      <c r="B48" s="295"/>
      <c r="C48" s="295"/>
      <c r="D48" s="52">
        <v>40</v>
      </c>
      <c r="E48" s="286"/>
      <c r="F48" s="287"/>
      <c r="G48" s="52" t="s">
        <v>261</v>
      </c>
      <c r="H48" s="52">
        <v>1</v>
      </c>
      <c r="I48" s="79" t="s">
        <v>258</v>
      </c>
      <c r="J48" s="52">
        <v>8</v>
      </c>
      <c r="K48" s="298"/>
      <c r="L48" s="301"/>
      <c r="M48" s="52">
        <v>2</v>
      </c>
      <c r="N48" s="52">
        <f>3600*10*0.9/M48*P48</f>
        <v>16198.380000000001</v>
      </c>
      <c r="O48" s="286"/>
      <c r="P48" s="43">
        <v>0.99990000000000001</v>
      </c>
      <c r="Q48" s="307"/>
    </row>
    <row r="49" spans="1:17" s="44" customFormat="1" ht="41.25" customHeight="1" x14ac:dyDescent="0.2">
      <c r="A49" s="77"/>
      <c r="B49" s="295"/>
      <c r="C49" s="295"/>
      <c r="D49" s="287">
        <v>50</v>
      </c>
      <c r="E49" s="286" t="s">
        <v>262</v>
      </c>
      <c r="F49" s="287" t="s">
        <v>263</v>
      </c>
      <c r="G49" s="286" t="s">
        <v>264</v>
      </c>
      <c r="H49" s="287">
        <v>1</v>
      </c>
      <c r="I49" s="79" t="s">
        <v>308</v>
      </c>
      <c r="J49" s="52">
        <v>8</v>
      </c>
      <c r="K49" s="287" t="s">
        <v>46</v>
      </c>
      <c r="L49" s="287" t="s">
        <v>46</v>
      </c>
      <c r="M49" s="287">
        <v>6</v>
      </c>
      <c r="N49" s="287">
        <f>3600*10/M49*P49*0.9</f>
        <v>5184</v>
      </c>
      <c r="O49" s="287">
        <v>2</v>
      </c>
      <c r="P49" s="315">
        <v>0.96</v>
      </c>
      <c r="Q49" s="307"/>
    </row>
    <row r="50" spans="1:17" s="44" customFormat="1" ht="35.25" customHeight="1" x14ac:dyDescent="0.2">
      <c r="A50" s="77"/>
      <c r="B50" s="295"/>
      <c r="C50" s="295"/>
      <c r="D50" s="287"/>
      <c r="E50" s="286"/>
      <c r="F50" s="287"/>
      <c r="G50" s="286"/>
      <c r="H50" s="287"/>
      <c r="I50" s="79" t="s">
        <v>265</v>
      </c>
      <c r="J50" s="52">
        <v>2</v>
      </c>
      <c r="K50" s="287"/>
      <c r="L50" s="287"/>
      <c r="M50" s="287"/>
      <c r="N50" s="287"/>
      <c r="O50" s="287"/>
      <c r="P50" s="315"/>
      <c r="Q50" s="307"/>
    </row>
    <row r="51" spans="1:17" s="44" customFormat="1" ht="15.75" x14ac:dyDescent="0.2">
      <c r="A51" s="77"/>
      <c r="B51" s="295"/>
      <c r="C51" s="295"/>
      <c r="D51" s="52">
        <v>70</v>
      </c>
      <c r="E51" s="286"/>
      <c r="F51" s="58" t="s">
        <v>266</v>
      </c>
      <c r="G51" s="79" t="s">
        <v>46</v>
      </c>
      <c r="H51" s="52" t="s">
        <v>46</v>
      </c>
      <c r="I51" s="79" t="s">
        <v>267</v>
      </c>
      <c r="J51" s="52">
        <v>2</v>
      </c>
      <c r="K51" s="52" t="s">
        <v>268</v>
      </c>
      <c r="L51" s="52">
        <v>1</v>
      </c>
      <c r="M51" s="52">
        <v>7.5</v>
      </c>
      <c r="N51" s="52">
        <f>3600*10/M51*P49*0.9</f>
        <v>4147.2</v>
      </c>
      <c r="O51" s="52">
        <v>1</v>
      </c>
      <c r="P51" s="315"/>
      <c r="Q51" s="307"/>
    </row>
    <row r="52" spans="1:17" s="44" customFormat="1" ht="15.75" x14ac:dyDescent="0.2">
      <c r="A52" s="77"/>
      <c r="B52" s="295"/>
      <c r="C52" s="295"/>
      <c r="D52" s="52">
        <v>80</v>
      </c>
      <c r="E52" s="286"/>
      <c r="F52" s="80" t="s">
        <v>269</v>
      </c>
      <c r="G52" s="79" t="s">
        <v>46</v>
      </c>
      <c r="H52" s="52" t="s">
        <v>46</v>
      </c>
      <c r="I52" s="79" t="s">
        <v>309</v>
      </c>
      <c r="J52" s="52">
        <v>8</v>
      </c>
      <c r="K52" s="79" t="s">
        <v>270</v>
      </c>
      <c r="L52" s="79">
        <v>3</v>
      </c>
      <c r="M52" s="52">
        <v>7</v>
      </c>
      <c r="N52" s="52">
        <f>3600*10/M52*P49*0.9</f>
        <v>4443.4285714285716</v>
      </c>
      <c r="O52" s="52">
        <v>1</v>
      </c>
      <c r="P52" s="315"/>
      <c r="Q52" s="307"/>
    </row>
    <row r="53" spans="1:17" s="44" customFormat="1" ht="15.75" x14ac:dyDescent="0.2">
      <c r="A53" s="77"/>
      <c r="B53" s="295"/>
      <c r="C53" s="295"/>
      <c r="D53" s="52">
        <v>100</v>
      </c>
      <c r="E53" s="286"/>
      <c r="F53" s="58" t="s">
        <v>271</v>
      </c>
      <c r="G53" s="79" t="s">
        <v>46</v>
      </c>
      <c r="H53" s="52" t="s">
        <v>46</v>
      </c>
      <c r="I53" s="79" t="s">
        <v>272</v>
      </c>
      <c r="J53" s="52">
        <v>1</v>
      </c>
      <c r="K53" s="79" t="s">
        <v>273</v>
      </c>
      <c r="L53" s="52">
        <v>0.5</v>
      </c>
      <c r="M53" s="52">
        <v>5</v>
      </c>
      <c r="N53" s="52">
        <f>3600*10/M53*P49*0.9</f>
        <v>6220.8</v>
      </c>
      <c r="O53" s="52">
        <v>1</v>
      </c>
      <c r="P53" s="315"/>
      <c r="Q53" s="307"/>
    </row>
    <row r="54" spans="1:17" s="44" customFormat="1" ht="15.75" x14ac:dyDescent="0.2">
      <c r="A54" s="77"/>
      <c r="B54" s="295"/>
      <c r="C54" s="295"/>
      <c r="D54" s="52">
        <v>110</v>
      </c>
      <c r="E54" s="79" t="s">
        <v>274</v>
      </c>
      <c r="F54" s="58" t="s">
        <v>275</v>
      </c>
      <c r="G54" s="79" t="s">
        <v>46</v>
      </c>
      <c r="H54" s="52" t="s">
        <v>46</v>
      </c>
      <c r="I54" s="81" t="s">
        <v>276</v>
      </c>
      <c r="J54" s="58">
        <v>8</v>
      </c>
      <c r="K54" s="79" t="s">
        <v>277</v>
      </c>
      <c r="L54" s="52">
        <v>0.5</v>
      </c>
      <c r="M54" s="52">
        <v>8</v>
      </c>
      <c r="N54" s="52">
        <f>3600*10/M54*P54*0.9</f>
        <v>4029.75</v>
      </c>
      <c r="O54" s="52">
        <v>1</v>
      </c>
      <c r="P54" s="43">
        <v>0.995</v>
      </c>
      <c r="Q54" s="307"/>
    </row>
    <row r="55" spans="1:17" s="44" customFormat="1" ht="15.75" x14ac:dyDescent="0.2">
      <c r="A55" s="77"/>
      <c r="B55" s="295"/>
      <c r="C55" s="295"/>
      <c r="D55" s="52">
        <v>120</v>
      </c>
      <c r="E55" s="286" t="s">
        <v>278</v>
      </c>
      <c r="F55" s="58" t="s">
        <v>279</v>
      </c>
      <c r="G55" s="52" t="s">
        <v>311</v>
      </c>
      <c r="H55" s="52">
        <v>1</v>
      </c>
      <c r="I55" s="79" t="s">
        <v>280</v>
      </c>
      <c r="J55" s="52">
        <v>2</v>
      </c>
      <c r="K55" s="79" t="s">
        <v>281</v>
      </c>
      <c r="L55" s="52">
        <v>1</v>
      </c>
      <c r="M55" s="52">
        <v>7.5</v>
      </c>
      <c r="N55" s="52">
        <f>3600*10/M55*P55*0.9</f>
        <v>4276.8</v>
      </c>
      <c r="O55" s="52">
        <v>1</v>
      </c>
      <c r="P55" s="315">
        <v>0.99</v>
      </c>
      <c r="Q55" s="307"/>
    </row>
    <row r="56" spans="1:17" s="44" customFormat="1" ht="15.75" x14ac:dyDescent="0.2">
      <c r="A56" s="77"/>
      <c r="B56" s="295"/>
      <c r="C56" s="295"/>
      <c r="D56" s="52">
        <v>130</v>
      </c>
      <c r="E56" s="286"/>
      <c r="F56" s="58" t="s">
        <v>282</v>
      </c>
      <c r="G56" s="52" t="s">
        <v>283</v>
      </c>
      <c r="H56" s="52">
        <v>1</v>
      </c>
      <c r="I56" s="79" t="s">
        <v>310</v>
      </c>
      <c r="J56" s="52">
        <v>8</v>
      </c>
      <c r="K56" s="81" t="s">
        <v>46</v>
      </c>
      <c r="L56" s="52" t="s">
        <v>46</v>
      </c>
      <c r="M56" s="52">
        <v>5</v>
      </c>
      <c r="N56" s="52">
        <f>3600*10/M56*P55*0.9</f>
        <v>6415.2</v>
      </c>
      <c r="O56" s="287">
        <v>1</v>
      </c>
      <c r="P56" s="315"/>
      <c r="Q56" s="307"/>
    </row>
    <row r="57" spans="1:17" s="44" customFormat="1" ht="15.75" x14ac:dyDescent="0.2">
      <c r="A57" s="77"/>
      <c r="B57" s="295"/>
      <c r="C57" s="295"/>
      <c r="D57" s="52">
        <v>140</v>
      </c>
      <c r="E57" s="286"/>
      <c r="F57" s="58" t="s">
        <v>284</v>
      </c>
      <c r="G57" s="79" t="s">
        <v>46</v>
      </c>
      <c r="H57" s="52" t="s">
        <v>46</v>
      </c>
      <c r="I57" s="79" t="s">
        <v>46</v>
      </c>
      <c r="J57" s="52" t="s">
        <v>46</v>
      </c>
      <c r="K57" s="81" t="s">
        <v>285</v>
      </c>
      <c r="L57" s="52">
        <v>3</v>
      </c>
      <c r="M57" s="52">
        <v>7</v>
      </c>
      <c r="N57" s="52">
        <f>3600*10/M57*P55*0.8</f>
        <v>4073.1428571428573</v>
      </c>
      <c r="O57" s="287"/>
      <c r="P57" s="315"/>
      <c r="Q57" s="307"/>
    </row>
    <row r="58" spans="1:17" s="44" customFormat="1" ht="15.75" x14ac:dyDescent="0.2">
      <c r="A58" s="77"/>
      <c r="B58" s="295"/>
      <c r="C58" s="295"/>
      <c r="D58" s="52">
        <v>160</v>
      </c>
      <c r="E58" s="286"/>
      <c r="F58" s="58" t="s">
        <v>286</v>
      </c>
      <c r="G58" s="79" t="s">
        <v>46</v>
      </c>
      <c r="H58" s="52" t="s">
        <v>46</v>
      </c>
      <c r="I58" s="79" t="s">
        <v>287</v>
      </c>
      <c r="J58" s="52">
        <v>1</v>
      </c>
      <c r="K58" s="79" t="s">
        <v>273</v>
      </c>
      <c r="L58" s="52">
        <v>1</v>
      </c>
      <c r="M58" s="52">
        <v>5</v>
      </c>
      <c r="N58" s="52">
        <f>3600*10/M58*P55*0.9</f>
        <v>6415.2</v>
      </c>
      <c r="O58" s="52">
        <v>1</v>
      </c>
      <c r="P58" s="315"/>
      <c r="Q58" s="307"/>
    </row>
    <row r="59" spans="1:17" s="44" customFormat="1" ht="15.75" x14ac:dyDescent="0.2">
      <c r="A59" s="77"/>
      <c r="B59" s="295"/>
      <c r="C59" s="295"/>
      <c r="D59" s="52">
        <v>170</v>
      </c>
      <c r="E59" s="58" t="s">
        <v>288</v>
      </c>
      <c r="F59" s="58" t="s">
        <v>289</v>
      </c>
      <c r="G59" s="79" t="s">
        <v>46</v>
      </c>
      <c r="H59" s="52" t="s">
        <v>46</v>
      </c>
      <c r="I59" s="81" t="s">
        <v>290</v>
      </c>
      <c r="J59" s="58">
        <v>10</v>
      </c>
      <c r="K59" s="79" t="s">
        <v>277</v>
      </c>
      <c r="L59" s="52">
        <v>1</v>
      </c>
      <c r="M59" s="52">
        <v>8</v>
      </c>
      <c r="N59" s="52">
        <f>3600*10/M59*P59*0.9</f>
        <v>4029.75</v>
      </c>
      <c r="O59" s="52">
        <v>1</v>
      </c>
      <c r="P59" s="43">
        <v>0.995</v>
      </c>
      <c r="Q59" s="307"/>
    </row>
    <row r="60" spans="1:17" s="44" customFormat="1" ht="15.75" x14ac:dyDescent="0.2">
      <c r="A60" s="77"/>
      <c r="B60" s="295"/>
      <c r="C60" s="295"/>
      <c r="D60" s="52">
        <v>180</v>
      </c>
      <c r="E60" s="58" t="s">
        <v>291</v>
      </c>
      <c r="F60" s="58" t="s">
        <v>292</v>
      </c>
      <c r="G60" s="79" t="s">
        <v>46</v>
      </c>
      <c r="H60" s="52" t="s">
        <v>46</v>
      </c>
      <c r="I60" s="79" t="s">
        <v>293</v>
      </c>
      <c r="J60" s="52" t="s">
        <v>294</v>
      </c>
      <c r="K60" s="79" t="s">
        <v>46</v>
      </c>
      <c r="L60" s="52" t="s">
        <v>46</v>
      </c>
      <c r="M60" s="52">
        <v>8</v>
      </c>
      <c r="N60" s="52">
        <f>3600*10/M60*P60*0.9</f>
        <v>4041.9</v>
      </c>
      <c r="O60" s="52">
        <v>3</v>
      </c>
      <c r="P60" s="43">
        <v>0.998</v>
      </c>
      <c r="Q60" s="307"/>
    </row>
    <row r="61" spans="1:17" s="44" customFormat="1" ht="16.5" x14ac:dyDescent="0.2">
      <c r="A61" s="77"/>
      <c r="B61" s="295"/>
      <c r="C61" s="295"/>
      <c r="D61" s="52">
        <v>190</v>
      </c>
      <c r="E61" s="316" t="s">
        <v>295</v>
      </c>
      <c r="F61" s="58" t="s">
        <v>296</v>
      </c>
      <c r="G61" s="79" t="s">
        <v>46</v>
      </c>
      <c r="H61" s="52" t="s">
        <v>46</v>
      </c>
      <c r="I61" s="75" t="s">
        <v>189</v>
      </c>
      <c r="J61" s="52" t="s">
        <v>312</v>
      </c>
      <c r="K61" s="79" t="s">
        <v>46</v>
      </c>
      <c r="L61" s="52" t="s">
        <v>46</v>
      </c>
      <c r="M61" s="287">
        <v>7.5</v>
      </c>
      <c r="N61" s="299">
        <f>3600*10/M61*P61*0.9</f>
        <v>4017.6</v>
      </c>
      <c r="O61" s="52">
        <v>1</v>
      </c>
      <c r="P61" s="315">
        <v>0.93</v>
      </c>
      <c r="Q61" s="307"/>
    </row>
    <row r="62" spans="1:17" s="44" customFormat="1" ht="15.75" x14ac:dyDescent="0.2">
      <c r="A62" s="77"/>
      <c r="B62" s="295"/>
      <c r="C62" s="295"/>
      <c r="D62" s="52">
        <v>200</v>
      </c>
      <c r="E62" s="316"/>
      <c r="F62" s="58" t="s">
        <v>185</v>
      </c>
      <c r="G62" s="79" t="s">
        <v>46</v>
      </c>
      <c r="H62" s="52" t="s">
        <v>46</v>
      </c>
      <c r="I62" s="79" t="s">
        <v>297</v>
      </c>
      <c r="J62" s="52">
        <v>1</v>
      </c>
      <c r="K62" s="79" t="s">
        <v>46</v>
      </c>
      <c r="L62" s="52" t="s">
        <v>46</v>
      </c>
      <c r="M62" s="287"/>
      <c r="N62" s="300"/>
      <c r="O62" s="52">
        <v>1</v>
      </c>
      <c r="P62" s="315"/>
      <c r="Q62" s="307"/>
    </row>
    <row r="63" spans="1:17" s="44" customFormat="1" ht="15.75" x14ac:dyDescent="0.2">
      <c r="A63" s="77"/>
      <c r="B63" s="295"/>
      <c r="C63" s="295"/>
      <c r="D63" s="52">
        <v>210</v>
      </c>
      <c r="E63" s="316"/>
      <c r="F63" s="58" t="s">
        <v>298</v>
      </c>
      <c r="G63" s="79" t="s">
        <v>46</v>
      </c>
      <c r="H63" s="52" t="s">
        <v>46</v>
      </c>
      <c r="I63" s="79" t="s">
        <v>299</v>
      </c>
      <c r="J63" s="52">
        <v>1</v>
      </c>
      <c r="K63" s="79" t="s">
        <v>46</v>
      </c>
      <c r="L63" s="52" t="s">
        <v>46</v>
      </c>
      <c r="M63" s="287"/>
      <c r="N63" s="300"/>
      <c r="O63" s="52">
        <v>1</v>
      </c>
      <c r="P63" s="315"/>
      <c r="Q63" s="307"/>
    </row>
    <row r="64" spans="1:17" s="44" customFormat="1" ht="15.75" x14ac:dyDescent="0.2">
      <c r="A64" s="77"/>
      <c r="B64" s="295"/>
      <c r="C64" s="295"/>
      <c r="D64" s="52">
        <v>220</v>
      </c>
      <c r="E64" s="316"/>
      <c r="F64" s="54" t="s">
        <v>191</v>
      </c>
      <c r="G64" s="79" t="s">
        <v>46</v>
      </c>
      <c r="H64" s="52" t="s">
        <v>46</v>
      </c>
      <c r="I64" s="79" t="s">
        <v>46</v>
      </c>
      <c r="J64" s="52" t="s">
        <v>46</v>
      </c>
      <c r="K64" s="69" t="s">
        <v>161</v>
      </c>
      <c r="L64" s="49">
        <v>1</v>
      </c>
      <c r="M64" s="287"/>
      <c r="N64" s="300"/>
      <c r="O64" s="52">
        <v>1</v>
      </c>
      <c r="P64" s="315"/>
      <c r="Q64" s="307"/>
    </row>
    <row r="65" spans="1:17" s="44" customFormat="1" ht="15.75" x14ac:dyDescent="0.2">
      <c r="A65" s="77"/>
      <c r="B65" s="295"/>
      <c r="C65" s="295"/>
      <c r="D65" s="52">
        <v>230</v>
      </c>
      <c r="E65" s="316"/>
      <c r="F65" s="58" t="s">
        <v>300</v>
      </c>
      <c r="G65" s="79" t="s">
        <v>46</v>
      </c>
      <c r="H65" s="52" t="s">
        <v>46</v>
      </c>
      <c r="I65" s="79" t="s">
        <v>46</v>
      </c>
      <c r="J65" s="52" t="s">
        <v>46</v>
      </c>
      <c r="K65" s="79" t="s">
        <v>46</v>
      </c>
      <c r="L65" s="52" t="s">
        <v>46</v>
      </c>
      <c r="M65" s="287"/>
      <c r="N65" s="301"/>
      <c r="O65" s="52">
        <v>1</v>
      </c>
      <c r="P65" s="315"/>
      <c r="Q65" s="307"/>
    </row>
    <row r="66" spans="1:17" s="44" customFormat="1" ht="15.75" x14ac:dyDescent="0.2">
      <c r="A66" s="77"/>
      <c r="B66" s="59"/>
      <c r="C66" s="59"/>
      <c r="D66" s="59"/>
      <c r="E66" s="82"/>
      <c r="F66" s="59"/>
      <c r="G66" s="59"/>
      <c r="H66" s="59"/>
      <c r="I66" s="82"/>
      <c r="J66" s="59"/>
      <c r="K66" s="287" t="s">
        <v>193</v>
      </c>
      <c r="L66" s="287"/>
      <c r="M66" s="52">
        <f>O45*(M45+M46+M47+M48)+M49*O49+M51*O51+M52*O52+M53*O53+M54*O54+M55*O55+M56*O56+M57*O56+M58*O58+M59*O59+M60*O60+M61*(O61+O62+O63+O64+O65)</f>
        <v>157.5</v>
      </c>
      <c r="N66" s="52" t="s">
        <v>194</v>
      </c>
      <c r="O66" s="52">
        <f>SUM(O45:O65)</f>
        <v>21</v>
      </c>
      <c r="P66" s="45"/>
      <c r="Q66" s="45"/>
    </row>
    <row r="67" spans="1:17" ht="15.75" x14ac:dyDescent="0.2">
      <c r="B67" s="51"/>
      <c r="C67" s="51"/>
      <c r="D67" s="51"/>
      <c r="E67" s="76"/>
      <c r="F67" s="51"/>
      <c r="G67" s="51"/>
      <c r="H67" s="51"/>
      <c r="I67" s="76"/>
      <c r="J67" s="51"/>
      <c r="K67" s="51"/>
      <c r="L67" s="51"/>
      <c r="M67" s="51"/>
      <c r="N67" s="51"/>
      <c r="O67" s="51"/>
      <c r="P67" s="3"/>
      <c r="Q67" s="3"/>
    </row>
    <row r="68" spans="1:17" ht="15.75" x14ac:dyDescent="0.2">
      <c r="B68" s="51"/>
      <c r="C68" s="51"/>
      <c r="D68" s="51"/>
      <c r="E68" s="76"/>
      <c r="F68" s="51"/>
      <c r="G68" s="51"/>
      <c r="H68" s="51"/>
      <c r="I68" s="76"/>
      <c r="J68" s="51"/>
      <c r="K68" s="51"/>
      <c r="L68" s="51"/>
      <c r="M68" s="51"/>
      <c r="N68" s="51"/>
      <c r="O68" s="51"/>
      <c r="P68" s="3"/>
      <c r="Q68" s="3"/>
    </row>
    <row r="69" spans="1:17" ht="15.75" x14ac:dyDescent="0.2">
      <c r="B69" s="51"/>
      <c r="C69" s="51"/>
      <c r="D69" s="51"/>
      <c r="E69" s="76"/>
      <c r="F69" s="51"/>
      <c r="G69" s="51"/>
      <c r="H69" s="51"/>
      <c r="I69" s="76"/>
      <c r="J69" s="51"/>
      <c r="K69" s="51"/>
      <c r="L69" s="51"/>
      <c r="M69" s="51"/>
      <c r="N69" s="51"/>
      <c r="O69" s="51"/>
      <c r="P69" s="3"/>
      <c r="Q69" s="3"/>
    </row>
    <row r="70" spans="1:17" ht="27" customHeight="1" x14ac:dyDescent="0.2">
      <c r="B70" s="275" t="s">
        <v>467</v>
      </c>
      <c r="C70" s="276"/>
      <c r="D70" s="276"/>
      <c r="E70" s="276"/>
      <c r="F70" s="276"/>
      <c r="G70" s="276"/>
      <c r="H70" s="276"/>
      <c r="I70" s="276"/>
      <c r="J70" s="276"/>
      <c r="K70" s="276"/>
      <c r="L70" s="277"/>
      <c r="M70" s="278" t="s">
        <v>196</v>
      </c>
      <c r="N70" s="279"/>
      <c r="O70" s="279"/>
      <c r="P70" s="279"/>
      <c r="Q70" s="280"/>
    </row>
    <row r="71" spans="1:17" ht="13.5" customHeight="1" x14ac:dyDescent="0.2">
      <c r="B71" s="262" t="s">
        <v>126</v>
      </c>
      <c r="C71" s="262" t="s">
        <v>0</v>
      </c>
      <c r="D71" s="262" t="s">
        <v>8</v>
      </c>
      <c r="E71" s="282" t="s">
        <v>127</v>
      </c>
      <c r="F71" s="262" t="s">
        <v>128</v>
      </c>
      <c r="G71" s="262" t="s">
        <v>129</v>
      </c>
      <c r="H71" s="262"/>
      <c r="I71" s="262" t="s">
        <v>130</v>
      </c>
      <c r="J71" s="262"/>
      <c r="K71" s="262" t="s">
        <v>131</v>
      </c>
      <c r="L71" s="262"/>
      <c r="M71" s="262" t="s">
        <v>132</v>
      </c>
      <c r="N71" s="262" t="s">
        <v>133</v>
      </c>
      <c r="O71" s="262" t="s">
        <v>134</v>
      </c>
      <c r="P71" s="263" t="s">
        <v>135</v>
      </c>
      <c r="Q71" s="263"/>
    </row>
    <row r="72" spans="1:17" ht="15.75" x14ac:dyDescent="0.2">
      <c r="B72" s="262"/>
      <c r="C72" s="262"/>
      <c r="D72" s="262"/>
      <c r="E72" s="282"/>
      <c r="F72" s="262"/>
      <c r="G72" s="53" t="s">
        <v>136</v>
      </c>
      <c r="H72" s="53" t="s">
        <v>137</v>
      </c>
      <c r="I72" s="64" t="s">
        <v>138</v>
      </c>
      <c r="J72" s="53" t="s">
        <v>137</v>
      </c>
      <c r="K72" s="53" t="s">
        <v>138</v>
      </c>
      <c r="L72" s="53" t="s">
        <v>137</v>
      </c>
      <c r="M72" s="262"/>
      <c r="N72" s="262"/>
      <c r="O72" s="262"/>
      <c r="P72" s="263"/>
      <c r="Q72" s="263"/>
    </row>
    <row r="73" spans="1:17" ht="15.75" x14ac:dyDescent="0.2">
      <c r="B73" s="247" t="s">
        <v>350</v>
      </c>
      <c r="C73" s="250" t="s">
        <v>20</v>
      </c>
      <c r="D73" s="50">
        <v>10</v>
      </c>
      <c r="E73" s="89" t="s">
        <v>339</v>
      </c>
      <c r="F73" s="50" t="s">
        <v>341</v>
      </c>
      <c r="G73" s="247" t="s">
        <v>473</v>
      </c>
      <c r="H73" s="50">
        <v>1</v>
      </c>
      <c r="I73" s="89" t="s">
        <v>347</v>
      </c>
      <c r="J73" s="50" t="s">
        <v>347</v>
      </c>
      <c r="K73" s="50" t="s">
        <v>234</v>
      </c>
      <c r="L73" s="50">
        <v>1</v>
      </c>
      <c r="M73" s="86">
        <v>3.2399999999999998E-2</v>
      </c>
      <c r="N73" s="46">
        <f t="shared" ref="N73:N74" si="1">3600*10*0.9/M73</f>
        <v>1000000</v>
      </c>
      <c r="O73" s="50">
        <v>1</v>
      </c>
      <c r="P73" s="4">
        <v>0.98</v>
      </c>
      <c r="Q73" s="291">
        <f>P73*P74*P75*P76*P77*P78*P79</f>
        <v>0.95761938653350198</v>
      </c>
    </row>
    <row r="74" spans="1:17" ht="15.75" x14ac:dyDescent="0.2">
      <c r="B74" s="248"/>
      <c r="C74" s="251"/>
      <c r="D74" s="50">
        <v>20</v>
      </c>
      <c r="E74" s="89" t="s">
        <v>343</v>
      </c>
      <c r="F74" s="50" t="s">
        <v>345</v>
      </c>
      <c r="G74" s="248"/>
      <c r="H74" s="50">
        <v>1</v>
      </c>
      <c r="I74" s="89" t="s">
        <v>348</v>
      </c>
      <c r="J74" s="50" t="s">
        <v>349</v>
      </c>
      <c r="K74" s="50" t="s">
        <v>236</v>
      </c>
      <c r="L74" s="50">
        <v>1</v>
      </c>
      <c r="M74" s="90">
        <v>0.5</v>
      </c>
      <c r="N74" s="46">
        <f t="shared" si="1"/>
        <v>64800</v>
      </c>
      <c r="O74" s="50">
        <v>1</v>
      </c>
      <c r="P74" s="4">
        <v>1</v>
      </c>
      <c r="Q74" s="292"/>
    </row>
    <row r="75" spans="1:17" ht="31.5" x14ac:dyDescent="0.2">
      <c r="B75" s="248"/>
      <c r="C75" s="251"/>
      <c r="D75" s="120">
        <v>30</v>
      </c>
      <c r="E75" s="120" t="s">
        <v>195</v>
      </c>
      <c r="F75" s="92" t="s">
        <v>197</v>
      </c>
      <c r="G75" s="248"/>
      <c r="H75" s="95">
        <v>1</v>
      </c>
      <c r="I75" s="92" t="s">
        <v>46</v>
      </c>
      <c r="J75" s="61" t="s">
        <v>46</v>
      </c>
      <c r="K75" s="94" t="s">
        <v>198</v>
      </c>
      <c r="L75" s="61">
        <v>1</v>
      </c>
      <c r="M75" s="86" t="s">
        <v>199</v>
      </c>
      <c r="N75" s="61">
        <f>3600*10*0.9/M75</f>
        <v>32400</v>
      </c>
      <c r="O75" s="61">
        <v>1</v>
      </c>
      <c r="P75" s="121">
        <v>0.99</v>
      </c>
      <c r="Q75" s="292"/>
    </row>
    <row r="76" spans="1:17" ht="15.75" customHeight="1" x14ac:dyDescent="0.2">
      <c r="B76" s="248"/>
      <c r="C76" s="251"/>
      <c r="D76" s="46">
        <v>40</v>
      </c>
      <c r="E76" s="46" t="s">
        <v>200</v>
      </c>
      <c r="F76" s="84" t="s">
        <v>201</v>
      </c>
      <c r="G76" s="248"/>
      <c r="H76" s="62">
        <v>1</v>
      </c>
      <c r="I76" s="84" t="s">
        <v>202</v>
      </c>
      <c r="J76" s="46">
        <v>4</v>
      </c>
      <c r="K76" s="86" t="s">
        <v>203</v>
      </c>
      <c r="L76" s="46">
        <v>1</v>
      </c>
      <c r="M76" s="87">
        <v>3</v>
      </c>
      <c r="N76" s="46">
        <f>3600*10*0.9/M76</f>
        <v>10800</v>
      </c>
      <c r="O76" s="46">
        <v>2</v>
      </c>
      <c r="P76" s="5">
        <v>0.99</v>
      </c>
      <c r="Q76" s="292"/>
    </row>
    <row r="77" spans="1:17" ht="15.75" customHeight="1" x14ac:dyDescent="0.2">
      <c r="B77" s="248"/>
      <c r="C77" s="251"/>
      <c r="D77" s="255">
        <v>50</v>
      </c>
      <c r="E77" s="255" t="s">
        <v>204</v>
      </c>
      <c r="F77" s="84" t="s">
        <v>205</v>
      </c>
      <c r="G77" s="248"/>
      <c r="H77" s="46" t="s">
        <v>46</v>
      </c>
      <c r="I77" s="84" t="s">
        <v>46</v>
      </c>
      <c r="J77" s="46" t="s">
        <v>46</v>
      </c>
      <c r="K77" s="62" t="s">
        <v>46</v>
      </c>
      <c r="L77" s="62" t="s">
        <v>46</v>
      </c>
      <c r="M77" s="247">
        <v>3</v>
      </c>
      <c r="N77" s="256">
        <f>3600*10*0.9/M77</f>
        <v>10800</v>
      </c>
      <c r="O77" s="256">
        <v>4</v>
      </c>
      <c r="P77" s="5">
        <v>0.999</v>
      </c>
      <c r="Q77" s="292"/>
    </row>
    <row r="78" spans="1:17" ht="14.25" customHeight="1" x14ac:dyDescent="0.2">
      <c r="B78" s="248"/>
      <c r="C78" s="251"/>
      <c r="D78" s="255"/>
      <c r="E78" s="255"/>
      <c r="F78" s="88" t="s">
        <v>206</v>
      </c>
      <c r="G78" s="248"/>
      <c r="H78" s="46" t="s">
        <v>46</v>
      </c>
      <c r="I78" s="84" t="s">
        <v>46</v>
      </c>
      <c r="J78" s="46" t="s">
        <v>46</v>
      </c>
      <c r="K78" s="62" t="s">
        <v>46</v>
      </c>
      <c r="L78" s="62" t="s">
        <v>46</v>
      </c>
      <c r="M78" s="248"/>
      <c r="N78" s="258"/>
      <c r="O78" s="258"/>
      <c r="P78" s="5">
        <v>0.999</v>
      </c>
      <c r="Q78" s="292"/>
    </row>
    <row r="79" spans="1:17" ht="15.75" customHeight="1" x14ac:dyDescent="0.2">
      <c r="B79" s="249"/>
      <c r="C79" s="252"/>
      <c r="D79" s="255"/>
      <c r="E79" s="255"/>
      <c r="F79" s="84" t="s">
        <v>204</v>
      </c>
      <c r="G79" s="249"/>
      <c r="H79" s="46" t="s">
        <v>46</v>
      </c>
      <c r="I79" s="46" t="s">
        <v>46</v>
      </c>
      <c r="J79" s="46" t="s">
        <v>46</v>
      </c>
      <c r="K79" s="62" t="s">
        <v>46</v>
      </c>
      <c r="L79" s="62" t="s">
        <v>46</v>
      </c>
      <c r="M79" s="249"/>
      <c r="N79" s="257"/>
      <c r="O79" s="257"/>
      <c r="P79" s="5">
        <v>0.999</v>
      </c>
      <c r="Q79" s="293"/>
    </row>
    <row r="80" spans="1:17" ht="15.75" x14ac:dyDescent="0.2">
      <c r="B80" s="60"/>
      <c r="C80" s="60"/>
      <c r="D80" s="60"/>
      <c r="E80" s="60"/>
      <c r="F80" s="60"/>
      <c r="G80" s="60"/>
      <c r="H80" s="60"/>
      <c r="I80" s="60"/>
      <c r="J80" s="60"/>
      <c r="K80" s="253" t="s">
        <v>193</v>
      </c>
      <c r="L80" s="254"/>
      <c r="M80" s="46">
        <f>M73*O73+M74*O74+M75*O75+M76*O76+M77*O77</f>
        <v>19.532399999999999</v>
      </c>
      <c r="N80" s="46" t="s">
        <v>207</v>
      </c>
      <c r="O80" s="46">
        <f>SUM(O73:O79)</f>
        <v>9</v>
      </c>
      <c r="P80" s="6"/>
      <c r="Q80" s="6"/>
    </row>
    <row r="81" spans="2:17" ht="15.75" x14ac:dyDescent="0.2">
      <c r="B81" s="51"/>
      <c r="C81" s="51"/>
      <c r="D81" s="51"/>
      <c r="E81" s="76"/>
      <c r="F81" s="51"/>
      <c r="G81" s="51"/>
      <c r="H81" s="51"/>
      <c r="I81" s="76"/>
      <c r="J81" s="51"/>
      <c r="K81" s="51"/>
      <c r="L81" s="51"/>
      <c r="M81" s="51"/>
      <c r="N81" s="51"/>
      <c r="O81" s="51"/>
      <c r="P81" s="3"/>
      <c r="Q81" s="3"/>
    </row>
    <row r="82" spans="2:17" ht="15.75" x14ac:dyDescent="0.2">
      <c r="B82" s="51"/>
      <c r="C82" s="51"/>
      <c r="D82" s="51"/>
      <c r="E82" s="76"/>
      <c r="F82" s="51"/>
      <c r="G82" s="51"/>
      <c r="H82" s="51"/>
      <c r="I82" s="76"/>
      <c r="J82" s="51"/>
      <c r="K82" s="51"/>
      <c r="L82" s="51"/>
      <c r="M82" s="51"/>
      <c r="N82" s="51"/>
      <c r="O82" s="51"/>
      <c r="P82" s="3"/>
      <c r="Q82" s="3"/>
    </row>
    <row r="83" spans="2:17" ht="15.75" x14ac:dyDescent="0.2">
      <c r="B83" s="51"/>
      <c r="C83" s="51"/>
      <c r="D83" s="51"/>
      <c r="E83" s="76"/>
      <c r="F83" s="51"/>
      <c r="G83" s="51"/>
      <c r="H83" s="51"/>
      <c r="I83" s="76"/>
      <c r="J83" s="51"/>
      <c r="K83" s="51"/>
      <c r="L83" s="51"/>
      <c r="M83" s="51"/>
      <c r="N83" s="51"/>
      <c r="O83" s="51"/>
      <c r="P83" s="3"/>
      <c r="Q83" s="3"/>
    </row>
    <row r="84" spans="2:17" ht="15.75" x14ac:dyDescent="0.2">
      <c r="B84" s="275" t="s">
        <v>468</v>
      </c>
      <c r="C84" s="276"/>
      <c r="D84" s="276"/>
      <c r="E84" s="276"/>
      <c r="F84" s="276"/>
      <c r="G84" s="276"/>
      <c r="H84" s="276"/>
      <c r="I84" s="276"/>
      <c r="J84" s="276"/>
      <c r="K84" s="276"/>
      <c r="L84" s="277"/>
      <c r="M84" s="278" t="s">
        <v>196</v>
      </c>
      <c r="N84" s="279"/>
      <c r="O84" s="279"/>
      <c r="P84" s="279"/>
      <c r="Q84" s="280"/>
    </row>
    <row r="85" spans="2:17" ht="15.75" x14ac:dyDescent="0.2">
      <c r="B85" s="262" t="s">
        <v>126</v>
      </c>
      <c r="C85" s="262" t="s">
        <v>0</v>
      </c>
      <c r="D85" s="262" t="s">
        <v>8</v>
      </c>
      <c r="E85" s="282" t="s">
        <v>127</v>
      </c>
      <c r="F85" s="262" t="s">
        <v>128</v>
      </c>
      <c r="G85" s="262" t="s">
        <v>129</v>
      </c>
      <c r="H85" s="262"/>
      <c r="I85" s="262" t="s">
        <v>130</v>
      </c>
      <c r="J85" s="262"/>
      <c r="K85" s="262" t="s">
        <v>131</v>
      </c>
      <c r="L85" s="262"/>
      <c r="M85" s="262" t="s">
        <v>132</v>
      </c>
      <c r="N85" s="262" t="s">
        <v>133</v>
      </c>
      <c r="O85" s="262" t="s">
        <v>134</v>
      </c>
      <c r="P85" s="263" t="s">
        <v>135</v>
      </c>
      <c r="Q85" s="263"/>
    </row>
    <row r="86" spans="2:17" ht="15.75" x14ac:dyDescent="0.2">
      <c r="B86" s="262"/>
      <c r="C86" s="262"/>
      <c r="D86" s="262"/>
      <c r="E86" s="282"/>
      <c r="F86" s="262"/>
      <c r="G86" s="53" t="s">
        <v>136</v>
      </c>
      <c r="H86" s="53" t="s">
        <v>137</v>
      </c>
      <c r="I86" s="64" t="s">
        <v>138</v>
      </c>
      <c r="J86" s="53" t="s">
        <v>137</v>
      </c>
      <c r="K86" s="53" t="s">
        <v>138</v>
      </c>
      <c r="L86" s="53" t="s">
        <v>137</v>
      </c>
      <c r="M86" s="262"/>
      <c r="N86" s="262"/>
      <c r="O86" s="262"/>
      <c r="P86" s="263"/>
      <c r="Q86" s="263"/>
    </row>
    <row r="87" spans="2:17" ht="15.75" x14ac:dyDescent="0.2">
      <c r="B87" s="247" t="s">
        <v>350</v>
      </c>
      <c r="C87" s="250" t="s">
        <v>20</v>
      </c>
      <c r="D87" s="50">
        <v>10</v>
      </c>
      <c r="E87" s="89" t="s">
        <v>229</v>
      </c>
      <c r="F87" s="50" t="s">
        <v>231</v>
      </c>
      <c r="G87" s="247" t="s">
        <v>474</v>
      </c>
      <c r="H87" s="50">
        <v>1</v>
      </c>
      <c r="I87" s="89" t="s">
        <v>251</v>
      </c>
      <c r="J87" s="50" t="s">
        <v>251</v>
      </c>
      <c r="K87" s="50" t="s">
        <v>233</v>
      </c>
      <c r="L87" s="50">
        <v>1</v>
      </c>
      <c r="M87" s="86">
        <v>3.2399999999999998E-2</v>
      </c>
      <c r="N87" s="46">
        <f t="shared" ref="N87:N88" si="2">3600*10*0.9/M87</f>
        <v>1000000</v>
      </c>
      <c r="O87" s="50">
        <v>1</v>
      </c>
      <c r="P87" s="4">
        <v>0.98</v>
      </c>
      <c r="Q87" s="291">
        <f>P87*P88*P89*P90*P91*P92*P93*P94*P95</f>
        <v>0.95761938653350198</v>
      </c>
    </row>
    <row r="88" spans="2:17" ht="15.75" x14ac:dyDescent="0.2">
      <c r="B88" s="248"/>
      <c r="C88" s="251"/>
      <c r="D88" s="50">
        <v>20</v>
      </c>
      <c r="E88" s="89" t="s">
        <v>230</v>
      </c>
      <c r="F88" s="50" t="s">
        <v>232</v>
      </c>
      <c r="G88" s="248"/>
      <c r="H88" s="50">
        <v>1</v>
      </c>
      <c r="I88" s="89" t="s">
        <v>251</v>
      </c>
      <c r="J88" s="50" t="s">
        <v>251</v>
      </c>
      <c r="K88" s="50" t="s">
        <v>235</v>
      </c>
      <c r="L88" s="50">
        <v>1</v>
      </c>
      <c r="M88" s="90">
        <v>0.5</v>
      </c>
      <c r="N88" s="46">
        <f t="shared" si="2"/>
        <v>64800</v>
      </c>
      <c r="O88" s="50">
        <v>1</v>
      </c>
      <c r="P88" s="4">
        <v>1</v>
      </c>
      <c r="Q88" s="292"/>
    </row>
    <row r="89" spans="2:17" ht="31.5" x14ac:dyDescent="0.2">
      <c r="B89" s="248"/>
      <c r="C89" s="251"/>
      <c r="D89" s="120">
        <v>30</v>
      </c>
      <c r="E89" s="120" t="s">
        <v>355</v>
      </c>
      <c r="F89" s="92" t="s">
        <v>197</v>
      </c>
      <c r="G89" s="248"/>
      <c r="H89" s="46">
        <v>1</v>
      </c>
      <c r="I89" s="92" t="s">
        <v>46</v>
      </c>
      <c r="J89" s="61" t="s">
        <v>46</v>
      </c>
      <c r="K89" s="94" t="s">
        <v>198</v>
      </c>
      <c r="L89" s="61">
        <v>1</v>
      </c>
      <c r="M89" s="86" t="s">
        <v>199</v>
      </c>
      <c r="N89" s="61">
        <f>3600*10*0.9/M89</f>
        <v>32400</v>
      </c>
      <c r="O89" s="61">
        <v>1</v>
      </c>
      <c r="P89" s="121">
        <v>0.99</v>
      </c>
      <c r="Q89" s="292"/>
    </row>
    <row r="90" spans="2:17" ht="15.75" x14ac:dyDescent="0.2">
      <c r="B90" s="248"/>
      <c r="C90" s="251"/>
      <c r="D90" s="120">
        <v>40</v>
      </c>
      <c r="E90" s="120" t="s">
        <v>357</v>
      </c>
      <c r="F90" s="92" t="s">
        <v>358</v>
      </c>
      <c r="G90" s="248"/>
      <c r="H90" s="46">
        <v>1</v>
      </c>
      <c r="I90" s="247" t="s">
        <v>371</v>
      </c>
      <c r="J90" s="256">
        <v>4</v>
      </c>
      <c r="K90" s="94" t="s">
        <v>372</v>
      </c>
      <c r="L90" s="61">
        <v>1</v>
      </c>
      <c r="M90" s="259">
        <v>0.5</v>
      </c>
      <c r="N90" s="256">
        <f>3600*10*0.9/M90</f>
        <v>64800</v>
      </c>
      <c r="O90" s="61">
        <v>1</v>
      </c>
      <c r="P90" s="121">
        <v>1</v>
      </c>
      <c r="Q90" s="292"/>
    </row>
    <row r="91" spans="2:17" ht="15.75" x14ac:dyDescent="0.2">
      <c r="B91" s="248"/>
      <c r="C91" s="251"/>
      <c r="D91" s="46">
        <v>50</v>
      </c>
      <c r="E91" s="46" t="s">
        <v>356</v>
      </c>
      <c r="F91" s="84" t="s">
        <v>201</v>
      </c>
      <c r="G91" s="248"/>
      <c r="H91" s="62">
        <v>1</v>
      </c>
      <c r="I91" s="249"/>
      <c r="J91" s="257"/>
      <c r="K91" s="86" t="s">
        <v>203</v>
      </c>
      <c r="L91" s="46">
        <v>1</v>
      </c>
      <c r="M91" s="260"/>
      <c r="N91" s="258"/>
      <c r="O91" s="256">
        <v>1</v>
      </c>
      <c r="P91" s="5">
        <v>0.99</v>
      </c>
      <c r="Q91" s="292"/>
    </row>
    <row r="92" spans="2:17" ht="15.75" x14ac:dyDescent="0.2">
      <c r="B92" s="248"/>
      <c r="C92" s="251"/>
      <c r="D92" s="46">
        <v>60</v>
      </c>
      <c r="E92" s="46" t="s">
        <v>359</v>
      </c>
      <c r="F92" s="84" t="s">
        <v>360</v>
      </c>
      <c r="G92" s="248"/>
      <c r="H92" s="62">
        <v>1</v>
      </c>
      <c r="I92" s="84" t="s">
        <v>369</v>
      </c>
      <c r="J92" s="46"/>
      <c r="K92" s="87" t="s">
        <v>367</v>
      </c>
      <c r="L92" s="62">
        <v>1</v>
      </c>
      <c r="M92" s="260"/>
      <c r="N92" s="258"/>
      <c r="O92" s="257"/>
      <c r="P92" s="5">
        <v>1</v>
      </c>
      <c r="Q92" s="292"/>
    </row>
    <row r="93" spans="2:17" ht="15.75" x14ac:dyDescent="0.2">
      <c r="B93" s="248"/>
      <c r="C93" s="251"/>
      <c r="D93" s="46">
        <v>70</v>
      </c>
      <c r="E93" s="46" t="s">
        <v>361</v>
      </c>
      <c r="F93" s="84" t="s">
        <v>362</v>
      </c>
      <c r="G93" s="248"/>
      <c r="H93" s="62" t="s">
        <v>369</v>
      </c>
      <c r="I93" s="84" t="s">
        <v>370</v>
      </c>
      <c r="J93" s="46"/>
      <c r="K93" s="87"/>
      <c r="L93" s="62"/>
      <c r="M93" s="260"/>
      <c r="N93" s="258"/>
      <c r="O93" s="62">
        <v>2</v>
      </c>
      <c r="P93" s="5">
        <v>0.999</v>
      </c>
      <c r="Q93" s="292"/>
    </row>
    <row r="94" spans="2:17" ht="15.75" x14ac:dyDescent="0.2">
      <c r="B94" s="248"/>
      <c r="C94" s="251"/>
      <c r="D94" s="46">
        <v>80</v>
      </c>
      <c r="E94" s="46" t="s">
        <v>363</v>
      </c>
      <c r="F94" s="84" t="s">
        <v>368</v>
      </c>
      <c r="G94" s="248"/>
      <c r="H94" s="62" t="s">
        <v>370</v>
      </c>
      <c r="I94" s="84" t="s">
        <v>369</v>
      </c>
      <c r="J94" s="46"/>
      <c r="K94" s="87" t="s">
        <v>364</v>
      </c>
      <c r="L94" s="62">
        <v>1</v>
      </c>
      <c r="M94" s="260"/>
      <c r="N94" s="258"/>
      <c r="O94" s="46">
        <v>1</v>
      </c>
      <c r="P94" s="5">
        <v>0.999</v>
      </c>
      <c r="Q94" s="292"/>
    </row>
    <row r="95" spans="2:17" ht="15.75" x14ac:dyDescent="0.2">
      <c r="B95" s="249"/>
      <c r="C95" s="252"/>
      <c r="D95" s="46">
        <v>90</v>
      </c>
      <c r="E95" s="46" t="s">
        <v>366</v>
      </c>
      <c r="F95" s="84" t="s">
        <v>365</v>
      </c>
      <c r="G95" s="249"/>
      <c r="H95" s="46" t="s">
        <v>46</v>
      </c>
      <c r="I95" s="46" t="s">
        <v>46</v>
      </c>
      <c r="J95" s="46" t="s">
        <v>46</v>
      </c>
      <c r="K95" s="62" t="s">
        <v>46</v>
      </c>
      <c r="L95" s="62" t="s">
        <v>46</v>
      </c>
      <c r="M95" s="261"/>
      <c r="N95" s="257"/>
      <c r="O95" s="46">
        <v>1</v>
      </c>
      <c r="P95" s="5">
        <v>0.999</v>
      </c>
      <c r="Q95" s="293"/>
    </row>
    <row r="96" spans="2:17" ht="15.75" x14ac:dyDescent="0.2">
      <c r="B96" s="60"/>
      <c r="C96" s="60"/>
      <c r="D96" s="60"/>
      <c r="E96" s="60"/>
      <c r="F96" s="60"/>
      <c r="G96" s="60"/>
      <c r="H96" s="60"/>
      <c r="I96" s="60"/>
      <c r="J96" s="60"/>
      <c r="K96" s="253" t="s">
        <v>193</v>
      </c>
      <c r="L96" s="254"/>
      <c r="M96" s="46">
        <f>M87*O87+M88*O88+M89*O89+M90*O90+M90*O91+M90*O93+M90*O94+M90*O95</f>
        <v>4.5324</v>
      </c>
      <c r="N96" s="46" t="s">
        <v>207</v>
      </c>
      <c r="O96" s="46">
        <f>SUM(O87:O95)</f>
        <v>9</v>
      </c>
      <c r="P96" s="6"/>
      <c r="Q96" s="6"/>
    </row>
    <row r="97" spans="2:17" ht="15.75" x14ac:dyDescent="0.2">
      <c r="B97" s="51"/>
      <c r="C97" s="51"/>
      <c r="D97" s="51"/>
      <c r="E97" s="76"/>
      <c r="F97" s="51"/>
      <c r="G97" s="51"/>
      <c r="H97" s="51"/>
      <c r="I97" s="76"/>
      <c r="J97" s="51"/>
      <c r="K97" s="51"/>
      <c r="L97" s="51"/>
      <c r="M97" s="51"/>
      <c r="N97" s="51"/>
      <c r="O97" s="51"/>
      <c r="P97" s="3"/>
      <c r="Q97" s="3"/>
    </row>
    <row r="98" spans="2:17" ht="15.75" x14ac:dyDescent="0.2">
      <c r="B98" s="51"/>
      <c r="C98" s="51"/>
      <c r="D98" s="51"/>
      <c r="E98" s="76"/>
      <c r="F98" s="51"/>
      <c r="G98" s="51"/>
      <c r="H98" s="51"/>
      <c r="I98" s="76"/>
      <c r="J98" s="51"/>
      <c r="K98" s="51"/>
      <c r="L98" s="51"/>
      <c r="M98" s="51"/>
      <c r="N98" s="51"/>
      <c r="O98" s="51"/>
      <c r="P98" s="3"/>
      <c r="Q98" s="3"/>
    </row>
    <row r="99" spans="2:17" ht="15.75" x14ac:dyDescent="0.2">
      <c r="B99" s="51"/>
      <c r="C99" s="51"/>
      <c r="D99" s="51"/>
      <c r="E99" s="76"/>
      <c r="F99" s="51"/>
      <c r="G99" s="51"/>
      <c r="H99" s="51"/>
      <c r="I99" s="76"/>
      <c r="J99" s="51"/>
      <c r="K99" s="51"/>
      <c r="L99" s="51"/>
      <c r="M99" s="51"/>
      <c r="N99" s="51"/>
      <c r="O99" s="51"/>
      <c r="P99" s="3"/>
      <c r="Q99" s="3"/>
    </row>
    <row r="100" spans="2:17" ht="15.75" x14ac:dyDescent="0.2">
      <c r="B100" s="51"/>
      <c r="C100" s="51"/>
      <c r="D100" s="51"/>
      <c r="E100" s="76"/>
      <c r="F100" s="51"/>
      <c r="G100" s="51"/>
      <c r="H100" s="51"/>
      <c r="I100" s="76"/>
      <c r="J100" s="51"/>
      <c r="K100" s="51"/>
      <c r="L100" s="51"/>
      <c r="M100" s="51"/>
      <c r="N100" s="51"/>
      <c r="O100" s="51"/>
      <c r="P100" s="3"/>
      <c r="Q100" s="3"/>
    </row>
    <row r="101" spans="2:17" ht="15.75" x14ac:dyDescent="0.2">
      <c r="B101" s="51"/>
      <c r="C101" s="51"/>
      <c r="D101" s="51"/>
      <c r="E101" s="76"/>
      <c r="F101" s="51"/>
      <c r="G101" s="51"/>
      <c r="H101" s="51"/>
      <c r="I101" s="76"/>
      <c r="J101" s="51"/>
      <c r="K101" s="51"/>
      <c r="L101" s="51"/>
      <c r="M101" s="51"/>
      <c r="N101" s="51"/>
      <c r="O101" s="51"/>
      <c r="P101" s="3"/>
      <c r="Q101" s="3"/>
    </row>
    <row r="105" spans="2:17" ht="15.75" x14ac:dyDescent="0.2">
      <c r="B105" s="275" t="s">
        <v>608</v>
      </c>
      <c r="C105" s="276"/>
      <c r="D105" s="276"/>
      <c r="E105" s="276"/>
      <c r="F105" s="276"/>
      <c r="G105" s="276"/>
      <c r="H105" s="276"/>
      <c r="I105" s="276"/>
      <c r="J105" s="276"/>
      <c r="K105" s="276"/>
      <c r="L105" s="277"/>
      <c r="M105" s="278" t="s">
        <v>196</v>
      </c>
      <c r="N105" s="279"/>
      <c r="O105" s="279"/>
      <c r="P105" s="279"/>
      <c r="Q105" s="280"/>
    </row>
    <row r="106" spans="2:17" ht="15.75" x14ac:dyDescent="0.2">
      <c r="B106" s="262" t="s">
        <v>126</v>
      </c>
      <c r="C106" s="262" t="s">
        <v>0</v>
      </c>
      <c r="D106" s="262" t="s">
        <v>8</v>
      </c>
      <c r="E106" s="282" t="s">
        <v>127</v>
      </c>
      <c r="F106" s="262" t="s">
        <v>128</v>
      </c>
      <c r="G106" s="262" t="s">
        <v>129</v>
      </c>
      <c r="H106" s="262"/>
      <c r="I106" s="262" t="s">
        <v>130</v>
      </c>
      <c r="J106" s="262"/>
      <c r="K106" s="262" t="s">
        <v>131</v>
      </c>
      <c r="L106" s="262"/>
      <c r="M106" s="262" t="s">
        <v>132</v>
      </c>
      <c r="N106" s="262" t="s">
        <v>133</v>
      </c>
      <c r="O106" s="262" t="s">
        <v>134</v>
      </c>
      <c r="P106" s="263" t="s">
        <v>135</v>
      </c>
      <c r="Q106" s="263"/>
    </row>
    <row r="107" spans="2:17" ht="15.75" x14ac:dyDescent="0.2">
      <c r="B107" s="262"/>
      <c r="C107" s="262"/>
      <c r="D107" s="262"/>
      <c r="E107" s="282"/>
      <c r="F107" s="262"/>
      <c r="G107" s="53" t="s">
        <v>136</v>
      </c>
      <c r="H107" s="53" t="s">
        <v>137</v>
      </c>
      <c r="I107" s="64" t="s">
        <v>138</v>
      </c>
      <c r="J107" s="53" t="s">
        <v>137</v>
      </c>
      <c r="K107" s="53" t="s">
        <v>138</v>
      </c>
      <c r="L107" s="53" t="s">
        <v>137</v>
      </c>
      <c r="M107" s="262"/>
      <c r="N107" s="262"/>
      <c r="O107" s="262"/>
      <c r="P107" s="263"/>
      <c r="Q107" s="263"/>
    </row>
    <row r="108" spans="2:17" ht="15.75" x14ac:dyDescent="0.2">
      <c r="B108" s="247" t="s">
        <v>351</v>
      </c>
      <c r="C108" s="250" t="s">
        <v>20</v>
      </c>
      <c r="D108" s="50">
        <v>10</v>
      </c>
      <c r="E108" s="89" t="s">
        <v>339</v>
      </c>
      <c r="F108" s="50" t="s">
        <v>341</v>
      </c>
      <c r="G108" s="247" t="s">
        <v>609</v>
      </c>
      <c r="H108" s="90">
        <v>1</v>
      </c>
      <c r="I108" s="89" t="s">
        <v>252</v>
      </c>
      <c r="J108" s="50" t="s">
        <v>251</v>
      </c>
      <c r="K108" s="50" t="s">
        <v>234</v>
      </c>
      <c r="L108" s="50">
        <v>1</v>
      </c>
      <c r="M108" s="86">
        <v>3.2399999999999998E-2</v>
      </c>
      <c r="N108" s="46">
        <f t="shared" ref="N108:N109" si="3">3600*10*0.9/M108</f>
        <v>1000000</v>
      </c>
      <c r="O108" s="50">
        <v>1</v>
      </c>
      <c r="P108" s="4">
        <v>0.96</v>
      </c>
      <c r="Q108" s="291">
        <f>P108*P109*P110*P111*P112*P113*P114*P115*P116*P117</f>
        <v>0.91608420558181847</v>
      </c>
    </row>
    <row r="109" spans="2:17" ht="15.75" x14ac:dyDescent="0.2">
      <c r="B109" s="248"/>
      <c r="C109" s="251"/>
      <c r="D109" s="50">
        <v>20</v>
      </c>
      <c r="E109" s="89" t="s">
        <v>343</v>
      </c>
      <c r="F109" s="50" t="s">
        <v>345</v>
      </c>
      <c r="G109" s="248"/>
      <c r="H109" s="90">
        <v>1</v>
      </c>
      <c r="I109" s="89" t="s">
        <v>251</v>
      </c>
      <c r="J109" s="50" t="s">
        <v>251</v>
      </c>
      <c r="K109" s="50" t="s">
        <v>236</v>
      </c>
      <c r="L109" s="50">
        <v>1</v>
      </c>
      <c r="M109" s="90">
        <v>0.5</v>
      </c>
      <c r="N109" s="46">
        <f t="shared" si="3"/>
        <v>64800</v>
      </c>
      <c r="O109" s="50">
        <v>1</v>
      </c>
      <c r="P109" s="4">
        <v>1</v>
      </c>
      <c r="Q109" s="292"/>
    </row>
    <row r="110" spans="2:17" ht="15.75" x14ac:dyDescent="0.2">
      <c r="B110" s="248"/>
      <c r="C110" s="251"/>
      <c r="D110" s="50">
        <v>30</v>
      </c>
      <c r="E110" s="89" t="s">
        <v>223</v>
      </c>
      <c r="F110" s="50" t="s">
        <v>238</v>
      </c>
      <c r="G110" s="248"/>
      <c r="H110" s="90">
        <v>1</v>
      </c>
      <c r="I110" s="89" t="s">
        <v>251</v>
      </c>
      <c r="J110" s="50" t="s">
        <v>251</v>
      </c>
      <c r="K110" s="50" t="s">
        <v>239</v>
      </c>
      <c r="L110" s="50">
        <v>2</v>
      </c>
      <c r="M110" s="302">
        <v>0.63100000000000001</v>
      </c>
      <c r="N110" s="256">
        <f>3600*10*0.9/M110</f>
        <v>51347.068145800316</v>
      </c>
      <c r="O110" s="302">
        <v>1</v>
      </c>
      <c r="P110" s="4">
        <v>1</v>
      </c>
      <c r="Q110" s="292"/>
    </row>
    <row r="111" spans="2:17" ht="31.5" x14ac:dyDescent="0.2">
      <c r="B111" s="248"/>
      <c r="C111" s="251"/>
      <c r="D111" s="83">
        <v>40</v>
      </c>
      <c r="E111" s="83" t="s">
        <v>195</v>
      </c>
      <c r="F111" s="84" t="s">
        <v>197</v>
      </c>
      <c r="G111" s="248"/>
      <c r="H111" s="62">
        <v>1</v>
      </c>
      <c r="I111" s="247" t="s">
        <v>248</v>
      </c>
      <c r="J111" s="256" t="s">
        <v>250</v>
      </c>
      <c r="K111" s="86" t="s">
        <v>208</v>
      </c>
      <c r="L111" s="46">
        <v>1</v>
      </c>
      <c r="M111" s="303"/>
      <c r="N111" s="258"/>
      <c r="O111" s="303"/>
      <c r="P111" s="5">
        <v>0.96</v>
      </c>
      <c r="Q111" s="292"/>
    </row>
    <row r="112" spans="2:17" ht="15.75" customHeight="1" x14ac:dyDescent="0.2">
      <c r="B112" s="248"/>
      <c r="C112" s="251"/>
      <c r="D112" s="46">
        <v>50</v>
      </c>
      <c r="E112" s="46" t="s">
        <v>200</v>
      </c>
      <c r="F112" s="84" t="s">
        <v>201</v>
      </c>
      <c r="G112" s="248"/>
      <c r="H112" s="62">
        <v>1</v>
      </c>
      <c r="I112" s="249"/>
      <c r="J112" s="257"/>
      <c r="K112" s="86" t="s">
        <v>209</v>
      </c>
      <c r="L112" s="46">
        <v>1</v>
      </c>
      <c r="M112" s="303"/>
      <c r="N112" s="258"/>
      <c r="O112" s="303"/>
      <c r="P112" s="5">
        <v>0.999</v>
      </c>
      <c r="Q112" s="292"/>
    </row>
    <row r="113" spans="2:17" ht="15.75" customHeight="1" x14ac:dyDescent="0.2">
      <c r="B113" s="248"/>
      <c r="C113" s="251"/>
      <c r="D113" s="46">
        <v>60</v>
      </c>
      <c r="E113" s="46" t="s">
        <v>221</v>
      </c>
      <c r="F113" s="84" t="s">
        <v>245</v>
      </c>
      <c r="G113" s="248"/>
      <c r="H113" s="62">
        <v>1</v>
      </c>
      <c r="I113" s="84" t="s">
        <v>252</v>
      </c>
      <c r="J113" s="46" t="s">
        <v>252</v>
      </c>
      <c r="K113" s="87" t="s">
        <v>241</v>
      </c>
      <c r="L113" s="62">
        <v>1</v>
      </c>
      <c r="M113" s="303"/>
      <c r="N113" s="258"/>
      <c r="O113" s="303"/>
      <c r="P113" s="5">
        <v>0.999</v>
      </c>
      <c r="Q113" s="292"/>
    </row>
    <row r="114" spans="2:17" ht="15.75" customHeight="1" x14ac:dyDescent="0.2">
      <c r="B114" s="248"/>
      <c r="C114" s="251"/>
      <c r="D114" s="46">
        <v>70</v>
      </c>
      <c r="E114" s="46" t="s">
        <v>228</v>
      </c>
      <c r="F114" s="84" t="s">
        <v>244</v>
      </c>
      <c r="G114" s="248"/>
      <c r="H114" s="62">
        <v>1</v>
      </c>
      <c r="I114" s="84" t="s">
        <v>253</v>
      </c>
      <c r="J114" s="46" t="s">
        <v>252</v>
      </c>
      <c r="K114" s="87" t="s">
        <v>243</v>
      </c>
      <c r="L114" s="62">
        <v>1</v>
      </c>
      <c r="M114" s="304"/>
      <c r="N114" s="257"/>
      <c r="O114" s="304"/>
      <c r="P114" s="5">
        <v>0.999</v>
      </c>
      <c r="Q114" s="292"/>
    </row>
    <row r="115" spans="2:17" ht="15.75" customHeight="1" x14ac:dyDescent="0.2">
      <c r="B115" s="248"/>
      <c r="C115" s="251"/>
      <c r="D115" s="255">
        <v>80</v>
      </c>
      <c r="E115" s="255" t="s">
        <v>204</v>
      </c>
      <c r="F115" s="84" t="s">
        <v>205</v>
      </c>
      <c r="G115" s="248"/>
      <c r="H115" s="46" t="s">
        <v>46</v>
      </c>
      <c r="I115" s="84" t="s">
        <v>46</v>
      </c>
      <c r="J115" s="46" t="s">
        <v>46</v>
      </c>
      <c r="K115" s="62" t="s">
        <v>46</v>
      </c>
      <c r="L115" s="62" t="s">
        <v>46</v>
      </c>
      <c r="M115" s="247">
        <v>3</v>
      </c>
      <c r="N115" s="256">
        <f>3600*10*0.9/M115</f>
        <v>10800</v>
      </c>
      <c r="O115" s="256">
        <v>4</v>
      </c>
      <c r="P115" s="5">
        <v>0.999</v>
      </c>
      <c r="Q115" s="292"/>
    </row>
    <row r="116" spans="2:17" ht="15.75" customHeight="1" x14ac:dyDescent="0.2">
      <c r="B116" s="248"/>
      <c r="C116" s="251"/>
      <c r="D116" s="255"/>
      <c r="E116" s="255"/>
      <c r="F116" s="88" t="s">
        <v>206</v>
      </c>
      <c r="G116" s="248"/>
      <c r="H116" s="46" t="s">
        <v>46</v>
      </c>
      <c r="I116" s="84" t="s">
        <v>46</v>
      </c>
      <c r="J116" s="46" t="s">
        <v>46</v>
      </c>
      <c r="K116" s="62" t="s">
        <v>46</v>
      </c>
      <c r="L116" s="62" t="s">
        <v>46</v>
      </c>
      <c r="M116" s="248"/>
      <c r="N116" s="258"/>
      <c r="O116" s="258"/>
      <c r="P116" s="5">
        <v>0.999</v>
      </c>
      <c r="Q116" s="292"/>
    </row>
    <row r="117" spans="2:17" ht="15.75" customHeight="1" x14ac:dyDescent="0.2">
      <c r="B117" s="249"/>
      <c r="C117" s="252"/>
      <c r="D117" s="255"/>
      <c r="E117" s="255"/>
      <c r="F117" s="84" t="s">
        <v>204</v>
      </c>
      <c r="G117" s="249"/>
      <c r="H117" s="46" t="s">
        <v>46</v>
      </c>
      <c r="I117" s="46" t="s">
        <v>46</v>
      </c>
      <c r="J117" s="46" t="s">
        <v>46</v>
      </c>
      <c r="K117" s="62" t="s">
        <v>46</v>
      </c>
      <c r="L117" s="62" t="s">
        <v>46</v>
      </c>
      <c r="M117" s="249"/>
      <c r="N117" s="257"/>
      <c r="O117" s="257"/>
      <c r="P117" s="5">
        <v>0.999</v>
      </c>
      <c r="Q117" s="293"/>
    </row>
    <row r="118" spans="2:17" ht="15.75" x14ac:dyDescent="0.2">
      <c r="B118" s="60"/>
      <c r="C118" s="60"/>
      <c r="D118" s="60"/>
      <c r="E118" s="60"/>
      <c r="F118" s="60"/>
      <c r="G118" s="60"/>
      <c r="H118" s="60"/>
      <c r="I118" s="60"/>
      <c r="J118" s="60"/>
      <c r="K118" s="253" t="s">
        <v>193</v>
      </c>
      <c r="L118" s="254"/>
      <c r="M118" s="46">
        <f>M108*O108+M109*O109+M110*O110+M115*O115</f>
        <v>13.163399999999999</v>
      </c>
      <c r="N118" s="46" t="s">
        <v>207</v>
      </c>
      <c r="O118" s="46">
        <f>SUM(O108:O117)</f>
        <v>7</v>
      </c>
      <c r="P118" s="6"/>
      <c r="Q118" s="6"/>
    </row>
    <row r="123" spans="2:17" ht="15.75" x14ac:dyDescent="0.2">
      <c r="B123" s="232" t="s">
        <v>596</v>
      </c>
      <c r="C123" s="233"/>
      <c r="D123" s="233"/>
      <c r="E123" s="233"/>
      <c r="F123" s="233"/>
      <c r="G123" s="233"/>
      <c r="H123" s="233"/>
      <c r="I123" s="233"/>
      <c r="J123" s="233"/>
      <c r="K123" s="233"/>
      <c r="L123" s="234"/>
      <c r="M123" s="232" t="s">
        <v>196</v>
      </c>
      <c r="N123" s="233"/>
      <c r="O123" s="233"/>
      <c r="P123" s="233"/>
      <c r="Q123" s="234"/>
    </row>
    <row r="124" spans="2:17" ht="15.75" x14ac:dyDescent="0.2">
      <c r="B124" s="235" t="s">
        <v>126</v>
      </c>
      <c r="C124" s="235" t="s">
        <v>0</v>
      </c>
      <c r="D124" s="235" t="s">
        <v>8</v>
      </c>
      <c r="E124" s="236" t="s">
        <v>127</v>
      </c>
      <c r="F124" s="235" t="s">
        <v>128</v>
      </c>
      <c r="G124" s="235" t="s">
        <v>129</v>
      </c>
      <c r="H124" s="235"/>
      <c r="I124" s="235" t="s">
        <v>130</v>
      </c>
      <c r="J124" s="235"/>
      <c r="K124" s="235" t="s">
        <v>131</v>
      </c>
      <c r="L124" s="235"/>
      <c r="M124" s="235" t="s">
        <v>132</v>
      </c>
      <c r="N124" s="237" t="s">
        <v>133</v>
      </c>
      <c r="O124" s="235" t="s">
        <v>134</v>
      </c>
      <c r="P124" s="235" t="s">
        <v>135</v>
      </c>
      <c r="Q124" s="235"/>
    </row>
    <row r="125" spans="2:17" ht="15.75" x14ac:dyDescent="0.2">
      <c r="B125" s="235"/>
      <c r="C125" s="235"/>
      <c r="D125" s="235"/>
      <c r="E125" s="236"/>
      <c r="F125" s="235"/>
      <c r="G125" s="96" t="s">
        <v>136</v>
      </c>
      <c r="H125" s="97" t="s">
        <v>137</v>
      </c>
      <c r="I125" s="98" t="s">
        <v>138</v>
      </c>
      <c r="J125" s="97" t="s">
        <v>137</v>
      </c>
      <c r="K125" s="97" t="s">
        <v>138</v>
      </c>
      <c r="L125" s="97" t="s">
        <v>137</v>
      </c>
      <c r="M125" s="235"/>
      <c r="N125" s="237"/>
      <c r="O125" s="235"/>
      <c r="P125" s="235"/>
      <c r="Q125" s="235"/>
    </row>
    <row r="126" spans="2:17" ht="15.75" x14ac:dyDescent="0.2">
      <c r="B126" s="241" t="s">
        <v>352</v>
      </c>
      <c r="C126" s="238" t="s">
        <v>313</v>
      </c>
      <c r="D126" s="52">
        <v>10</v>
      </c>
      <c r="E126" s="116" t="s">
        <v>340</v>
      </c>
      <c r="F126" s="115" t="s">
        <v>342</v>
      </c>
      <c r="G126" s="241" t="s">
        <v>609</v>
      </c>
      <c r="H126" s="52">
        <v>1</v>
      </c>
      <c r="I126" s="116"/>
      <c r="J126" s="115"/>
      <c r="K126" s="50" t="s">
        <v>234</v>
      </c>
      <c r="L126" s="52">
        <v>1</v>
      </c>
      <c r="M126" s="86">
        <v>3.2399999999999998E-2</v>
      </c>
      <c r="N126" s="46">
        <f t="shared" ref="N126:N127" si="4">3600*10*0.9/M126</f>
        <v>1000000</v>
      </c>
      <c r="O126" s="50">
        <v>1</v>
      </c>
      <c r="P126" s="118">
        <v>0.96</v>
      </c>
      <c r="Q126" s="244">
        <f>P126*P127*P128*P129*P130*P131*P132</f>
        <v>0.91791912591452163</v>
      </c>
    </row>
    <row r="127" spans="2:17" ht="15.75" x14ac:dyDescent="0.2">
      <c r="B127" s="242"/>
      <c r="C127" s="239"/>
      <c r="D127" s="52">
        <v>20</v>
      </c>
      <c r="E127" s="116" t="s">
        <v>344</v>
      </c>
      <c r="F127" s="115" t="s">
        <v>346</v>
      </c>
      <c r="G127" s="242"/>
      <c r="H127" s="52">
        <v>1</v>
      </c>
      <c r="I127" s="116"/>
      <c r="J127" s="115"/>
      <c r="K127" s="50" t="s">
        <v>236</v>
      </c>
      <c r="L127" s="52">
        <v>1</v>
      </c>
      <c r="M127" s="50">
        <v>0.5</v>
      </c>
      <c r="N127" s="46">
        <f t="shared" si="4"/>
        <v>64800</v>
      </c>
      <c r="O127" s="50">
        <v>1</v>
      </c>
      <c r="P127" s="118">
        <v>1</v>
      </c>
      <c r="Q127" s="245"/>
    </row>
    <row r="128" spans="2:17" ht="31.5" x14ac:dyDescent="0.2">
      <c r="B128" s="242"/>
      <c r="C128" s="239"/>
      <c r="D128" s="117">
        <v>30</v>
      </c>
      <c r="E128" s="117" t="s">
        <v>195</v>
      </c>
      <c r="F128" s="112" t="s">
        <v>197</v>
      </c>
      <c r="G128" s="242"/>
      <c r="H128" s="107">
        <v>1</v>
      </c>
      <c r="I128" s="112" t="s">
        <v>314</v>
      </c>
      <c r="J128" s="108">
        <v>10</v>
      </c>
      <c r="K128" s="113" t="s">
        <v>208</v>
      </c>
      <c r="L128" s="108">
        <v>1</v>
      </c>
      <c r="M128" s="119" t="s">
        <v>315</v>
      </c>
      <c r="N128" s="108">
        <f>3600*10*0.9/M128</f>
        <v>10800</v>
      </c>
      <c r="O128" s="108">
        <v>1</v>
      </c>
      <c r="P128" s="118">
        <v>0.96</v>
      </c>
      <c r="Q128" s="245"/>
    </row>
    <row r="129" spans="2:17" ht="15.75" customHeight="1" x14ac:dyDescent="0.2">
      <c r="B129" s="242"/>
      <c r="C129" s="239"/>
      <c r="D129" s="102">
        <v>40</v>
      </c>
      <c r="E129" s="102" t="s">
        <v>200</v>
      </c>
      <c r="F129" s="100" t="s">
        <v>201</v>
      </c>
      <c r="G129" s="242"/>
      <c r="H129" s="101">
        <v>1</v>
      </c>
      <c r="I129" s="100" t="s">
        <v>316</v>
      </c>
      <c r="J129" s="102">
        <v>5</v>
      </c>
      <c r="K129" s="103" t="s">
        <v>209</v>
      </c>
      <c r="L129" s="102">
        <v>1</v>
      </c>
      <c r="M129" s="104">
        <v>3</v>
      </c>
      <c r="N129" s="102">
        <f>3600*10*0.9/M129</f>
        <v>10800</v>
      </c>
      <c r="O129" s="102">
        <v>2</v>
      </c>
      <c r="P129" s="105">
        <v>0.999</v>
      </c>
      <c r="Q129" s="245"/>
    </row>
    <row r="130" spans="2:17" ht="15.75" customHeight="1" x14ac:dyDescent="0.2">
      <c r="B130" s="242"/>
      <c r="C130" s="239"/>
      <c r="D130" s="226">
        <v>50</v>
      </c>
      <c r="E130" s="226" t="s">
        <v>204</v>
      </c>
      <c r="F130" s="100" t="s">
        <v>205</v>
      </c>
      <c r="G130" s="242"/>
      <c r="H130" s="102">
        <v>1</v>
      </c>
      <c r="I130" s="100" t="s">
        <v>46</v>
      </c>
      <c r="J130" s="102" t="s">
        <v>46</v>
      </c>
      <c r="K130" s="101" t="s">
        <v>46</v>
      </c>
      <c r="L130" s="101" t="s">
        <v>46</v>
      </c>
      <c r="M130" s="266" t="s">
        <v>338</v>
      </c>
      <c r="N130" s="269">
        <f>3600*10*0.9/M130</f>
        <v>10800</v>
      </c>
      <c r="O130" s="272">
        <v>4</v>
      </c>
      <c r="P130" s="105">
        <v>0.999</v>
      </c>
      <c r="Q130" s="245"/>
    </row>
    <row r="131" spans="2:17" ht="15.75" customHeight="1" x14ac:dyDescent="0.2">
      <c r="B131" s="242"/>
      <c r="C131" s="239"/>
      <c r="D131" s="226"/>
      <c r="E131" s="226"/>
      <c r="F131" s="106" t="s">
        <v>206</v>
      </c>
      <c r="G131" s="242"/>
      <c r="H131" s="102">
        <v>1</v>
      </c>
      <c r="I131" s="100" t="s">
        <v>46</v>
      </c>
      <c r="J131" s="102" t="s">
        <v>46</v>
      </c>
      <c r="K131" s="101" t="s">
        <v>317</v>
      </c>
      <c r="L131" s="101" t="s">
        <v>46</v>
      </c>
      <c r="M131" s="267"/>
      <c r="N131" s="270"/>
      <c r="O131" s="264"/>
      <c r="P131" s="105">
        <v>0.999</v>
      </c>
      <c r="Q131" s="245"/>
    </row>
    <row r="132" spans="2:17" ht="15.75" customHeight="1" x14ac:dyDescent="0.2">
      <c r="B132" s="243"/>
      <c r="C132" s="240"/>
      <c r="D132" s="226"/>
      <c r="E132" s="226"/>
      <c r="F132" s="100" t="s">
        <v>204</v>
      </c>
      <c r="G132" s="243"/>
      <c r="H132" s="102">
        <v>1</v>
      </c>
      <c r="I132" s="102" t="s">
        <v>46</v>
      </c>
      <c r="J132" s="102" t="s">
        <v>46</v>
      </c>
      <c r="K132" s="101" t="s">
        <v>46</v>
      </c>
      <c r="L132" s="101" t="s">
        <v>46</v>
      </c>
      <c r="M132" s="268"/>
      <c r="N132" s="271"/>
      <c r="O132" s="265"/>
      <c r="P132" s="105">
        <v>0.999</v>
      </c>
      <c r="Q132" s="246"/>
    </row>
    <row r="133" spans="2:17" ht="15.75" x14ac:dyDescent="0.2">
      <c r="B133" s="109"/>
      <c r="C133" s="109"/>
      <c r="D133" s="109"/>
      <c r="E133" s="109"/>
      <c r="F133" s="109"/>
      <c r="G133" s="109"/>
      <c r="H133" s="109"/>
      <c r="I133" s="109"/>
      <c r="J133" s="109"/>
      <c r="K133" s="273" t="s">
        <v>193</v>
      </c>
      <c r="L133" s="274"/>
      <c r="M133" s="114">
        <f>M126*O126+M127*O127+M128*O128+M129*O129+M130*O130</f>
        <v>21.532399999999999</v>
      </c>
      <c r="N133" s="102" t="s">
        <v>207</v>
      </c>
      <c r="O133" s="102">
        <f>SUM(O126:O132)</f>
        <v>9</v>
      </c>
      <c r="P133" s="109"/>
      <c r="Q133" s="109"/>
    </row>
    <row r="138" spans="2:17" ht="27" customHeight="1" x14ac:dyDescent="0.2">
      <c r="B138" s="275" t="s">
        <v>466</v>
      </c>
      <c r="C138" s="276"/>
      <c r="D138" s="276"/>
      <c r="E138" s="276"/>
      <c r="F138" s="276"/>
      <c r="G138" s="276"/>
      <c r="H138" s="276"/>
      <c r="I138" s="276"/>
      <c r="J138" s="276"/>
      <c r="K138" s="276"/>
      <c r="L138" s="277"/>
      <c r="M138" s="278" t="s">
        <v>125</v>
      </c>
      <c r="N138" s="279"/>
      <c r="O138" s="279"/>
      <c r="P138" s="279"/>
      <c r="Q138" s="280"/>
    </row>
    <row r="139" spans="2:17" ht="15.75" x14ac:dyDescent="0.2">
      <c r="B139" s="262" t="s">
        <v>126</v>
      </c>
      <c r="C139" s="262" t="s">
        <v>0</v>
      </c>
      <c r="D139" s="262" t="s">
        <v>8</v>
      </c>
      <c r="E139" s="282" t="s">
        <v>127</v>
      </c>
      <c r="F139" s="262" t="s">
        <v>128</v>
      </c>
      <c r="G139" s="262" t="s">
        <v>129</v>
      </c>
      <c r="H139" s="262"/>
      <c r="I139" s="262" t="s">
        <v>130</v>
      </c>
      <c r="J139" s="262"/>
      <c r="K139" s="262" t="s">
        <v>131</v>
      </c>
      <c r="L139" s="262"/>
      <c r="M139" s="262" t="s">
        <v>132</v>
      </c>
      <c r="N139" s="262" t="s">
        <v>133</v>
      </c>
      <c r="O139" s="262" t="s">
        <v>134</v>
      </c>
      <c r="P139" s="263" t="s">
        <v>135</v>
      </c>
      <c r="Q139" s="263"/>
    </row>
    <row r="140" spans="2:17" ht="15.75" x14ac:dyDescent="0.2">
      <c r="B140" s="262"/>
      <c r="C140" s="262"/>
      <c r="D140" s="262"/>
      <c r="E140" s="282"/>
      <c r="F140" s="262"/>
      <c r="G140" s="53" t="s">
        <v>136</v>
      </c>
      <c r="H140" s="53" t="s">
        <v>13</v>
      </c>
      <c r="I140" s="64" t="s">
        <v>138</v>
      </c>
      <c r="J140" s="53" t="s">
        <v>137</v>
      </c>
      <c r="K140" s="53" t="s">
        <v>138</v>
      </c>
      <c r="L140" s="53" t="s">
        <v>137</v>
      </c>
      <c r="M140" s="262"/>
      <c r="N140" s="262"/>
      <c r="O140" s="262"/>
      <c r="P140" s="263"/>
      <c r="Q140" s="263"/>
    </row>
    <row r="141" spans="2:17" ht="15.75" customHeight="1" x14ac:dyDescent="0.2">
      <c r="B141" s="247" t="s">
        <v>350</v>
      </c>
      <c r="C141" s="250" t="s">
        <v>20</v>
      </c>
      <c r="D141" s="50">
        <v>10</v>
      </c>
      <c r="E141" s="89" t="s">
        <v>229</v>
      </c>
      <c r="F141" s="50" t="s">
        <v>231</v>
      </c>
      <c r="G141" s="247" t="s">
        <v>463</v>
      </c>
      <c r="H141" s="90">
        <v>1</v>
      </c>
      <c r="I141" s="91" t="s">
        <v>251</v>
      </c>
      <c r="J141" s="50" t="s">
        <v>252</v>
      </c>
      <c r="K141" s="50" t="s">
        <v>233</v>
      </c>
      <c r="L141" s="50">
        <v>1</v>
      </c>
      <c r="M141" s="86">
        <v>3.2399999999999998E-2</v>
      </c>
      <c r="N141" s="46">
        <f t="shared" ref="N141:N142" si="5">3600*10*0.9/M141</f>
        <v>1000000</v>
      </c>
      <c r="O141" s="50">
        <v>1</v>
      </c>
      <c r="P141" s="4">
        <v>0.95</v>
      </c>
      <c r="Q141" s="291">
        <f>P141*P142*P143*P144*P145*P146*P147*P148*P149*P150</f>
        <v>0.93487108870410185</v>
      </c>
    </row>
    <row r="142" spans="2:17" ht="15.75" x14ac:dyDescent="0.2">
      <c r="B142" s="248"/>
      <c r="C142" s="251"/>
      <c r="D142" s="50">
        <v>20</v>
      </c>
      <c r="E142" s="89" t="s">
        <v>230</v>
      </c>
      <c r="F142" s="50" t="s">
        <v>232</v>
      </c>
      <c r="G142" s="248"/>
      <c r="H142" s="90">
        <v>1</v>
      </c>
      <c r="I142" s="91" t="s">
        <v>254</v>
      </c>
      <c r="J142" s="50" t="s">
        <v>252</v>
      </c>
      <c r="K142" s="50" t="s">
        <v>235</v>
      </c>
      <c r="L142" s="50">
        <v>1</v>
      </c>
      <c r="M142" s="50">
        <v>0.5</v>
      </c>
      <c r="N142" s="46">
        <f t="shared" si="5"/>
        <v>64800</v>
      </c>
      <c r="O142" s="50">
        <v>1</v>
      </c>
      <c r="P142" s="4">
        <v>1</v>
      </c>
      <c r="Q142" s="292"/>
    </row>
    <row r="143" spans="2:17" ht="15.75" customHeight="1" x14ac:dyDescent="0.2">
      <c r="B143" s="248"/>
      <c r="C143" s="251"/>
      <c r="D143" s="83">
        <v>30</v>
      </c>
      <c r="E143" s="83" t="s">
        <v>223</v>
      </c>
      <c r="F143" s="84" t="s">
        <v>237</v>
      </c>
      <c r="G143" s="248"/>
      <c r="H143" s="62">
        <v>1</v>
      </c>
      <c r="I143" s="84" t="s">
        <v>251</v>
      </c>
      <c r="J143" s="46" t="s">
        <v>252</v>
      </c>
      <c r="K143" s="86" t="s">
        <v>239</v>
      </c>
      <c r="L143" s="46">
        <v>2</v>
      </c>
      <c r="M143" s="259">
        <v>0.63100000000000001</v>
      </c>
      <c r="N143" s="256">
        <f t="shared" ref="N143:N148" si="6">3600*10*0.9/M143</f>
        <v>51347.068145800316</v>
      </c>
      <c r="O143" s="256">
        <v>1</v>
      </c>
      <c r="P143" s="5">
        <v>1</v>
      </c>
      <c r="Q143" s="292"/>
    </row>
    <row r="144" spans="2:17" ht="34.5" customHeight="1" x14ac:dyDescent="0.2">
      <c r="B144" s="248"/>
      <c r="C144" s="251"/>
      <c r="D144" s="83">
        <v>40</v>
      </c>
      <c r="E144" s="83" t="s">
        <v>224</v>
      </c>
      <c r="F144" s="84" t="s">
        <v>225</v>
      </c>
      <c r="G144" s="248"/>
      <c r="H144" s="62">
        <v>1</v>
      </c>
      <c r="I144" s="248" t="s">
        <v>247</v>
      </c>
      <c r="J144" s="256" t="s">
        <v>249</v>
      </c>
      <c r="K144" s="86" t="s">
        <v>226</v>
      </c>
      <c r="L144" s="46">
        <v>1</v>
      </c>
      <c r="M144" s="260"/>
      <c r="N144" s="258"/>
      <c r="O144" s="258"/>
      <c r="P144" s="5">
        <v>0.99</v>
      </c>
      <c r="Q144" s="292"/>
    </row>
    <row r="145" spans="2:17" ht="15.75" customHeight="1" x14ac:dyDescent="0.2">
      <c r="B145" s="248"/>
      <c r="C145" s="251"/>
      <c r="D145" s="83">
        <v>50</v>
      </c>
      <c r="E145" s="83" t="s">
        <v>200</v>
      </c>
      <c r="F145" s="84" t="s">
        <v>210</v>
      </c>
      <c r="G145" s="248"/>
      <c r="H145" s="62">
        <v>1</v>
      </c>
      <c r="I145" s="249"/>
      <c r="J145" s="257"/>
      <c r="K145" s="86" t="s">
        <v>211</v>
      </c>
      <c r="L145" s="46">
        <v>1</v>
      </c>
      <c r="M145" s="260"/>
      <c r="N145" s="258"/>
      <c r="O145" s="258"/>
      <c r="P145" s="5">
        <v>0.999</v>
      </c>
      <c r="Q145" s="292"/>
    </row>
    <row r="146" spans="2:17" ht="15.75" customHeight="1" x14ac:dyDescent="0.2">
      <c r="B146" s="248"/>
      <c r="C146" s="251"/>
      <c r="D146" s="83">
        <v>60</v>
      </c>
      <c r="E146" s="83" t="s">
        <v>227</v>
      </c>
      <c r="F146" s="84" t="s">
        <v>246</v>
      </c>
      <c r="G146" s="248"/>
      <c r="H146" s="62">
        <v>1</v>
      </c>
      <c r="I146" s="92" t="s">
        <v>251</v>
      </c>
      <c r="J146" s="61" t="s">
        <v>251</v>
      </c>
      <c r="K146" s="87" t="s">
        <v>240</v>
      </c>
      <c r="L146" s="62">
        <v>1</v>
      </c>
      <c r="M146" s="260"/>
      <c r="N146" s="258"/>
      <c r="O146" s="258"/>
      <c r="P146" s="5">
        <v>0.999</v>
      </c>
      <c r="Q146" s="292"/>
    </row>
    <row r="147" spans="2:17" ht="15.75" customHeight="1" x14ac:dyDescent="0.2">
      <c r="B147" s="248"/>
      <c r="C147" s="251"/>
      <c r="D147" s="83">
        <v>70</v>
      </c>
      <c r="E147" s="83" t="s">
        <v>222</v>
      </c>
      <c r="F147" s="84" t="s">
        <v>244</v>
      </c>
      <c r="G147" s="248"/>
      <c r="H147" s="62">
        <v>1</v>
      </c>
      <c r="I147" s="92" t="s">
        <v>251</v>
      </c>
      <c r="J147" s="61" t="s">
        <v>251</v>
      </c>
      <c r="K147" s="87" t="s">
        <v>242</v>
      </c>
      <c r="L147" s="62">
        <v>1</v>
      </c>
      <c r="M147" s="261"/>
      <c r="N147" s="257"/>
      <c r="O147" s="257"/>
      <c r="P147" s="5">
        <v>0.999</v>
      </c>
      <c r="Q147" s="292"/>
    </row>
    <row r="148" spans="2:17" ht="15.75" customHeight="1" x14ac:dyDescent="0.2">
      <c r="B148" s="248"/>
      <c r="C148" s="251"/>
      <c r="D148" s="255">
        <v>80</v>
      </c>
      <c r="E148" s="255" t="s">
        <v>204</v>
      </c>
      <c r="F148" s="84" t="s">
        <v>205</v>
      </c>
      <c r="G148" s="248"/>
      <c r="H148" s="46" t="s">
        <v>46</v>
      </c>
      <c r="I148" s="84" t="s">
        <v>46</v>
      </c>
      <c r="J148" s="46" t="s">
        <v>46</v>
      </c>
      <c r="K148" s="62" t="s">
        <v>46</v>
      </c>
      <c r="L148" s="62" t="s">
        <v>46</v>
      </c>
      <c r="M148" s="259">
        <v>3</v>
      </c>
      <c r="N148" s="256">
        <f t="shared" si="6"/>
        <v>10800</v>
      </c>
      <c r="O148" s="256">
        <v>4</v>
      </c>
      <c r="P148" s="5">
        <v>0.999</v>
      </c>
      <c r="Q148" s="292"/>
    </row>
    <row r="149" spans="2:17" ht="15.75" customHeight="1" x14ac:dyDescent="0.2">
      <c r="B149" s="248"/>
      <c r="C149" s="251"/>
      <c r="D149" s="255"/>
      <c r="E149" s="255"/>
      <c r="F149" s="84" t="s">
        <v>206</v>
      </c>
      <c r="G149" s="248"/>
      <c r="H149" s="46" t="s">
        <v>46</v>
      </c>
      <c r="I149" s="84" t="s">
        <v>46</v>
      </c>
      <c r="J149" s="46" t="s">
        <v>46</v>
      </c>
      <c r="K149" s="62" t="s">
        <v>46</v>
      </c>
      <c r="L149" s="62" t="s">
        <v>46</v>
      </c>
      <c r="M149" s="260"/>
      <c r="N149" s="258"/>
      <c r="O149" s="258"/>
      <c r="P149" s="5">
        <v>0.999</v>
      </c>
      <c r="Q149" s="292"/>
    </row>
    <row r="150" spans="2:17" ht="15.75" customHeight="1" x14ac:dyDescent="0.2">
      <c r="B150" s="249"/>
      <c r="C150" s="252"/>
      <c r="D150" s="255"/>
      <c r="E150" s="255"/>
      <c r="F150" s="84" t="s">
        <v>204</v>
      </c>
      <c r="G150" s="249"/>
      <c r="H150" s="46" t="s">
        <v>46</v>
      </c>
      <c r="I150" s="46" t="s">
        <v>46</v>
      </c>
      <c r="J150" s="46" t="s">
        <v>46</v>
      </c>
      <c r="K150" s="62" t="s">
        <v>46</v>
      </c>
      <c r="L150" s="62" t="s">
        <v>46</v>
      </c>
      <c r="M150" s="261"/>
      <c r="N150" s="257"/>
      <c r="O150" s="257"/>
      <c r="P150" s="5">
        <v>0.999</v>
      </c>
      <c r="Q150" s="293"/>
    </row>
    <row r="151" spans="2:17" ht="15.75" x14ac:dyDescent="0.2">
      <c r="B151" s="60"/>
      <c r="C151" s="60"/>
      <c r="D151" s="60"/>
      <c r="E151" s="60"/>
      <c r="F151" s="60"/>
      <c r="G151" s="60"/>
      <c r="H151" s="60"/>
      <c r="I151" s="60"/>
      <c r="J151" s="60"/>
      <c r="K151" s="253" t="s">
        <v>193</v>
      </c>
      <c r="L151" s="254"/>
      <c r="M151" s="46">
        <f>M141*O141+M142*O142+M143*O143+M148*O148</f>
        <v>13.163399999999999</v>
      </c>
      <c r="N151" s="46" t="s">
        <v>207</v>
      </c>
      <c r="O151" s="46">
        <f>SUM(O141:O150)</f>
        <v>7</v>
      </c>
      <c r="P151" s="6"/>
      <c r="Q151" s="6"/>
    </row>
    <row r="157" spans="2:17" ht="15.75" x14ac:dyDescent="0.2">
      <c r="B157" s="232" t="s">
        <v>465</v>
      </c>
      <c r="C157" s="233"/>
      <c r="D157" s="233"/>
      <c r="E157" s="233"/>
      <c r="F157" s="233"/>
      <c r="G157" s="233"/>
      <c r="H157" s="233"/>
      <c r="I157" s="233"/>
      <c r="J157" s="233"/>
      <c r="K157" s="233"/>
      <c r="L157" s="234"/>
      <c r="M157" s="232" t="s">
        <v>125</v>
      </c>
      <c r="N157" s="233"/>
      <c r="O157" s="233"/>
      <c r="P157" s="233"/>
      <c r="Q157" s="234"/>
    </row>
    <row r="158" spans="2:17" ht="15.75" x14ac:dyDescent="0.2">
      <c r="B158" s="235" t="s">
        <v>126</v>
      </c>
      <c r="C158" s="235" t="s">
        <v>0</v>
      </c>
      <c r="D158" s="235" t="s">
        <v>8</v>
      </c>
      <c r="E158" s="236" t="s">
        <v>127</v>
      </c>
      <c r="F158" s="235" t="s">
        <v>128</v>
      </c>
      <c r="G158" s="235" t="s">
        <v>129</v>
      </c>
      <c r="H158" s="235"/>
      <c r="I158" s="235" t="s">
        <v>130</v>
      </c>
      <c r="J158" s="235"/>
      <c r="K158" s="235" t="s">
        <v>131</v>
      </c>
      <c r="L158" s="235"/>
      <c r="M158" s="235" t="s">
        <v>132</v>
      </c>
      <c r="N158" s="237" t="s">
        <v>133</v>
      </c>
      <c r="O158" s="235" t="s">
        <v>134</v>
      </c>
      <c r="P158" s="235" t="s">
        <v>135</v>
      </c>
      <c r="Q158" s="235"/>
    </row>
    <row r="159" spans="2:17" ht="15.75" x14ac:dyDescent="0.2">
      <c r="B159" s="235"/>
      <c r="C159" s="235"/>
      <c r="D159" s="235"/>
      <c r="E159" s="236"/>
      <c r="F159" s="235"/>
      <c r="G159" s="96" t="s">
        <v>136</v>
      </c>
      <c r="H159" s="97" t="s">
        <v>318</v>
      </c>
      <c r="I159" s="98" t="s">
        <v>138</v>
      </c>
      <c r="J159" s="97" t="s">
        <v>137</v>
      </c>
      <c r="K159" s="97" t="s">
        <v>138</v>
      </c>
      <c r="L159" s="97" t="s">
        <v>137</v>
      </c>
      <c r="M159" s="235"/>
      <c r="N159" s="237"/>
      <c r="O159" s="235"/>
      <c r="P159" s="235"/>
      <c r="Q159" s="235"/>
    </row>
    <row r="160" spans="2:17" ht="15.75" customHeight="1" x14ac:dyDescent="0.2">
      <c r="B160" s="242" t="s">
        <v>353</v>
      </c>
      <c r="C160" s="239" t="s">
        <v>313</v>
      </c>
      <c r="D160" s="99">
        <v>10</v>
      </c>
      <c r="E160" s="99" t="s">
        <v>319</v>
      </c>
      <c r="F160" s="100" t="s">
        <v>320</v>
      </c>
      <c r="G160" s="241" t="s">
        <v>464</v>
      </c>
      <c r="H160" s="101">
        <v>1</v>
      </c>
      <c r="I160" s="241" t="s">
        <v>316</v>
      </c>
      <c r="J160" s="226" t="s">
        <v>321</v>
      </c>
      <c r="K160" s="103" t="s">
        <v>322</v>
      </c>
      <c r="L160" s="102">
        <v>2</v>
      </c>
      <c r="M160" s="103">
        <v>1</v>
      </c>
      <c r="N160" s="102">
        <f t="shared" ref="N160:N165" si="7">3600*10*0.9/M160</f>
        <v>32400</v>
      </c>
      <c r="O160" s="102">
        <v>1</v>
      </c>
      <c r="P160" s="105">
        <v>1</v>
      </c>
      <c r="Q160" s="245">
        <f>P160*P163*P164*P165*P166*P167*P161*P162</f>
        <v>0.94147466771994526</v>
      </c>
    </row>
    <row r="161" spans="2:17" ht="15.75" x14ac:dyDescent="0.2">
      <c r="B161" s="242"/>
      <c r="C161" s="239"/>
      <c r="D161" s="99">
        <v>20</v>
      </c>
      <c r="E161" s="99" t="s">
        <v>323</v>
      </c>
      <c r="F161" s="100" t="s">
        <v>324</v>
      </c>
      <c r="G161" s="264"/>
      <c r="H161" s="101">
        <v>1</v>
      </c>
      <c r="I161" s="243"/>
      <c r="J161" s="226"/>
      <c r="K161" s="103" t="s">
        <v>325</v>
      </c>
      <c r="L161" s="102">
        <v>1</v>
      </c>
      <c r="M161" s="103">
        <v>1</v>
      </c>
      <c r="N161" s="102">
        <f t="shared" si="7"/>
        <v>32400</v>
      </c>
      <c r="O161" s="102">
        <v>2</v>
      </c>
      <c r="P161" s="105">
        <v>0.995</v>
      </c>
      <c r="Q161" s="245"/>
    </row>
    <row r="162" spans="2:17" ht="15.75" x14ac:dyDescent="0.2">
      <c r="B162" s="242"/>
      <c r="C162" s="239"/>
      <c r="D162" s="99">
        <v>30</v>
      </c>
      <c r="E162" s="99" t="s">
        <v>326</v>
      </c>
      <c r="F162" s="100" t="s">
        <v>327</v>
      </c>
      <c r="G162" s="264"/>
      <c r="H162" s="101">
        <v>1</v>
      </c>
      <c r="I162" s="110"/>
      <c r="J162" s="111"/>
      <c r="K162" s="103" t="s">
        <v>328</v>
      </c>
      <c r="L162" s="102">
        <v>1</v>
      </c>
      <c r="M162" s="103">
        <v>3.2399999999999998E-2</v>
      </c>
      <c r="N162" s="102">
        <f t="shared" si="7"/>
        <v>1000000</v>
      </c>
      <c r="O162" s="102">
        <v>1</v>
      </c>
      <c r="P162" s="105">
        <v>0.95</v>
      </c>
      <c r="Q162" s="245"/>
    </row>
    <row r="163" spans="2:17" ht="15.75" x14ac:dyDescent="0.2">
      <c r="B163" s="242"/>
      <c r="C163" s="239"/>
      <c r="D163" s="99">
        <v>40</v>
      </c>
      <c r="E163" s="99" t="s">
        <v>329</v>
      </c>
      <c r="F163" s="100" t="s">
        <v>330</v>
      </c>
      <c r="G163" s="264"/>
      <c r="H163" s="101">
        <v>1</v>
      </c>
      <c r="I163" s="110"/>
      <c r="J163" s="111"/>
      <c r="K163" s="103" t="s">
        <v>331</v>
      </c>
      <c r="L163" s="102">
        <v>1</v>
      </c>
      <c r="M163" s="103">
        <v>0.5</v>
      </c>
      <c r="N163" s="102">
        <f t="shared" si="7"/>
        <v>64800</v>
      </c>
      <c r="O163" s="102">
        <v>1</v>
      </c>
      <c r="P163" s="105">
        <v>1</v>
      </c>
      <c r="Q163" s="245"/>
    </row>
    <row r="164" spans="2:17" ht="31.5" x14ac:dyDescent="0.2">
      <c r="B164" s="242"/>
      <c r="C164" s="239"/>
      <c r="D164" s="102">
        <v>50</v>
      </c>
      <c r="E164" s="102" t="s">
        <v>332</v>
      </c>
      <c r="F164" s="100" t="s">
        <v>333</v>
      </c>
      <c r="G164" s="264"/>
      <c r="H164" s="101">
        <v>1</v>
      </c>
      <c r="I164" s="112" t="s">
        <v>334</v>
      </c>
      <c r="J164" s="102" t="s">
        <v>335</v>
      </c>
      <c r="K164" s="103" t="s">
        <v>336</v>
      </c>
      <c r="L164" s="102">
        <v>1</v>
      </c>
      <c r="M164" s="103">
        <v>1</v>
      </c>
      <c r="N164" s="102">
        <f t="shared" si="7"/>
        <v>32400</v>
      </c>
      <c r="O164" s="102">
        <v>1</v>
      </c>
      <c r="P164" s="105">
        <v>0.999</v>
      </c>
      <c r="Q164" s="245"/>
    </row>
    <row r="165" spans="2:17" ht="15.75" x14ac:dyDescent="0.2">
      <c r="B165" s="242"/>
      <c r="C165" s="239"/>
      <c r="D165" s="226">
        <v>60</v>
      </c>
      <c r="E165" s="226" t="s">
        <v>204</v>
      </c>
      <c r="F165" s="100" t="s">
        <v>205</v>
      </c>
      <c r="G165" s="264"/>
      <c r="H165" s="102" t="s">
        <v>46</v>
      </c>
      <c r="I165" s="100" t="s">
        <v>46</v>
      </c>
      <c r="J165" s="102" t="s">
        <v>46</v>
      </c>
      <c r="K165" s="101" t="s">
        <v>46</v>
      </c>
      <c r="L165" s="101" t="s">
        <v>46</v>
      </c>
      <c r="M165" s="308">
        <v>3</v>
      </c>
      <c r="N165" s="269">
        <f t="shared" si="7"/>
        <v>10800</v>
      </c>
      <c r="O165" s="272">
        <v>4</v>
      </c>
      <c r="P165" s="105">
        <v>0.999</v>
      </c>
      <c r="Q165" s="245"/>
    </row>
    <row r="166" spans="2:17" ht="15.75" x14ac:dyDescent="0.2">
      <c r="B166" s="242"/>
      <c r="C166" s="239"/>
      <c r="D166" s="226"/>
      <c r="E166" s="226"/>
      <c r="F166" s="100" t="s">
        <v>337</v>
      </c>
      <c r="G166" s="264"/>
      <c r="H166" s="102" t="s">
        <v>46</v>
      </c>
      <c r="I166" s="100" t="s">
        <v>46</v>
      </c>
      <c r="J166" s="102" t="s">
        <v>46</v>
      </c>
      <c r="K166" s="101" t="s">
        <v>46</v>
      </c>
      <c r="L166" s="101" t="s">
        <v>46</v>
      </c>
      <c r="M166" s="309"/>
      <c r="N166" s="270"/>
      <c r="O166" s="264"/>
      <c r="P166" s="105">
        <v>0.999</v>
      </c>
      <c r="Q166" s="245"/>
    </row>
    <row r="167" spans="2:17" ht="15.75" x14ac:dyDescent="0.2">
      <c r="B167" s="243"/>
      <c r="C167" s="240"/>
      <c r="D167" s="226"/>
      <c r="E167" s="226"/>
      <c r="F167" s="100" t="s">
        <v>204</v>
      </c>
      <c r="G167" s="265"/>
      <c r="H167" s="102" t="s">
        <v>46</v>
      </c>
      <c r="I167" s="102" t="s">
        <v>46</v>
      </c>
      <c r="J167" s="102" t="s">
        <v>46</v>
      </c>
      <c r="K167" s="101" t="s">
        <v>46</v>
      </c>
      <c r="L167" s="101" t="s">
        <v>46</v>
      </c>
      <c r="M167" s="310"/>
      <c r="N167" s="271"/>
      <c r="O167" s="265"/>
      <c r="P167" s="105">
        <v>0.999</v>
      </c>
      <c r="Q167" s="246"/>
    </row>
    <row r="168" spans="2:17" ht="15.75" x14ac:dyDescent="0.2">
      <c r="B168" s="109"/>
      <c r="C168" s="109"/>
      <c r="D168" s="109"/>
      <c r="E168" s="109"/>
      <c r="F168" s="109"/>
      <c r="G168" s="109"/>
      <c r="H168" s="109"/>
      <c r="I168" s="109"/>
      <c r="J168" s="109"/>
      <c r="K168" s="273" t="s">
        <v>193</v>
      </c>
      <c r="L168" s="274"/>
      <c r="M168" s="102">
        <f>M160*O160+M161*O161+M162*O162+M163*O163+M164*O164+M165*O165</f>
        <v>16.532399999999999</v>
      </c>
      <c r="N168" s="102" t="s">
        <v>207</v>
      </c>
      <c r="O168" s="102">
        <f>SUM(O160:O167)</f>
        <v>10</v>
      </c>
      <c r="P168" s="109"/>
      <c r="Q168" s="109"/>
    </row>
    <row r="174" spans="2:17" ht="15.75" x14ac:dyDescent="0.2">
      <c r="B174" s="275" t="s">
        <v>213</v>
      </c>
      <c r="C174" s="276"/>
      <c r="D174" s="276"/>
      <c r="E174" s="276"/>
      <c r="F174" s="276"/>
      <c r="G174" s="276"/>
      <c r="H174" s="276"/>
      <c r="I174" s="276"/>
      <c r="J174" s="276"/>
      <c r="K174" s="276"/>
      <c r="L174" s="277"/>
      <c r="M174" s="278" t="s">
        <v>125</v>
      </c>
      <c r="N174" s="279"/>
      <c r="O174" s="279"/>
      <c r="P174" s="279"/>
      <c r="Q174" s="280"/>
    </row>
    <row r="175" spans="2:17" ht="15.75" x14ac:dyDescent="0.2">
      <c r="B175" s="262" t="s">
        <v>126</v>
      </c>
      <c r="C175" s="262" t="s">
        <v>0</v>
      </c>
      <c r="D175" s="262" t="s">
        <v>8</v>
      </c>
      <c r="E175" s="282" t="s">
        <v>127</v>
      </c>
      <c r="F175" s="262" t="s">
        <v>128</v>
      </c>
      <c r="G175" s="262" t="s">
        <v>129</v>
      </c>
      <c r="H175" s="262"/>
      <c r="I175" s="262" t="s">
        <v>130</v>
      </c>
      <c r="J175" s="262"/>
      <c r="K175" s="262" t="s">
        <v>131</v>
      </c>
      <c r="L175" s="262"/>
      <c r="M175" s="262" t="s">
        <v>132</v>
      </c>
      <c r="N175" s="262" t="s">
        <v>133</v>
      </c>
      <c r="O175" s="262" t="s">
        <v>134</v>
      </c>
      <c r="P175" s="263" t="s">
        <v>135</v>
      </c>
      <c r="Q175" s="263"/>
    </row>
    <row r="176" spans="2:17" ht="15.75" x14ac:dyDescent="0.2">
      <c r="B176" s="262"/>
      <c r="C176" s="262"/>
      <c r="D176" s="262"/>
      <c r="E176" s="282"/>
      <c r="F176" s="262"/>
      <c r="G176" s="53" t="s">
        <v>136</v>
      </c>
      <c r="H176" s="53" t="s">
        <v>137</v>
      </c>
      <c r="I176" s="64" t="s">
        <v>138</v>
      </c>
      <c r="J176" s="53" t="s">
        <v>137</v>
      </c>
      <c r="K176" s="53" t="s">
        <v>138</v>
      </c>
      <c r="L176" s="53" t="s">
        <v>137</v>
      </c>
      <c r="M176" s="262"/>
      <c r="N176" s="262"/>
      <c r="O176" s="262"/>
      <c r="P176" s="263"/>
      <c r="Q176" s="263"/>
    </row>
    <row r="177" spans="2:17" ht="15.75" x14ac:dyDescent="0.2">
      <c r="B177" s="248" t="s">
        <v>354</v>
      </c>
      <c r="C177" s="251" t="s">
        <v>20</v>
      </c>
      <c r="D177" s="83">
        <v>10</v>
      </c>
      <c r="E177" s="83" t="s">
        <v>212</v>
      </c>
      <c r="F177" s="88" t="s">
        <v>212</v>
      </c>
      <c r="G177" s="85" t="s">
        <v>107</v>
      </c>
      <c r="H177" s="62">
        <v>1</v>
      </c>
      <c r="I177" s="85" t="s">
        <v>46</v>
      </c>
      <c r="J177" s="62" t="s">
        <v>46</v>
      </c>
      <c r="K177" s="86" t="s">
        <v>46</v>
      </c>
      <c r="L177" s="46" t="s">
        <v>46</v>
      </c>
      <c r="M177" s="87" t="s">
        <v>214</v>
      </c>
      <c r="N177" s="46">
        <f>3600*10*0.9/M177</f>
        <v>162000</v>
      </c>
      <c r="O177" s="46">
        <v>1</v>
      </c>
      <c r="P177" s="5">
        <v>0.99</v>
      </c>
      <c r="Q177" s="292">
        <f>P177*P178*P179</f>
        <v>0.98802098999999999</v>
      </c>
    </row>
    <row r="178" spans="2:17" ht="15.75" x14ac:dyDescent="0.2">
      <c r="B178" s="248"/>
      <c r="C178" s="251"/>
      <c r="D178" s="255">
        <v>20</v>
      </c>
      <c r="E178" s="255" t="s">
        <v>204</v>
      </c>
      <c r="F178" s="84" t="s">
        <v>205</v>
      </c>
      <c r="G178" s="85" t="s">
        <v>46</v>
      </c>
      <c r="H178" s="46" t="s">
        <v>46</v>
      </c>
      <c r="I178" s="84" t="s">
        <v>46</v>
      </c>
      <c r="J178" s="46" t="s">
        <v>46</v>
      </c>
      <c r="K178" s="62" t="s">
        <v>46</v>
      </c>
      <c r="L178" s="62" t="s">
        <v>46</v>
      </c>
      <c r="M178" s="84" t="s">
        <v>199</v>
      </c>
      <c r="N178" s="46">
        <f>3600*10*0.9/M178</f>
        <v>32400</v>
      </c>
      <c r="O178" s="256">
        <v>2</v>
      </c>
      <c r="P178" s="5">
        <v>0.999</v>
      </c>
      <c r="Q178" s="292"/>
    </row>
    <row r="179" spans="2:17" ht="15.75" x14ac:dyDescent="0.2">
      <c r="B179" s="249"/>
      <c r="C179" s="252"/>
      <c r="D179" s="255"/>
      <c r="E179" s="255"/>
      <c r="F179" s="84" t="s">
        <v>204</v>
      </c>
      <c r="G179" s="84" t="s">
        <v>46</v>
      </c>
      <c r="H179" s="46" t="s">
        <v>46</v>
      </c>
      <c r="I179" s="46" t="s">
        <v>46</v>
      </c>
      <c r="J179" s="46" t="s">
        <v>46</v>
      </c>
      <c r="K179" s="62" t="s">
        <v>46</v>
      </c>
      <c r="L179" s="62" t="s">
        <v>46</v>
      </c>
      <c r="M179" s="84" t="s">
        <v>199</v>
      </c>
      <c r="N179" s="46">
        <f>3600*10*0.9/M179</f>
        <v>32400</v>
      </c>
      <c r="O179" s="257"/>
      <c r="P179" s="5">
        <v>0.999</v>
      </c>
      <c r="Q179" s="293"/>
    </row>
    <row r="180" spans="2:17" ht="15.75" x14ac:dyDescent="0.2">
      <c r="B180" s="60"/>
      <c r="C180" s="60"/>
      <c r="D180" s="60"/>
      <c r="E180" s="60"/>
      <c r="F180" s="60"/>
      <c r="G180" s="60"/>
      <c r="H180" s="60"/>
      <c r="I180" s="60"/>
      <c r="J180" s="60"/>
      <c r="K180" s="253" t="s">
        <v>193</v>
      </c>
      <c r="L180" s="254"/>
      <c r="M180" s="93">
        <f>M179*O178+M177*O177+M178*O178</f>
        <v>4.2</v>
      </c>
      <c r="N180" s="46" t="s">
        <v>207</v>
      </c>
      <c r="O180" s="46">
        <f>SUM(O177:O179)</f>
        <v>3</v>
      </c>
      <c r="P180" s="6"/>
      <c r="Q180" s="6"/>
    </row>
    <row r="185" spans="2:17" ht="15.75" x14ac:dyDescent="0.2">
      <c r="B185" s="232" t="s">
        <v>465</v>
      </c>
      <c r="C185" s="233"/>
      <c r="D185" s="233"/>
      <c r="E185" s="233"/>
      <c r="F185" s="233"/>
      <c r="G185" s="233"/>
      <c r="H185" s="233"/>
      <c r="I185" s="233"/>
      <c r="J185" s="233"/>
      <c r="K185" s="233"/>
      <c r="L185" s="234"/>
      <c r="M185" s="232" t="s">
        <v>125</v>
      </c>
      <c r="N185" s="233"/>
      <c r="O185" s="233"/>
      <c r="P185" s="233"/>
      <c r="Q185" s="234"/>
    </row>
    <row r="186" spans="2:17" ht="15.75" x14ac:dyDescent="0.2">
      <c r="B186" s="235" t="s">
        <v>126</v>
      </c>
      <c r="C186" s="235" t="s">
        <v>0</v>
      </c>
      <c r="D186" s="235" t="s">
        <v>8</v>
      </c>
      <c r="E186" s="236" t="s">
        <v>127</v>
      </c>
      <c r="F186" s="235" t="s">
        <v>128</v>
      </c>
      <c r="G186" s="235" t="s">
        <v>129</v>
      </c>
      <c r="H186" s="235"/>
      <c r="I186" s="235" t="s">
        <v>130</v>
      </c>
      <c r="J186" s="235"/>
      <c r="K186" s="235" t="s">
        <v>131</v>
      </c>
      <c r="L186" s="235"/>
      <c r="M186" s="235" t="s">
        <v>132</v>
      </c>
      <c r="N186" s="237" t="s">
        <v>133</v>
      </c>
      <c r="O186" s="235" t="s">
        <v>134</v>
      </c>
      <c r="P186" s="235" t="s">
        <v>135</v>
      </c>
      <c r="Q186" s="235"/>
    </row>
    <row r="187" spans="2:17" ht="15.75" x14ac:dyDescent="0.2">
      <c r="B187" s="235"/>
      <c r="C187" s="235"/>
      <c r="D187" s="235"/>
      <c r="E187" s="236"/>
      <c r="F187" s="235"/>
      <c r="G187" s="96" t="s">
        <v>136</v>
      </c>
      <c r="H187" s="97" t="s">
        <v>318</v>
      </c>
      <c r="I187" s="98" t="s">
        <v>138</v>
      </c>
      <c r="J187" s="97" t="s">
        <v>137</v>
      </c>
      <c r="K187" s="97" t="s">
        <v>138</v>
      </c>
      <c r="L187" s="97" t="s">
        <v>137</v>
      </c>
      <c r="M187" s="235"/>
      <c r="N187" s="237"/>
      <c r="O187" s="235"/>
      <c r="P187" s="235"/>
      <c r="Q187" s="235"/>
    </row>
    <row r="188" spans="2:17" ht="15.75" x14ac:dyDescent="0.2">
      <c r="B188" s="227" t="s">
        <v>619</v>
      </c>
      <c r="C188" s="230" t="s">
        <v>313</v>
      </c>
      <c r="D188" s="99">
        <v>10</v>
      </c>
      <c r="E188" s="99" t="s">
        <v>230</v>
      </c>
      <c r="F188" s="100" t="s">
        <v>232</v>
      </c>
      <c r="G188" s="227" t="s">
        <v>617</v>
      </c>
      <c r="H188" s="102">
        <v>1</v>
      </c>
      <c r="I188" s="110"/>
      <c r="J188" s="111"/>
      <c r="K188" s="103" t="s">
        <v>235</v>
      </c>
      <c r="L188" s="102">
        <v>1</v>
      </c>
      <c r="M188" s="103">
        <v>0.5</v>
      </c>
      <c r="N188" s="102">
        <f t="shared" ref="N188:N190" si="8">3600*10*0.9/M188</f>
        <v>64800</v>
      </c>
      <c r="O188" s="102">
        <v>1</v>
      </c>
      <c r="P188" s="105">
        <v>1</v>
      </c>
      <c r="Q188" s="231">
        <f>P188*P191*P192*P189*P190</f>
        <v>0.85239265409999998</v>
      </c>
    </row>
    <row r="189" spans="2:17" ht="15.75" x14ac:dyDescent="0.2">
      <c r="B189" s="227"/>
      <c r="C189" s="230"/>
      <c r="D189" s="99">
        <v>20</v>
      </c>
      <c r="E189" s="102" t="s">
        <v>224</v>
      </c>
      <c r="F189" s="100" t="s">
        <v>225</v>
      </c>
      <c r="G189" s="227"/>
      <c r="H189" s="102">
        <v>1</v>
      </c>
      <c r="I189" s="100" t="s">
        <v>334</v>
      </c>
      <c r="J189" s="102" t="s">
        <v>621</v>
      </c>
      <c r="K189" s="103" t="s">
        <v>622</v>
      </c>
      <c r="L189" s="102">
        <v>2</v>
      </c>
      <c r="M189" s="103">
        <v>10</v>
      </c>
      <c r="N189" s="102">
        <f t="shared" si="8"/>
        <v>3240</v>
      </c>
      <c r="O189" s="102">
        <v>1</v>
      </c>
      <c r="P189" s="105">
        <v>0.9</v>
      </c>
      <c r="Q189" s="231"/>
    </row>
    <row r="190" spans="2:17" ht="15.75" x14ac:dyDescent="0.2">
      <c r="B190" s="227"/>
      <c r="C190" s="230"/>
      <c r="D190" s="99">
        <v>30</v>
      </c>
      <c r="E190" s="226" t="s">
        <v>204</v>
      </c>
      <c r="F190" s="100" t="s">
        <v>205</v>
      </c>
      <c r="G190" s="227"/>
      <c r="H190" s="102" t="s">
        <v>46</v>
      </c>
      <c r="I190" s="100" t="s">
        <v>46</v>
      </c>
      <c r="J190" s="102" t="s">
        <v>46</v>
      </c>
      <c r="K190" s="102" t="s">
        <v>46</v>
      </c>
      <c r="L190" s="102" t="s">
        <v>46</v>
      </c>
      <c r="M190" s="229">
        <v>3</v>
      </c>
      <c r="N190" s="228">
        <f t="shared" si="8"/>
        <v>10800</v>
      </c>
      <c r="O190" s="226">
        <v>4</v>
      </c>
      <c r="P190" s="105">
        <v>0.94899999999999995</v>
      </c>
      <c r="Q190" s="231"/>
    </row>
    <row r="191" spans="2:17" ht="15.75" x14ac:dyDescent="0.2">
      <c r="B191" s="227"/>
      <c r="C191" s="230"/>
      <c r="D191" s="99">
        <v>40</v>
      </c>
      <c r="E191" s="226"/>
      <c r="F191" s="100" t="s">
        <v>337</v>
      </c>
      <c r="G191" s="227"/>
      <c r="H191" s="102" t="s">
        <v>46</v>
      </c>
      <c r="I191" s="100" t="s">
        <v>46</v>
      </c>
      <c r="J191" s="102" t="s">
        <v>46</v>
      </c>
      <c r="K191" s="102" t="s">
        <v>46</v>
      </c>
      <c r="L191" s="102" t="s">
        <v>46</v>
      </c>
      <c r="M191" s="229"/>
      <c r="N191" s="228"/>
      <c r="O191" s="226"/>
      <c r="P191" s="105">
        <v>0.999</v>
      </c>
      <c r="Q191" s="231"/>
    </row>
    <row r="192" spans="2:17" ht="15.75" x14ac:dyDescent="0.2">
      <c r="B192" s="227"/>
      <c r="C192" s="230"/>
      <c r="D192" s="102">
        <v>50</v>
      </c>
      <c r="E192" s="226"/>
      <c r="F192" s="100" t="s">
        <v>204</v>
      </c>
      <c r="G192" s="227"/>
      <c r="H192" s="102" t="s">
        <v>46</v>
      </c>
      <c r="I192" s="102" t="s">
        <v>46</v>
      </c>
      <c r="J192" s="102" t="s">
        <v>46</v>
      </c>
      <c r="K192" s="102" t="s">
        <v>46</v>
      </c>
      <c r="L192" s="102" t="s">
        <v>46</v>
      </c>
      <c r="M192" s="229"/>
      <c r="N192" s="228"/>
      <c r="O192" s="226"/>
      <c r="P192" s="105">
        <v>0.999</v>
      </c>
      <c r="Q192" s="231"/>
    </row>
    <row r="193" spans="2:17" ht="15.75" x14ac:dyDescent="0.2">
      <c r="B193" s="109"/>
      <c r="C193" s="109"/>
      <c r="D193" s="109"/>
      <c r="E193" s="109"/>
      <c r="F193" s="109"/>
      <c r="G193" s="109"/>
      <c r="H193" s="109"/>
      <c r="I193" s="109"/>
      <c r="J193" s="109"/>
      <c r="K193" s="224" t="s">
        <v>193</v>
      </c>
      <c r="L193" s="225"/>
      <c r="M193" s="108" t="e">
        <f>M188*O188+M189*O189+M190*O190+M191*O191+M192*O192+#REF!*#REF!</f>
        <v>#REF!</v>
      </c>
      <c r="N193" s="108" t="s">
        <v>207</v>
      </c>
      <c r="O193" s="108">
        <f>SUM(O188:O192)</f>
        <v>6</v>
      </c>
      <c r="P193" s="109"/>
      <c r="Q193" s="109"/>
    </row>
  </sheetData>
  <mergeCells count="279">
    <mergeCell ref="K80:L80"/>
    <mergeCell ref="C73:C79"/>
    <mergeCell ref="G73:G79"/>
    <mergeCell ref="K85:L85"/>
    <mergeCell ref="M85:M86"/>
    <mergeCell ref="N85:N86"/>
    <mergeCell ref="N49:N50"/>
    <mergeCell ref="O49:O50"/>
    <mergeCell ref="P49:P53"/>
    <mergeCell ref="E55:E58"/>
    <mergeCell ref="P55:P58"/>
    <mergeCell ref="O56:O57"/>
    <mergeCell ref="E61:E65"/>
    <mergeCell ref="M61:M65"/>
    <mergeCell ref="N61:N65"/>
    <mergeCell ref="P61:P65"/>
    <mergeCell ref="E71:E72"/>
    <mergeCell ref="E77:E79"/>
    <mergeCell ref="K71:L71"/>
    <mergeCell ref="B2:L3"/>
    <mergeCell ref="M2:Q3"/>
    <mergeCell ref="P4:Q5"/>
    <mergeCell ref="M11:M14"/>
    <mergeCell ref="N11:N14"/>
    <mergeCell ref="O15:O22"/>
    <mergeCell ref="O33:O37"/>
    <mergeCell ref="Q6:Q37"/>
    <mergeCell ref="P11:P14"/>
    <mergeCell ref="P24:P30"/>
    <mergeCell ref="P33:P37"/>
    <mergeCell ref="O4:O5"/>
    <mergeCell ref="O6:O9"/>
    <mergeCell ref="O11:O14"/>
    <mergeCell ref="G4:H4"/>
    <mergeCell ref="I4:J4"/>
    <mergeCell ref="K4:L4"/>
    <mergeCell ref="O24:O29"/>
    <mergeCell ref="Q177:Q179"/>
    <mergeCell ref="P139:Q140"/>
    <mergeCell ref="P106:Q107"/>
    <mergeCell ref="P71:Q72"/>
    <mergeCell ref="P175:Q176"/>
    <mergeCell ref="O115:O117"/>
    <mergeCell ref="O139:O140"/>
    <mergeCell ref="O148:O150"/>
    <mergeCell ref="O175:O176"/>
    <mergeCell ref="O178:O179"/>
    <mergeCell ref="O71:O72"/>
    <mergeCell ref="O77:O79"/>
    <mergeCell ref="Q108:Q117"/>
    <mergeCell ref="O110:O114"/>
    <mergeCell ref="M123:Q123"/>
    <mergeCell ref="M124:M125"/>
    <mergeCell ref="N124:N125"/>
    <mergeCell ref="O124:O125"/>
    <mergeCell ref="P124:Q125"/>
    <mergeCell ref="Q160:Q167"/>
    <mergeCell ref="M165:M167"/>
    <mergeCell ref="N165:N167"/>
    <mergeCell ref="O165:O167"/>
    <mergeCell ref="M115:M117"/>
    <mergeCell ref="M175:M176"/>
    <mergeCell ref="N4:N5"/>
    <mergeCell ref="N33:N37"/>
    <mergeCell ref="N71:N72"/>
    <mergeCell ref="N106:N107"/>
    <mergeCell ref="N139:N140"/>
    <mergeCell ref="N148:N150"/>
    <mergeCell ref="N175:N176"/>
    <mergeCell ref="M4:M5"/>
    <mergeCell ref="M33:M37"/>
    <mergeCell ref="M71:M72"/>
    <mergeCell ref="M138:Q138"/>
    <mergeCell ref="M70:Q70"/>
    <mergeCell ref="M110:M114"/>
    <mergeCell ref="N110:N114"/>
    <mergeCell ref="M41:Q42"/>
    <mergeCell ref="M43:M44"/>
    <mergeCell ref="N43:N44"/>
    <mergeCell ref="O43:O44"/>
    <mergeCell ref="P43:Q44"/>
    <mergeCell ref="O45:O48"/>
    <mergeCell ref="Q45:Q65"/>
    <mergeCell ref="M49:M50"/>
    <mergeCell ref="N115:N117"/>
    <mergeCell ref="F43:F44"/>
    <mergeCell ref="G43:H43"/>
    <mergeCell ref="I43:J43"/>
    <mergeCell ref="K43:L43"/>
    <mergeCell ref="B45:B65"/>
    <mergeCell ref="C45:C65"/>
    <mergeCell ref="E45:E48"/>
    <mergeCell ref="F45:F48"/>
    <mergeCell ref="K45:K48"/>
    <mergeCell ref="L45:L48"/>
    <mergeCell ref="D175:D176"/>
    <mergeCell ref="D178:D179"/>
    <mergeCell ref="D49:D50"/>
    <mergeCell ref="B123:L123"/>
    <mergeCell ref="B124:B125"/>
    <mergeCell ref="C124:C125"/>
    <mergeCell ref="D124:D125"/>
    <mergeCell ref="E124:E125"/>
    <mergeCell ref="F124:F125"/>
    <mergeCell ref="G124:H124"/>
    <mergeCell ref="I124:J124"/>
    <mergeCell ref="K124:L124"/>
    <mergeCell ref="D130:D132"/>
    <mergeCell ref="E175:E176"/>
    <mergeCell ref="E178:E179"/>
    <mergeCell ref="F71:F72"/>
    <mergeCell ref="F106:F107"/>
    <mergeCell ref="F139:F140"/>
    <mergeCell ref="F175:F176"/>
    <mergeCell ref="J111:J112"/>
    <mergeCell ref="E115:E117"/>
    <mergeCell ref="G71:H71"/>
    <mergeCell ref="I71:J71"/>
    <mergeCell ref="K168:L168"/>
    <mergeCell ref="G175:H175"/>
    <mergeCell ref="I175:J175"/>
    <mergeCell ref="K175:L175"/>
    <mergeCell ref="K180:L180"/>
    <mergeCell ref="B4:B5"/>
    <mergeCell ref="B6:B37"/>
    <mergeCell ref="B71:B72"/>
    <mergeCell ref="B106:B107"/>
    <mergeCell ref="B139:B140"/>
    <mergeCell ref="B175:B176"/>
    <mergeCell ref="B177:B179"/>
    <mergeCell ref="C4:C5"/>
    <mergeCell ref="C6:C37"/>
    <mergeCell ref="C71:C72"/>
    <mergeCell ref="C106:C107"/>
    <mergeCell ref="K118:L118"/>
    <mergeCell ref="B138:L138"/>
    <mergeCell ref="G139:H139"/>
    <mergeCell ref="I139:J139"/>
    <mergeCell ref="C175:C176"/>
    <mergeCell ref="C177:C179"/>
    <mergeCell ref="D4:D5"/>
    <mergeCell ref="D71:D72"/>
    <mergeCell ref="D77:D79"/>
    <mergeCell ref="B174:L174"/>
    <mergeCell ref="M174:Q174"/>
    <mergeCell ref="C139:C140"/>
    <mergeCell ref="M139:M140"/>
    <mergeCell ref="M148:M150"/>
    <mergeCell ref="I144:I145"/>
    <mergeCell ref="J144:J145"/>
    <mergeCell ref="Q141:Q150"/>
    <mergeCell ref="G141:G150"/>
    <mergeCell ref="M143:M147"/>
    <mergeCell ref="N143:N147"/>
    <mergeCell ref="O143:O147"/>
    <mergeCell ref="E139:E140"/>
    <mergeCell ref="E148:E150"/>
    <mergeCell ref="B160:B167"/>
    <mergeCell ref="C160:C167"/>
    <mergeCell ref="I160:I161"/>
    <mergeCell ref="J160:J161"/>
    <mergeCell ref="D165:D167"/>
    <mergeCell ref="E165:E167"/>
    <mergeCell ref="D139:D140"/>
    <mergeCell ref="D148:D150"/>
    <mergeCell ref="B157:L157"/>
    <mergeCell ref="M157:Q157"/>
    <mergeCell ref="E106:E107"/>
    <mergeCell ref="M106:M107"/>
    <mergeCell ref="O106:O107"/>
    <mergeCell ref="D106:D107"/>
    <mergeCell ref="M77:M79"/>
    <mergeCell ref="N77:N79"/>
    <mergeCell ref="B84:L84"/>
    <mergeCell ref="M84:Q84"/>
    <mergeCell ref="B85:B86"/>
    <mergeCell ref="C85:C86"/>
    <mergeCell ref="D85:D86"/>
    <mergeCell ref="E85:E86"/>
    <mergeCell ref="F85:F86"/>
    <mergeCell ref="G85:H85"/>
    <mergeCell ref="I85:J85"/>
    <mergeCell ref="Q73:Q79"/>
    <mergeCell ref="B73:B79"/>
    <mergeCell ref="B87:B95"/>
    <mergeCell ref="C87:C95"/>
    <mergeCell ref="G87:G95"/>
    <mergeCell ref="Q87:Q95"/>
    <mergeCell ref="K96:L96"/>
    <mergeCell ref="O91:O92"/>
    <mergeCell ref="I90:I91"/>
    <mergeCell ref="K38:L38"/>
    <mergeCell ref="B70:L70"/>
    <mergeCell ref="E4:E5"/>
    <mergeCell ref="E6:E9"/>
    <mergeCell ref="E10:E22"/>
    <mergeCell ref="E24:E30"/>
    <mergeCell ref="E33:E37"/>
    <mergeCell ref="G11:G14"/>
    <mergeCell ref="H11:H14"/>
    <mergeCell ref="E49:E53"/>
    <mergeCell ref="F49:F50"/>
    <mergeCell ref="G49:G50"/>
    <mergeCell ref="H49:H50"/>
    <mergeCell ref="K49:K50"/>
    <mergeCell ref="L49:L50"/>
    <mergeCell ref="K66:L66"/>
    <mergeCell ref="F4:F5"/>
    <mergeCell ref="F6:F9"/>
    <mergeCell ref="F11:F14"/>
    <mergeCell ref="B41:L42"/>
    <mergeCell ref="B43:B44"/>
    <mergeCell ref="C43:C44"/>
    <mergeCell ref="D43:D44"/>
    <mergeCell ref="E43:E44"/>
    <mergeCell ref="J90:J91"/>
    <mergeCell ref="N90:N95"/>
    <mergeCell ref="M90:M95"/>
    <mergeCell ref="O85:O86"/>
    <mergeCell ref="P85:Q86"/>
    <mergeCell ref="G160:G167"/>
    <mergeCell ref="N158:N159"/>
    <mergeCell ref="O158:O159"/>
    <mergeCell ref="P158:Q159"/>
    <mergeCell ref="K139:L139"/>
    <mergeCell ref="M130:M132"/>
    <mergeCell ref="N130:N132"/>
    <mergeCell ref="O130:O132"/>
    <mergeCell ref="K133:L133"/>
    <mergeCell ref="G108:G117"/>
    <mergeCell ref="I111:I112"/>
    <mergeCell ref="B105:L105"/>
    <mergeCell ref="M105:Q105"/>
    <mergeCell ref="G106:H106"/>
    <mergeCell ref="I106:J106"/>
    <mergeCell ref="K106:L106"/>
    <mergeCell ref="B108:B117"/>
    <mergeCell ref="C108:C117"/>
    <mergeCell ref="B126:B132"/>
    <mergeCell ref="C126:C132"/>
    <mergeCell ref="G126:G132"/>
    <mergeCell ref="Q126:Q132"/>
    <mergeCell ref="B141:B150"/>
    <mergeCell ref="C141:C150"/>
    <mergeCell ref="K151:L151"/>
    <mergeCell ref="D115:D117"/>
    <mergeCell ref="E130:E132"/>
    <mergeCell ref="B158:B159"/>
    <mergeCell ref="C158:C159"/>
    <mergeCell ref="D158:D159"/>
    <mergeCell ref="E158:E159"/>
    <mergeCell ref="F158:F159"/>
    <mergeCell ref="G158:H158"/>
    <mergeCell ref="I158:J158"/>
    <mergeCell ref="K158:L158"/>
    <mergeCell ref="M158:M159"/>
    <mergeCell ref="B185:L185"/>
    <mergeCell ref="M185:Q185"/>
    <mergeCell ref="B186:B187"/>
    <mergeCell ref="C186:C187"/>
    <mergeCell ref="D186:D187"/>
    <mergeCell ref="E186:E187"/>
    <mergeCell ref="F186:F187"/>
    <mergeCell ref="G186:H186"/>
    <mergeCell ref="I186:J186"/>
    <mergeCell ref="K186:L186"/>
    <mergeCell ref="M186:M187"/>
    <mergeCell ref="N186:N187"/>
    <mergeCell ref="O186:O187"/>
    <mergeCell ref="P186:Q187"/>
    <mergeCell ref="K193:L193"/>
    <mergeCell ref="E190:E192"/>
    <mergeCell ref="G188:G192"/>
    <mergeCell ref="N190:N192"/>
    <mergeCell ref="O190:O192"/>
    <mergeCell ref="M190:M192"/>
    <mergeCell ref="B188:B192"/>
    <mergeCell ref="C188:C192"/>
    <mergeCell ref="Q188:Q192"/>
  </mergeCells>
  <phoneticPr fontId="19" type="noConversion"/>
  <pageMargins left="0.69930555555555596" right="0.69930555555555596" top="0.75" bottom="0.75" header="0.3" footer="0.3"/>
  <pageSetup paperSize="9" scale="6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workbookViewId="0">
      <pane ySplit="1" topLeftCell="A29" activePane="bottomLeft" state="frozen"/>
      <selection pane="bottomLeft" activeCell="C42" sqref="C42"/>
    </sheetView>
  </sheetViews>
  <sheetFormatPr defaultRowHeight="14.25" x14ac:dyDescent="0.2"/>
  <cols>
    <col min="1" max="1" width="10.75" bestFit="1" customWidth="1"/>
    <col min="2" max="3" width="18.125" customWidth="1"/>
    <col min="4" max="4" width="18.25" customWidth="1"/>
    <col min="6" max="6" width="14.125" customWidth="1"/>
    <col min="7" max="7" width="11.875" customWidth="1"/>
  </cols>
  <sheetData>
    <row r="1" spans="1:7" ht="23.25" customHeight="1" x14ac:dyDescent="0.2">
      <c r="A1" s="173" t="s">
        <v>504</v>
      </c>
      <c r="B1" s="173" t="s">
        <v>489</v>
      </c>
      <c r="C1" s="173" t="s">
        <v>518</v>
      </c>
      <c r="D1" s="173" t="s">
        <v>490</v>
      </c>
      <c r="E1" s="173" t="s">
        <v>491</v>
      </c>
      <c r="F1" s="173" t="s">
        <v>505</v>
      </c>
      <c r="G1" s="173" t="s">
        <v>492</v>
      </c>
    </row>
    <row r="2" spans="1:7" ht="23.25" customHeight="1" x14ac:dyDescent="0.2">
      <c r="A2" s="324" t="s">
        <v>538</v>
      </c>
      <c r="B2" s="325"/>
      <c r="C2" s="325"/>
      <c r="D2" s="325"/>
      <c r="E2" s="325"/>
      <c r="F2" s="325"/>
      <c r="G2" s="326"/>
    </row>
    <row r="3" spans="1:7" ht="23.25" customHeight="1" x14ac:dyDescent="0.2">
      <c r="A3" s="182">
        <v>1</v>
      </c>
      <c r="B3" s="176" t="s">
        <v>475</v>
      </c>
      <c r="C3" s="176" t="s">
        <v>524</v>
      </c>
      <c r="D3" s="176" t="s">
        <v>111</v>
      </c>
      <c r="E3" s="176" t="s">
        <v>104</v>
      </c>
      <c r="F3" s="177" t="s">
        <v>510</v>
      </c>
      <c r="G3" s="174"/>
    </row>
    <row r="4" spans="1:7" ht="23.25" customHeight="1" x14ac:dyDescent="0.2">
      <c r="A4" s="182">
        <v>2</v>
      </c>
      <c r="B4" s="176" t="s">
        <v>476</v>
      </c>
      <c r="C4" s="176" t="s">
        <v>521</v>
      </c>
      <c r="D4" s="176" t="s">
        <v>111</v>
      </c>
      <c r="E4" s="176" t="s">
        <v>114</v>
      </c>
      <c r="F4" s="177" t="s">
        <v>511</v>
      </c>
      <c r="G4" s="174"/>
    </row>
    <row r="5" spans="1:7" ht="23.25" customHeight="1" x14ac:dyDescent="0.2">
      <c r="A5" s="182">
        <v>3</v>
      </c>
      <c r="B5" s="176" t="s">
        <v>477</v>
      </c>
      <c r="C5" s="176" t="s">
        <v>523</v>
      </c>
      <c r="D5" s="176" t="s">
        <v>111</v>
      </c>
      <c r="E5" s="176" t="s">
        <v>104</v>
      </c>
      <c r="F5" s="177" t="s">
        <v>512</v>
      </c>
      <c r="G5" s="174"/>
    </row>
    <row r="6" spans="1:7" ht="23.25" customHeight="1" x14ac:dyDescent="0.2">
      <c r="A6" s="182">
        <v>4</v>
      </c>
      <c r="B6" s="176" t="s">
        <v>478</v>
      </c>
      <c r="C6" s="176" t="s">
        <v>522</v>
      </c>
      <c r="D6" s="176" t="s">
        <v>111</v>
      </c>
      <c r="E6" s="176" t="s">
        <v>114</v>
      </c>
      <c r="F6" s="177" t="s">
        <v>513</v>
      </c>
      <c r="G6" s="174"/>
    </row>
    <row r="7" spans="1:7" ht="32.1" customHeight="1" x14ac:dyDescent="0.2">
      <c r="A7" s="182">
        <v>5</v>
      </c>
      <c r="B7" s="178" t="s">
        <v>451</v>
      </c>
      <c r="C7" s="179" t="s">
        <v>521</v>
      </c>
      <c r="D7" s="180" t="s">
        <v>450</v>
      </c>
      <c r="E7" s="179" t="s">
        <v>114</v>
      </c>
      <c r="F7" s="181" t="s">
        <v>514</v>
      </c>
      <c r="G7" s="174"/>
    </row>
    <row r="8" spans="1:7" ht="32.1" customHeight="1" x14ac:dyDescent="0.2">
      <c r="A8" s="182">
        <v>6</v>
      </c>
      <c r="B8" s="178" t="s">
        <v>460</v>
      </c>
      <c r="C8" s="179" t="s">
        <v>521</v>
      </c>
      <c r="D8" s="180" t="s">
        <v>450</v>
      </c>
      <c r="E8" s="179" t="s">
        <v>114</v>
      </c>
      <c r="F8" s="181" t="s">
        <v>515</v>
      </c>
      <c r="G8" s="174"/>
    </row>
    <row r="9" spans="1:7" ht="32.1" customHeight="1" x14ac:dyDescent="0.2">
      <c r="A9" s="182">
        <v>7</v>
      </c>
      <c r="B9" s="178" t="s">
        <v>461</v>
      </c>
      <c r="C9" s="179" t="s">
        <v>523</v>
      </c>
      <c r="D9" s="180" t="s">
        <v>449</v>
      </c>
      <c r="E9" s="179" t="s">
        <v>114</v>
      </c>
      <c r="F9" s="181" t="s">
        <v>516</v>
      </c>
      <c r="G9" s="174"/>
    </row>
    <row r="10" spans="1:7" ht="32.1" customHeight="1" x14ac:dyDescent="0.2">
      <c r="A10" s="182">
        <v>8</v>
      </c>
      <c r="B10" s="178" t="s">
        <v>462</v>
      </c>
      <c r="C10" s="179" t="s">
        <v>522</v>
      </c>
      <c r="D10" s="180" t="s">
        <v>449</v>
      </c>
      <c r="E10" s="179" t="s">
        <v>114</v>
      </c>
      <c r="F10" s="181" t="s">
        <v>517</v>
      </c>
      <c r="G10" s="174"/>
    </row>
    <row r="11" spans="1:7" ht="30.75" x14ac:dyDescent="0.2">
      <c r="A11" s="182">
        <v>9</v>
      </c>
      <c r="B11" s="141" t="s">
        <v>452</v>
      </c>
      <c r="C11" s="141" t="s">
        <v>521</v>
      </c>
      <c r="D11" s="140" t="s">
        <v>485</v>
      </c>
      <c r="E11" s="143" t="s">
        <v>506</v>
      </c>
      <c r="F11" s="139" t="s">
        <v>494</v>
      </c>
      <c r="G11" s="215" t="s">
        <v>500</v>
      </c>
    </row>
    <row r="12" spans="1:7" ht="33" x14ac:dyDescent="0.2">
      <c r="A12" s="182">
        <v>10</v>
      </c>
      <c r="B12" s="142" t="s">
        <v>456</v>
      </c>
      <c r="C12" s="142" t="s">
        <v>525</v>
      </c>
      <c r="D12" s="41" t="s">
        <v>447</v>
      </c>
      <c r="E12" s="144" t="s">
        <v>506</v>
      </c>
      <c r="F12" s="13" t="s">
        <v>494</v>
      </c>
      <c r="G12" s="215"/>
    </row>
    <row r="13" spans="1:7" ht="30.75" x14ac:dyDescent="0.2">
      <c r="A13" s="182">
        <v>11</v>
      </c>
      <c r="B13" s="164" t="s">
        <v>453</v>
      </c>
      <c r="C13" s="164" t="s">
        <v>526</v>
      </c>
      <c r="D13" s="165" t="s">
        <v>485</v>
      </c>
      <c r="E13" s="166" t="s">
        <v>506</v>
      </c>
      <c r="F13" s="167" t="s">
        <v>495</v>
      </c>
      <c r="G13" s="327" t="s">
        <v>493</v>
      </c>
    </row>
    <row r="14" spans="1:7" ht="33" x14ac:dyDescent="0.2">
      <c r="A14" s="182">
        <v>12</v>
      </c>
      <c r="B14" s="168" t="s">
        <v>457</v>
      </c>
      <c r="C14" s="168" t="s">
        <v>525</v>
      </c>
      <c r="D14" s="169" t="s">
        <v>120</v>
      </c>
      <c r="E14" s="170" t="s">
        <v>507</v>
      </c>
      <c r="F14" s="167" t="s">
        <v>495</v>
      </c>
      <c r="G14" s="328"/>
    </row>
    <row r="15" spans="1:7" ht="30.75" x14ac:dyDescent="0.2">
      <c r="A15" s="182">
        <v>13</v>
      </c>
      <c r="B15" s="150" t="s">
        <v>454</v>
      </c>
      <c r="C15" s="150" t="s">
        <v>527</v>
      </c>
      <c r="D15" s="151" t="s">
        <v>485</v>
      </c>
      <c r="E15" s="152" t="s">
        <v>508</v>
      </c>
      <c r="F15" s="153" t="s">
        <v>496</v>
      </c>
      <c r="G15" s="329" t="s">
        <v>501</v>
      </c>
    </row>
    <row r="16" spans="1:7" ht="33" x14ac:dyDescent="0.2">
      <c r="A16" s="182">
        <v>14</v>
      </c>
      <c r="B16" s="154" t="s">
        <v>458</v>
      </c>
      <c r="C16" s="154" t="s">
        <v>523</v>
      </c>
      <c r="D16" s="155" t="s">
        <v>120</v>
      </c>
      <c r="E16" s="156" t="s">
        <v>509</v>
      </c>
      <c r="F16" s="153" t="s">
        <v>497</v>
      </c>
      <c r="G16" s="330"/>
    </row>
    <row r="17" spans="1:7" ht="30.75" x14ac:dyDescent="0.2">
      <c r="A17" s="182">
        <v>15</v>
      </c>
      <c r="B17" s="157" t="s">
        <v>455</v>
      </c>
      <c r="C17" s="157" t="s">
        <v>528</v>
      </c>
      <c r="D17" s="158" t="s">
        <v>485</v>
      </c>
      <c r="E17" s="159" t="s">
        <v>506</v>
      </c>
      <c r="F17" s="160" t="s">
        <v>498</v>
      </c>
      <c r="G17" s="331" t="s">
        <v>493</v>
      </c>
    </row>
    <row r="18" spans="1:7" ht="33" x14ac:dyDescent="0.2">
      <c r="A18" s="182">
        <v>16</v>
      </c>
      <c r="B18" s="161" t="s">
        <v>459</v>
      </c>
      <c r="C18" s="161" t="s">
        <v>522</v>
      </c>
      <c r="D18" s="162" t="s">
        <v>447</v>
      </c>
      <c r="E18" s="163" t="s">
        <v>508</v>
      </c>
      <c r="F18" s="160" t="s">
        <v>499</v>
      </c>
      <c r="G18" s="332"/>
    </row>
    <row r="19" spans="1:7" ht="23.25" customHeight="1" x14ac:dyDescent="0.2">
      <c r="A19" s="317" t="s">
        <v>539</v>
      </c>
      <c r="B19" s="318"/>
      <c r="C19" s="318"/>
      <c r="D19" s="318"/>
      <c r="E19" s="318"/>
      <c r="F19" s="318"/>
      <c r="G19" s="319"/>
    </row>
    <row r="20" spans="1:7" ht="16.5" x14ac:dyDescent="0.2">
      <c r="A20" s="175">
        <v>17</v>
      </c>
      <c r="B20" s="28" t="s">
        <v>530</v>
      </c>
      <c r="C20" s="28" t="s">
        <v>532</v>
      </c>
      <c r="D20" s="41" t="s">
        <v>534</v>
      </c>
      <c r="E20" s="27" t="s">
        <v>535</v>
      </c>
      <c r="F20" s="13" t="s">
        <v>536</v>
      </c>
      <c r="G20" s="13"/>
    </row>
    <row r="21" spans="1:7" ht="31.5" x14ac:dyDescent="0.2">
      <c r="A21" s="175">
        <v>18</v>
      </c>
      <c r="B21" s="29" t="s">
        <v>483</v>
      </c>
      <c r="C21" s="30" t="s">
        <v>103</v>
      </c>
      <c r="D21" s="29" t="s">
        <v>121</v>
      </c>
      <c r="E21" s="13" t="s">
        <v>104</v>
      </c>
      <c r="F21" s="13" t="s">
        <v>536</v>
      </c>
      <c r="G21" s="13"/>
    </row>
    <row r="22" spans="1:7" ht="31.5" x14ac:dyDescent="0.2">
      <c r="A22" s="175">
        <v>19</v>
      </c>
      <c r="B22" s="29" t="s">
        <v>470</v>
      </c>
      <c r="C22" s="30" t="s">
        <v>103</v>
      </c>
      <c r="D22" s="29" t="s">
        <v>122</v>
      </c>
      <c r="E22" s="13" t="s">
        <v>104</v>
      </c>
      <c r="F22" s="13" t="s">
        <v>537</v>
      </c>
      <c r="G22" s="13"/>
    </row>
    <row r="23" spans="1:7" ht="31.5" x14ac:dyDescent="0.2">
      <c r="A23" s="175">
        <v>20</v>
      </c>
      <c r="B23" s="29" t="s">
        <v>471</v>
      </c>
      <c r="C23" s="30" t="s">
        <v>103</v>
      </c>
      <c r="D23" s="29" t="s">
        <v>123</v>
      </c>
      <c r="E23" s="13" t="s">
        <v>104</v>
      </c>
      <c r="F23" s="13" t="s">
        <v>536</v>
      </c>
      <c r="G23" s="13"/>
    </row>
    <row r="24" spans="1:7" ht="33" x14ac:dyDescent="0.2">
      <c r="A24" s="175">
        <v>21</v>
      </c>
      <c r="B24" s="145" t="s">
        <v>486</v>
      </c>
      <c r="C24" s="145" t="s">
        <v>520</v>
      </c>
      <c r="D24" s="146" t="s">
        <v>487</v>
      </c>
      <c r="E24" s="147" t="s">
        <v>509</v>
      </c>
      <c r="F24" s="171" t="s">
        <v>502</v>
      </c>
      <c r="G24" s="320" t="s">
        <v>500</v>
      </c>
    </row>
    <row r="25" spans="1:7" ht="31.5" x14ac:dyDescent="0.2">
      <c r="A25" s="175">
        <v>22</v>
      </c>
      <c r="B25" s="145" t="s">
        <v>472</v>
      </c>
      <c r="C25" s="145" t="s">
        <v>520</v>
      </c>
      <c r="D25" s="148" t="s">
        <v>488</v>
      </c>
      <c r="E25" s="149" t="s">
        <v>509</v>
      </c>
      <c r="F25" s="172" t="s">
        <v>503</v>
      </c>
      <c r="G25" s="321"/>
    </row>
    <row r="26" spans="1:7" ht="28.5" customHeight="1" x14ac:dyDescent="0.2">
      <c r="A26" s="322" t="s">
        <v>576</v>
      </c>
      <c r="B26" s="323"/>
      <c r="C26" s="323"/>
      <c r="D26" s="323"/>
      <c r="E26" s="323"/>
      <c r="F26" s="323"/>
      <c r="G26" s="323"/>
    </row>
    <row r="27" spans="1:7" ht="27.95" customHeight="1" x14ac:dyDescent="0.2">
      <c r="A27" s="175">
        <v>23</v>
      </c>
      <c r="B27" s="187" t="s">
        <v>578</v>
      </c>
      <c r="C27" s="187" t="s">
        <v>580</v>
      </c>
      <c r="D27" s="188"/>
      <c r="E27" s="188"/>
      <c r="F27" s="188"/>
      <c r="G27" s="187" t="s">
        <v>586</v>
      </c>
    </row>
    <row r="28" spans="1:7" ht="27.95" customHeight="1" x14ac:dyDescent="0.2">
      <c r="A28" s="175">
        <v>24</v>
      </c>
      <c r="B28" s="183" t="s">
        <v>554</v>
      </c>
      <c r="C28" s="184" t="s">
        <v>68</v>
      </c>
      <c r="D28" s="186" t="s">
        <v>562</v>
      </c>
      <c r="E28" s="184" t="s">
        <v>31</v>
      </c>
      <c r="F28" s="187" t="s">
        <v>581</v>
      </c>
      <c r="G28" s="188"/>
    </row>
    <row r="29" spans="1:7" ht="27.95" customHeight="1" x14ac:dyDescent="0.2">
      <c r="A29" s="175">
        <v>25</v>
      </c>
      <c r="B29" s="183" t="s">
        <v>555</v>
      </c>
      <c r="C29" s="184" t="s">
        <v>71</v>
      </c>
      <c r="D29" s="186" t="s">
        <v>563</v>
      </c>
      <c r="E29" s="184" t="s">
        <v>31</v>
      </c>
      <c r="F29" s="187" t="s">
        <v>582</v>
      </c>
      <c r="G29" s="188"/>
    </row>
    <row r="30" spans="1:7" ht="27.95" customHeight="1" x14ac:dyDescent="0.2">
      <c r="A30" s="175">
        <v>26</v>
      </c>
      <c r="B30" s="183" t="s">
        <v>556</v>
      </c>
      <c r="C30" s="183" t="s">
        <v>74</v>
      </c>
      <c r="D30" s="186" t="s">
        <v>562</v>
      </c>
      <c r="E30" s="184" t="s">
        <v>31</v>
      </c>
      <c r="F30" s="187" t="s">
        <v>581</v>
      </c>
      <c r="G30" s="188"/>
    </row>
    <row r="31" spans="1:7" ht="27.95" customHeight="1" x14ac:dyDescent="0.2">
      <c r="A31" s="175">
        <v>27</v>
      </c>
      <c r="B31" s="183" t="s">
        <v>557</v>
      </c>
      <c r="C31" s="184" t="s">
        <v>77</v>
      </c>
      <c r="D31" s="186" t="s">
        <v>563</v>
      </c>
      <c r="E31" s="184" t="s">
        <v>31</v>
      </c>
      <c r="F31" s="187" t="s">
        <v>583</v>
      </c>
      <c r="G31" s="188"/>
    </row>
    <row r="32" spans="1:7" ht="27.95" customHeight="1" x14ac:dyDescent="0.2">
      <c r="A32" s="175">
        <v>28</v>
      </c>
      <c r="B32" s="183" t="s">
        <v>585</v>
      </c>
      <c r="C32" s="184" t="s">
        <v>580</v>
      </c>
      <c r="D32" s="188"/>
      <c r="E32" s="188"/>
      <c r="F32" s="188"/>
      <c r="G32" s="187" t="s">
        <v>586</v>
      </c>
    </row>
    <row r="33" spans="1:7" ht="27.95" customHeight="1" x14ac:dyDescent="0.2">
      <c r="A33" s="175">
        <v>29</v>
      </c>
      <c r="B33" s="183" t="s">
        <v>568</v>
      </c>
      <c r="C33" s="184" t="s">
        <v>68</v>
      </c>
      <c r="D33" s="186" t="s">
        <v>562</v>
      </c>
      <c r="E33" s="184" t="s">
        <v>31</v>
      </c>
      <c r="F33" s="187" t="s">
        <v>581</v>
      </c>
      <c r="G33" s="188"/>
    </row>
    <row r="34" spans="1:7" ht="27.95" customHeight="1" x14ac:dyDescent="0.2">
      <c r="A34" s="175">
        <v>30</v>
      </c>
      <c r="B34" s="183" t="s">
        <v>569</v>
      </c>
      <c r="C34" s="184" t="s">
        <v>71</v>
      </c>
      <c r="D34" s="186" t="s">
        <v>566</v>
      </c>
      <c r="E34" s="184" t="s">
        <v>31</v>
      </c>
      <c r="F34" s="187" t="s">
        <v>582</v>
      </c>
      <c r="G34" s="188"/>
    </row>
    <row r="35" spans="1:7" ht="27.95" customHeight="1" x14ac:dyDescent="0.2">
      <c r="A35" s="175">
        <v>31</v>
      </c>
      <c r="B35" s="183" t="s">
        <v>570</v>
      </c>
      <c r="C35" s="184" t="s">
        <v>74</v>
      </c>
      <c r="D35" s="186" t="s">
        <v>562</v>
      </c>
      <c r="E35" s="184" t="s">
        <v>31</v>
      </c>
      <c r="F35" s="187" t="s">
        <v>581</v>
      </c>
      <c r="G35" s="188"/>
    </row>
    <row r="36" spans="1:7" ht="27.95" customHeight="1" x14ac:dyDescent="0.2">
      <c r="A36" s="175">
        <v>32</v>
      </c>
      <c r="B36" s="183" t="s">
        <v>571</v>
      </c>
      <c r="C36" s="184" t="s">
        <v>77</v>
      </c>
      <c r="D36" s="186" t="s">
        <v>562</v>
      </c>
      <c r="E36" s="184" t="s">
        <v>31</v>
      </c>
      <c r="F36" s="187" t="s">
        <v>583</v>
      </c>
      <c r="G36" s="188"/>
    </row>
    <row r="37" spans="1:7" x14ac:dyDescent="0.2">
      <c r="A37" s="317" t="s">
        <v>597</v>
      </c>
      <c r="B37" s="318"/>
      <c r="C37" s="318"/>
      <c r="D37" s="318"/>
      <c r="E37" s="318"/>
      <c r="F37" s="318"/>
      <c r="G37" s="319"/>
    </row>
    <row r="38" spans="1:7" ht="16.5" x14ac:dyDescent="0.2">
      <c r="A38" s="175">
        <v>33</v>
      </c>
      <c r="B38" s="28" t="s">
        <v>599</v>
      </c>
      <c r="C38" s="28" t="s">
        <v>602</v>
      </c>
      <c r="D38" s="41" t="s">
        <v>601</v>
      </c>
      <c r="E38" s="27" t="s">
        <v>604</v>
      </c>
      <c r="F38" s="13" t="s">
        <v>536</v>
      </c>
      <c r="G38" s="13"/>
    </row>
    <row r="39" spans="1:7" ht="31.5" x14ac:dyDescent="0.2">
      <c r="A39" s="175">
        <v>34</v>
      </c>
      <c r="B39" s="29" t="s">
        <v>607</v>
      </c>
      <c r="C39" s="30" t="s">
        <v>603</v>
      </c>
      <c r="D39" s="29" t="s">
        <v>606</v>
      </c>
      <c r="E39" s="13" t="s">
        <v>605</v>
      </c>
      <c r="F39" s="13" t="s">
        <v>536</v>
      </c>
      <c r="G39" s="13"/>
    </row>
    <row r="40" spans="1:7" ht="15.75" x14ac:dyDescent="0.2">
      <c r="A40" s="175"/>
      <c r="B40" s="29"/>
      <c r="C40" s="30"/>
      <c r="D40" s="29"/>
      <c r="E40" s="13"/>
      <c r="F40" s="13"/>
      <c r="G40" s="13"/>
    </row>
    <row r="41" spans="1:7" ht="15.75" x14ac:dyDescent="0.2">
      <c r="A41" s="175"/>
      <c r="B41" s="29"/>
      <c r="C41" s="30"/>
      <c r="D41" s="29"/>
      <c r="E41" s="13"/>
      <c r="F41" s="13"/>
      <c r="G41" s="13"/>
    </row>
    <row r="42" spans="1:7" ht="16.5" x14ac:dyDescent="0.2">
      <c r="A42" s="175"/>
      <c r="B42" s="145"/>
      <c r="C42" s="145"/>
      <c r="D42" s="146"/>
      <c r="E42" s="147"/>
      <c r="F42" s="171"/>
      <c r="G42" s="320"/>
    </row>
    <row r="43" spans="1:7" ht="15.75" x14ac:dyDescent="0.2">
      <c r="A43" s="175"/>
      <c r="B43" s="145"/>
      <c r="C43" s="145"/>
      <c r="D43" s="148"/>
      <c r="E43" s="149"/>
      <c r="F43" s="172"/>
      <c r="G43" s="321"/>
    </row>
  </sheetData>
  <mergeCells count="10">
    <mergeCell ref="A37:G37"/>
    <mergeCell ref="G42:G43"/>
    <mergeCell ref="A26:G26"/>
    <mergeCell ref="A2:G2"/>
    <mergeCell ref="G24:G25"/>
    <mergeCell ref="G11:G12"/>
    <mergeCell ref="G13:G14"/>
    <mergeCell ref="G15:G16"/>
    <mergeCell ref="G17:G18"/>
    <mergeCell ref="A19:G19"/>
  </mergeCells>
  <phoneticPr fontId="19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6"/>
  <sheetViews>
    <sheetView topLeftCell="A10" zoomScale="70" zoomScaleNormal="70" workbookViewId="0">
      <selection activeCell="F4" sqref="F4"/>
    </sheetView>
  </sheetViews>
  <sheetFormatPr defaultColWidth="8.875" defaultRowHeight="14.25" x14ac:dyDescent="0.2"/>
  <cols>
    <col min="1" max="1" width="8.875" style="129"/>
    <col min="2" max="2" width="9.125" style="132" customWidth="1"/>
    <col min="3" max="3" width="7.625" style="132" customWidth="1"/>
    <col min="4" max="4" width="13.625" style="132" customWidth="1"/>
    <col min="5" max="5" width="14.125" style="133" customWidth="1"/>
    <col min="6" max="6" width="19" style="132" customWidth="1"/>
    <col min="7" max="7" width="11.625" style="132" customWidth="1"/>
    <col min="8" max="9" width="30" style="132" customWidth="1"/>
    <col min="10" max="10" width="12" style="132" customWidth="1"/>
    <col min="11" max="11" width="39.125" style="132" customWidth="1"/>
    <col min="12" max="12" width="25.375" style="129" customWidth="1"/>
    <col min="13" max="16384" width="8.875" style="129"/>
  </cols>
  <sheetData>
    <row r="2" spans="2:12" ht="15.75" x14ac:dyDescent="0.2">
      <c r="B2" s="126" t="s">
        <v>373</v>
      </c>
      <c r="C2" s="126" t="s">
        <v>374</v>
      </c>
      <c r="D2" s="127" t="s">
        <v>375</v>
      </c>
      <c r="E2" s="127" t="s">
        <v>376</v>
      </c>
      <c r="F2" s="127" t="s">
        <v>377</v>
      </c>
      <c r="G2" s="127" t="s">
        <v>378</v>
      </c>
      <c r="H2" s="127" t="s">
        <v>379</v>
      </c>
      <c r="I2" s="127" t="s">
        <v>380</v>
      </c>
      <c r="J2" s="127" t="s">
        <v>381</v>
      </c>
      <c r="K2" s="128" t="s">
        <v>382</v>
      </c>
    </row>
    <row r="3" spans="2:12" ht="83.25" customHeight="1" x14ac:dyDescent="0.2">
      <c r="B3" s="130" t="s">
        <v>383</v>
      </c>
      <c r="C3" s="130" t="s">
        <v>384</v>
      </c>
      <c r="D3" s="130" t="s">
        <v>390</v>
      </c>
      <c r="E3" s="130" t="s">
        <v>391</v>
      </c>
      <c r="F3" s="130" t="s">
        <v>392</v>
      </c>
      <c r="G3" s="130" t="s">
        <v>393</v>
      </c>
      <c r="H3" s="130"/>
      <c r="I3" s="130" t="s">
        <v>394</v>
      </c>
      <c r="J3" s="130" t="s">
        <v>388</v>
      </c>
      <c r="K3" s="130" t="s">
        <v>389</v>
      </c>
    </row>
    <row r="4" spans="2:12" ht="83.25" customHeight="1" x14ac:dyDescent="0.2">
      <c r="B4" s="130" t="s">
        <v>383</v>
      </c>
      <c r="C4" s="130" t="s">
        <v>384</v>
      </c>
      <c r="D4" s="130" t="s">
        <v>395</v>
      </c>
      <c r="E4" s="130" t="s">
        <v>396</v>
      </c>
      <c r="F4" s="130" t="s">
        <v>392</v>
      </c>
      <c r="G4" s="130" t="s">
        <v>393</v>
      </c>
      <c r="H4" s="130"/>
      <c r="I4" s="130" t="s">
        <v>394</v>
      </c>
      <c r="J4" s="130" t="s">
        <v>388</v>
      </c>
      <c r="K4" s="130" t="s">
        <v>397</v>
      </c>
    </row>
    <row r="5" spans="2:12" ht="83.25" customHeight="1" x14ac:dyDescent="0.2">
      <c r="B5" s="130" t="s">
        <v>383</v>
      </c>
      <c r="C5" s="130" t="s">
        <v>384</v>
      </c>
      <c r="D5" s="130" t="s">
        <v>398</v>
      </c>
      <c r="E5" s="130" t="s">
        <v>399</v>
      </c>
      <c r="F5" s="130" t="s">
        <v>400</v>
      </c>
      <c r="G5" s="130" t="s">
        <v>393</v>
      </c>
      <c r="H5" s="130"/>
      <c r="I5" s="130" t="s">
        <v>394</v>
      </c>
      <c r="J5" s="130" t="s">
        <v>388</v>
      </c>
      <c r="K5" s="130" t="s">
        <v>389</v>
      </c>
    </row>
    <row r="6" spans="2:12" ht="83.25" customHeight="1" x14ac:dyDescent="0.2">
      <c r="B6" s="130" t="s">
        <v>383</v>
      </c>
      <c r="C6" s="130" t="s">
        <v>384</v>
      </c>
      <c r="D6" s="130" t="s">
        <v>401</v>
      </c>
      <c r="E6" s="130" t="s">
        <v>402</v>
      </c>
      <c r="F6" s="130" t="s">
        <v>400</v>
      </c>
      <c r="G6" s="130" t="s">
        <v>393</v>
      </c>
      <c r="H6" s="130"/>
      <c r="I6" s="130" t="s">
        <v>394</v>
      </c>
      <c r="J6" s="130" t="s">
        <v>388</v>
      </c>
      <c r="K6" s="130" t="s">
        <v>397</v>
      </c>
    </row>
    <row r="7" spans="2:12" ht="83.25" customHeight="1" x14ac:dyDescent="0.2">
      <c r="B7" s="130" t="s">
        <v>383</v>
      </c>
      <c r="C7" s="130" t="s">
        <v>384</v>
      </c>
      <c r="D7" s="130" t="s">
        <v>403</v>
      </c>
      <c r="E7" s="130" t="s">
        <v>404</v>
      </c>
      <c r="F7" s="130" t="s">
        <v>392</v>
      </c>
      <c r="G7" s="130" t="s">
        <v>430</v>
      </c>
      <c r="H7" s="130"/>
      <c r="I7" s="130" t="s">
        <v>394</v>
      </c>
      <c r="J7" s="130" t="s">
        <v>388</v>
      </c>
      <c r="K7" s="130" t="s">
        <v>389</v>
      </c>
    </row>
    <row r="8" spans="2:12" ht="83.25" customHeight="1" x14ac:dyDescent="0.2">
      <c r="B8" s="130" t="s">
        <v>383</v>
      </c>
      <c r="C8" s="130" t="s">
        <v>384</v>
      </c>
      <c r="D8" s="130" t="s">
        <v>405</v>
      </c>
      <c r="E8" s="130" t="s">
        <v>414</v>
      </c>
      <c r="F8" s="130" t="s">
        <v>392</v>
      </c>
      <c r="G8" s="130" t="s">
        <v>430</v>
      </c>
      <c r="H8" s="130"/>
      <c r="I8" s="130" t="s">
        <v>394</v>
      </c>
      <c r="J8" s="130" t="s">
        <v>388</v>
      </c>
      <c r="K8" s="130" t="s">
        <v>397</v>
      </c>
    </row>
    <row r="9" spans="2:12" ht="83.25" customHeight="1" x14ac:dyDescent="0.2">
      <c r="B9" s="130" t="s">
        <v>383</v>
      </c>
      <c r="C9" s="130" t="s">
        <v>384</v>
      </c>
      <c r="D9" s="130" t="s">
        <v>406</v>
      </c>
      <c r="E9" s="130" t="s">
        <v>415</v>
      </c>
      <c r="F9" s="130" t="s">
        <v>400</v>
      </c>
      <c r="G9" s="130" t="s">
        <v>430</v>
      </c>
      <c r="H9" s="130"/>
      <c r="I9" s="130" t="s">
        <v>394</v>
      </c>
      <c r="J9" s="130" t="s">
        <v>388</v>
      </c>
      <c r="K9" s="130" t="s">
        <v>389</v>
      </c>
    </row>
    <row r="10" spans="2:12" ht="83.25" customHeight="1" x14ac:dyDescent="0.2">
      <c r="B10" s="130" t="s">
        <v>383</v>
      </c>
      <c r="C10" s="130" t="s">
        <v>384</v>
      </c>
      <c r="D10" s="130" t="s">
        <v>407</v>
      </c>
      <c r="E10" s="130" t="s">
        <v>416</v>
      </c>
      <c r="F10" s="130" t="s">
        <v>400</v>
      </c>
      <c r="G10" s="130" t="s">
        <v>430</v>
      </c>
      <c r="H10" s="130"/>
      <c r="I10" s="130" t="s">
        <v>394</v>
      </c>
      <c r="J10" s="130" t="s">
        <v>388</v>
      </c>
      <c r="K10" s="130" t="s">
        <v>397</v>
      </c>
    </row>
    <row r="11" spans="2:12" ht="83.25" customHeight="1" x14ac:dyDescent="0.2">
      <c r="B11" s="130" t="s">
        <v>383</v>
      </c>
      <c r="C11" s="130" t="s">
        <v>384</v>
      </c>
      <c r="D11" s="130" t="s">
        <v>424</v>
      </c>
      <c r="E11" s="130" t="s">
        <v>417</v>
      </c>
      <c r="F11" s="130" t="s">
        <v>425</v>
      </c>
      <c r="G11" s="130" t="s">
        <v>431</v>
      </c>
      <c r="H11" s="130"/>
      <c r="I11" s="130" t="s">
        <v>387</v>
      </c>
      <c r="J11" s="130" t="s">
        <v>388</v>
      </c>
      <c r="K11" s="130" t="s">
        <v>389</v>
      </c>
    </row>
    <row r="12" spans="2:12" ht="83.25" customHeight="1" x14ac:dyDescent="0.2">
      <c r="B12" s="130" t="s">
        <v>427</v>
      </c>
      <c r="C12" s="130" t="s">
        <v>384</v>
      </c>
      <c r="D12" s="130" t="s">
        <v>412</v>
      </c>
      <c r="E12" s="130" t="s">
        <v>413</v>
      </c>
      <c r="F12" s="130" t="s">
        <v>425</v>
      </c>
      <c r="G12" s="130" t="s">
        <v>426</v>
      </c>
      <c r="H12" s="130"/>
      <c r="I12" s="130" t="s">
        <v>387</v>
      </c>
      <c r="J12" s="130" t="s">
        <v>388</v>
      </c>
      <c r="K12" s="130" t="s">
        <v>389</v>
      </c>
    </row>
    <row r="13" spans="2:12" ht="83.25" customHeight="1" x14ac:dyDescent="0.2">
      <c r="B13" s="130" t="s">
        <v>383</v>
      </c>
      <c r="C13" s="130" t="s">
        <v>384</v>
      </c>
      <c r="D13" s="130" t="s">
        <v>418</v>
      </c>
      <c r="E13" s="130" t="s">
        <v>419</v>
      </c>
      <c r="F13" s="130" t="s">
        <v>385</v>
      </c>
      <c r="G13" s="130" t="s">
        <v>386</v>
      </c>
      <c r="H13" s="130"/>
      <c r="I13" s="130" t="s">
        <v>387</v>
      </c>
      <c r="J13" s="130" t="s">
        <v>388</v>
      </c>
      <c r="K13" s="130" t="s">
        <v>389</v>
      </c>
    </row>
    <row r="14" spans="2:12" ht="83.25" customHeight="1" x14ac:dyDescent="0.2">
      <c r="B14" s="130" t="s">
        <v>383</v>
      </c>
      <c r="C14" s="130" t="s">
        <v>384</v>
      </c>
      <c r="D14" s="130" t="s">
        <v>421</v>
      </c>
      <c r="E14" s="130" t="s">
        <v>420</v>
      </c>
      <c r="F14" s="130" t="s">
        <v>408</v>
      </c>
      <c r="G14" s="130" t="s">
        <v>386</v>
      </c>
      <c r="H14" s="130"/>
      <c r="I14" s="130" t="s">
        <v>394</v>
      </c>
      <c r="J14" s="130" t="s">
        <v>409</v>
      </c>
      <c r="K14" s="130" t="s">
        <v>397</v>
      </c>
      <c r="L14" s="131"/>
    </row>
    <row r="15" spans="2:12" ht="83.25" customHeight="1" x14ac:dyDescent="0.2">
      <c r="B15" s="130" t="s">
        <v>383</v>
      </c>
      <c r="C15" s="130" t="s">
        <v>384</v>
      </c>
      <c r="D15" s="130" t="s">
        <v>422</v>
      </c>
      <c r="E15" s="130" t="s">
        <v>420</v>
      </c>
      <c r="F15" s="130" t="s">
        <v>408</v>
      </c>
      <c r="G15" s="130" t="s">
        <v>386</v>
      </c>
      <c r="H15" s="130"/>
      <c r="I15" s="130" t="s">
        <v>394</v>
      </c>
      <c r="J15" s="130" t="s">
        <v>409</v>
      </c>
      <c r="K15" s="130" t="s">
        <v>389</v>
      </c>
      <c r="L15" s="131"/>
    </row>
    <row r="16" spans="2:12" ht="83.25" customHeight="1" x14ac:dyDescent="0.2">
      <c r="B16" s="130" t="s">
        <v>427</v>
      </c>
      <c r="C16" s="130" t="s">
        <v>384</v>
      </c>
      <c r="D16" s="130" t="s">
        <v>423</v>
      </c>
      <c r="E16" s="130" t="s">
        <v>410</v>
      </c>
      <c r="F16" s="130" t="s">
        <v>411</v>
      </c>
      <c r="G16" s="130" t="s">
        <v>428</v>
      </c>
      <c r="H16" s="130"/>
      <c r="I16" s="130" t="s">
        <v>387</v>
      </c>
      <c r="J16" s="130" t="s">
        <v>429</v>
      </c>
      <c r="K16" s="130" t="s">
        <v>389</v>
      </c>
    </row>
  </sheetData>
  <phoneticPr fontId="19" type="noConversion"/>
  <pageMargins left="0.69930555555555596" right="0.69930555555555596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1"/>
  <sheetViews>
    <sheetView zoomScale="70" zoomScaleNormal="70" workbookViewId="0">
      <selection activeCell="N8" sqref="N8"/>
    </sheetView>
  </sheetViews>
  <sheetFormatPr defaultColWidth="8.875" defaultRowHeight="14.25" x14ac:dyDescent="0.2"/>
  <cols>
    <col min="1" max="1" width="8.875" style="129"/>
    <col min="2" max="2" width="9.125" style="132" customWidth="1"/>
    <col min="3" max="3" width="7.625" style="132" customWidth="1"/>
    <col min="4" max="4" width="13.625" style="132" customWidth="1"/>
    <col min="5" max="5" width="18.625" style="133" customWidth="1"/>
    <col min="6" max="6" width="19" style="132" customWidth="1"/>
    <col min="7" max="7" width="11.625" style="132" customWidth="1"/>
    <col min="8" max="9" width="30" style="132" customWidth="1"/>
    <col min="10" max="10" width="12" style="132" customWidth="1"/>
    <col min="11" max="11" width="39.125" style="132" customWidth="1"/>
    <col min="12" max="12" width="25.375" style="129" customWidth="1"/>
    <col min="13" max="16384" width="8.875" style="129"/>
  </cols>
  <sheetData>
    <row r="2" spans="2:12" ht="15.75" x14ac:dyDescent="0.2">
      <c r="B2" s="126" t="s">
        <v>373</v>
      </c>
      <c r="C2" s="126" t="s">
        <v>374</v>
      </c>
      <c r="D2" s="127" t="s">
        <v>375</v>
      </c>
      <c r="E2" s="127" t="s">
        <v>376</v>
      </c>
      <c r="F2" s="127" t="s">
        <v>377</v>
      </c>
      <c r="G2" s="127" t="s">
        <v>378</v>
      </c>
      <c r="H2" s="127" t="s">
        <v>379</v>
      </c>
      <c r="I2" s="127" t="s">
        <v>380</v>
      </c>
      <c r="J2" s="127" t="s">
        <v>381</v>
      </c>
      <c r="K2" s="128" t="s">
        <v>382</v>
      </c>
    </row>
    <row r="3" spans="2:12" ht="83.25" customHeight="1" x14ac:dyDescent="0.2">
      <c r="B3" s="130" t="s">
        <v>383</v>
      </c>
      <c r="C3" s="130" t="s">
        <v>384</v>
      </c>
      <c r="D3" s="130" t="s">
        <v>403</v>
      </c>
      <c r="E3" s="130" t="s">
        <v>404</v>
      </c>
      <c r="F3" s="130" t="s">
        <v>392</v>
      </c>
      <c r="G3" s="130" t="s">
        <v>430</v>
      </c>
      <c r="H3" s="130"/>
      <c r="I3" s="130" t="s">
        <v>394</v>
      </c>
      <c r="J3" s="130" t="s">
        <v>388</v>
      </c>
      <c r="K3" s="130" t="s">
        <v>389</v>
      </c>
    </row>
    <row r="4" spans="2:12" ht="83.25" customHeight="1" x14ac:dyDescent="0.2">
      <c r="B4" s="130" t="s">
        <v>383</v>
      </c>
      <c r="C4" s="130" t="s">
        <v>384</v>
      </c>
      <c r="D4" s="130" t="s">
        <v>405</v>
      </c>
      <c r="E4" s="130" t="s">
        <v>414</v>
      </c>
      <c r="F4" s="130" t="s">
        <v>392</v>
      </c>
      <c r="G4" s="130" t="s">
        <v>430</v>
      </c>
      <c r="H4" s="130"/>
      <c r="I4" s="130" t="s">
        <v>394</v>
      </c>
      <c r="J4" s="130" t="s">
        <v>388</v>
      </c>
      <c r="K4" s="130" t="s">
        <v>397</v>
      </c>
    </row>
    <row r="5" spans="2:12" ht="83.25" customHeight="1" x14ac:dyDescent="0.2">
      <c r="B5" s="130" t="s">
        <v>383</v>
      </c>
      <c r="C5" s="130" t="s">
        <v>384</v>
      </c>
      <c r="D5" s="130" t="s">
        <v>406</v>
      </c>
      <c r="E5" s="130" t="s">
        <v>415</v>
      </c>
      <c r="F5" s="130" t="s">
        <v>400</v>
      </c>
      <c r="G5" s="130" t="s">
        <v>430</v>
      </c>
      <c r="H5" s="130"/>
      <c r="I5" s="130" t="s">
        <v>394</v>
      </c>
      <c r="J5" s="130" t="s">
        <v>388</v>
      </c>
      <c r="K5" s="130" t="s">
        <v>389</v>
      </c>
    </row>
    <row r="6" spans="2:12" ht="83.25" customHeight="1" x14ac:dyDescent="0.2">
      <c r="B6" s="130" t="s">
        <v>383</v>
      </c>
      <c r="C6" s="130" t="s">
        <v>384</v>
      </c>
      <c r="D6" s="130" t="s">
        <v>407</v>
      </c>
      <c r="E6" s="130" t="s">
        <v>416</v>
      </c>
      <c r="F6" s="130" t="s">
        <v>400</v>
      </c>
      <c r="G6" s="130" t="s">
        <v>430</v>
      </c>
      <c r="H6" s="130"/>
      <c r="I6" s="130" t="s">
        <v>394</v>
      </c>
      <c r="J6" s="130" t="s">
        <v>388</v>
      </c>
      <c r="K6" s="130" t="s">
        <v>397</v>
      </c>
    </row>
    <row r="7" spans="2:12" ht="83.25" customHeight="1" x14ac:dyDescent="0.2">
      <c r="B7" s="130" t="s">
        <v>383</v>
      </c>
      <c r="C7" s="130" t="s">
        <v>384</v>
      </c>
      <c r="D7" s="130" t="s">
        <v>424</v>
      </c>
      <c r="E7" s="130" t="s">
        <v>417</v>
      </c>
      <c r="F7" s="130" t="s">
        <v>425</v>
      </c>
      <c r="G7" s="130" t="s">
        <v>431</v>
      </c>
      <c r="H7" s="130"/>
      <c r="I7" s="130" t="s">
        <v>387</v>
      </c>
      <c r="J7" s="130" t="s">
        <v>388</v>
      </c>
      <c r="K7" s="130" t="s">
        <v>389</v>
      </c>
    </row>
    <row r="8" spans="2:12" ht="83.25" customHeight="1" x14ac:dyDescent="0.2">
      <c r="B8" s="130" t="s">
        <v>540</v>
      </c>
      <c r="C8" s="130" t="s">
        <v>541</v>
      </c>
      <c r="D8" s="130" t="s">
        <v>543</v>
      </c>
      <c r="E8" s="130" t="s">
        <v>542</v>
      </c>
      <c r="F8" s="130" t="s">
        <v>550</v>
      </c>
      <c r="G8" s="130" t="s">
        <v>551</v>
      </c>
      <c r="H8" s="130"/>
      <c r="I8" s="130" t="s">
        <v>387</v>
      </c>
      <c r="J8" s="130" t="s">
        <v>388</v>
      </c>
      <c r="K8" s="130" t="s">
        <v>389</v>
      </c>
    </row>
    <row r="9" spans="2:12" ht="83.25" customHeight="1" x14ac:dyDescent="0.2">
      <c r="B9" s="130" t="s">
        <v>540</v>
      </c>
      <c r="C9" s="130" t="s">
        <v>541</v>
      </c>
      <c r="D9" s="130" t="s">
        <v>544</v>
      </c>
      <c r="E9" s="130" t="s">
        <v>545</v>
      </c>
      <c r="F9" s="130" t="s">
        <v>552</v>
      </c>
      <c r="G9" s="130" t="s">
        <v>551</v>
      </c>
      <c r="H9" s="130"/>
      <c r="I9" s="130" t="s">
        <v>387</v>
      </c>
      <c r="J9" s="130" t="s">
        <v>388</v>
      </c>
      <c r="K9" s="130" t="s">
        <v>389</v>
      </c>
    </row>
    <row r="10" spans="2:12" ht="83.25" customHeight="1" x14ac:dyDescent="0.2">
      <c r="B10" s="130" t="s">
        <v>540</v>
      </c>
      <c r="C10" s="130" t="s">
        <v>541</v>
      </c>
      <c r="D10" s="130" t="s">
        <v>546</v>
      </c>
      <c r="E10" s="130" t="s">
        <v>547</v>
      </c>
      <c r="F10" s="130" t="s">
        <v>552</v>
      </c>
      <c r="G10" s="130" t="s">
        <v>551</v>
      </c>
      <c r="H10" s="130"/>
      <c r="I10" s="130" t="s">
        <v>387</v>
      </c>
      <c r="J10" s="130" t="s">
        <v>388</v>
      </c>
      <c r="K10" s="130" t="s">
        <v>389</v>
      </c>
      <c r="L10" s="131"/>
    </row>
    <row r="11" spans="2:12" ht="83.25" customHeight="1" x14ac:dyDescent="0.2">
      <c r="B11" s="130" t="s">
        <v>540</v>
      </c>
      <c r="C11" s="130" t="s">
        <v>541</v>
      </c>
      <c r="D11" s="130" t="s">
        <v>548</v>
      </c>
      <c r="E11" s="130" t="s">
        <v>549</v>
      </c>
      <c r="F11" s="130" t="s">
        <v>553</v>
      </c>
      <c r="G11" s="130" t="s">
        <v>551</v>
      </c>
      <c r="H11" s="130"/>
      <c r="I11" s="130" t="s">
        <v>387</v>
      </c>
      <c r="J11" s="130" t="s">
        <v>388</v>
      </c>
      <c r="K11" s="130" t="s">
        <v>389</v>
      </c>
      <c r="L11" s="131"/>
    </row>
  </sheetData>
  <phoneticPr fontId="34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BOM List</vt:lpstr>
      <vt:lpstr>BH47研发BOM</vt:lpstr>
      <vt:lpstr>无重稀土磁钢</vt:lpstr>
      <vt:lpstr>DFMs</vt:lpstr>
      <vt:lpstr>HRE FREE DRAWING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Chen JH</cp:lastModifiedBy>
  <cp:lastPrinted>2025-02-25T04:24:00Z</cp:lastPrinted>
  <dcterms:created xsi:type="dcterms:W3CDTF">2021-11-30T02:08:00Z</dcterms:created>
  <dcterms:modified xsi:type="dcterms:W3CDTF">2025-11-17T03:15:47Z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
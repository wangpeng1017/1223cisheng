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660" windowHeight="12680" tabRatio="644"/>
  </bookViews>
  <sheets>
    <sheet name="Cav 1" sheetId="1" r:id="rId1"/>
    <sheet name="Drawing" sheetId="2" r:id="rId2"/>
    <sheet name="Setup" sheetId="3" state="hidden" r:id="rId3"/>
    <sheet name="Revision" sheetId="4" r:id="rId4"/>
  </sheets>
  <definedNames>
    <definedName name="CMMVersion">'Cav 1'!$R$6</definedName>
    <definedName name="dim_type">Setup!$J$2:$J$5</definedName>
    <definedName name="dim_types">Setup!$J$2:$J$5</definedName>
    <definedName name="gauging">Setup!$L$2:$L$3</definedName>
    <definedName name="insp_meth">Setup!$H$2:$H$14</definedName>
  </definedNames>
  <calcPr calcId="144525" refMode="R1C1"/>
</workbook>
</file>

<file path=xl/comments1.xml><?xml version="1.0" encoding="utf-8"?>
<comments xmlns="http://schemas.openxmlformats.org/spreadsheetml/2006/main">
  <authors>
    <author>Paul Lucier</author>
    <author>Adam Xu</author>
  </authors>
  <commentList>
    <comment ref="V2" authorId="0">
      <text>
        <r>
          <rPr>
            <sz val="9"/>
            <rFont val="Calibri"/>
            <charset val="134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>
      <text>
        <r>
          <rPr>
            <b/>
            <sz val="9"/>
            <color rgb="FF000000"/>
            <rFont val="Calibri"/>
            <charset val="134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U10" authorId="1">
      <text>
        <r>
          <rPr>
            <b/>
            <sz val="9"/>
            <color rgb="FF000000"/>
            <rFont val="Calibri"/>
            <charset val="134"/>
          </rPr>
          <t>Adam Xu:</t>
        </r>
        <r>
          <rPr>
            <sz val="9"/>
            <color rgb="FF000000"/>
            <rFont val="Calibri"/>
            <charset val="134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sharedStrings.xml><?xml version="1.0" encoding="utf-8"?>
<sst xmlns="http://schemas.openxmlformats.org/spreadsheetml/2006/main" count="391" uniqueCount="171">
  <si>
    <t>Enhanced Cpk Data Sheet - Enclosures MD</t>
  </si>
  <si>
    <t>Rev 4.3</t>
  </si>
  <si>
    <t>Instructions</t>
  </si>
  <si>
    <t>Part Number :</t>
  </si>
  <si>
    <t>160-05689</t>
  </si>
  <si>
    <t>Supplier :</t>
  </si>
  <si>
    <t>Magsound</t>
  </si>
  <si>
    <t>Tool # / Build / DOE Name :</t>
  </si>
  <si>
    <t>Ramp</t>
  </si>
  <si>
    <t>Part Description :</t>
  </si>
  <si>
    <t>MAGNET,RADIAL,M1 MAGNETIZED,TE,B747</t>
  </si>
  <si>
    <t>Inspector :</t>
  </si>
  <si>
    <t>Liu Xuelei</t>
  </si>
  <si>
    <t>Notes/Comments :</t>
  </si>
  <si>
    <t>Revision :</t>
  </si>
  <si>
    <t>91</t>
  </si>
  <si>
    <t>Date :</t>
  </si>
  <si>
    <t>CMM/OMM Program version :</t>
  </si>
  <si>
    <t>251UM</t>
  </si>
  <si>
    <t>DRAWING SPECIFICATIONS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</si>
  <si>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</si>
  <si>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</si>
  <si>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</si>
  <si>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</si>
  <si>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</si>
  <si>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</si>
  <si>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</si>
  <si>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SPC</t>
  </si>
  <si>
    <t>FAI#</t>
  </si>
  <si>
    <t>Description</t>
  </si>
  <si>
    <t>Target Cpk</t>
  </si>
  <si>
    <t>Dimension Type</t>
  </si>
  <si>
    <t>Nominal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</si>
  <si>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</si>
  <si>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</si>
  <si>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</si>
  <si>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</si>
  <si>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</si>
  <si>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</si>
  <si>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</si>
  <si>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</si>
  <si>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</si>
  <si>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</si>
  <si>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Cp</t>
  </si>
  <si>
    <t>Ca</t>
  </si>
  <si>
    <t>Ca Level</t>
  </si>
  <si>
    <t>UCPK</t>
  </si>
  <si>
    <t>LCPK</t>
  </si>
  <si>
    <t>Cpk</t>
  </si>
  <si>
    <t>Yield</t>
  </si>
  <si>
    <t>+Tol =&gt; Cpk*</t>
  </si>
  <si>
    <t>-Tol =&gt; Cpk*</t>
  </si>
  <si>
    <t>Mean Shift</t>
  </si>
  <si>
    <t>Tol Range
=&gt; Cp*</t>
  </si>
  <si>
    <t>Normality Test</t>
  </si>
  <si>
    <t>Normality Result</t>
  </si>
  <si>
    <t>Notes</t>
  </si>
  <si>
    <t xml:space="preserve">A </t>
  </si>
  <si>
    <t>FAI 1</t>
  </si>
  <si>
    <t>Thickness</t>
  </si>
  <si>
    <t>Tolerance</t>
  </si>
  <si>
    <t>CMM</t>
  </si>
  <si>
    <t>No</t>
  </si>
  <si>
    <t>B</t>
  </si>
  <si>
    <t>FAI 2</t>
  </si>
  <si>
    <t>C</t>
  </si>
  <si>
    <t>FAI 3</t>
  </si>
  <si>
    <t>D</t>
  </si>
  <si>
    <t>FAI 4</t>
  </si>
  <si>
    <t>E</t>
  </si>
  <si>
    <t>FAI 5</t>
  </si>
  <si>
    <t>F</t>
  </si>
  <si>
    <t>FAI 6</t>
  </si>
  <si>
    <t>G</t>
  </si>
  <si>
    <t>FAI 7</t>
  </si>
  <si>
    <t>H</t>
  </si>
  <si>
    <t>FAI 8</t>
  </si>
  <si>
    <t>I</t>
  </si>
  <si>
    <t>FAI 9</t>
  </si>
  <si>
    <t>J</t>
  </si>
  <si>
    <t>FAI 10</t>
  </si>
  <si>
    <t>Line Profile</t>
  </si>
  <si>
    <t>GD&amp;T</t>
  </si>
  <si>
    <t>Profile 1</t>
  </si>
  <si>
    <t>Profile 2</t>
  </si>
  <si>
    <t>Profile 3</t>
  </si>
  <si>
    <t>Profile 4</t>
  </si>
  <si>
    <t>Profile 5</t>
  </si>
  <si>
    <t>K</t>
  </si>
  <si>
    <t>FAI 11</t>
  </si>
  <si>
    <t>Parallelism</t>
  </si>
  <si>
    <t>L</t>
  </si>
  <si>
    <t>FAI 12</t>
  </si>
  <si>
    <t>Profile 6</t>
  </si>
  <si>
    <t>Profile 7</t>
  </si>
  <si>
    <t>Profile 8</t>
  </si>
  <si>
    <t>Profile 9</t>
  </si>
  <si>
    <t>Profile 10</t>
  </si>
  <si>
    <t>Profile 11</t>
  </si>
  <si>
    <t>Profile 12</t>
  </si>
  <si>
    <t>Profile 13</t>
  </si>
  <si>
    <t>Profile 14</t>
  </si>
  <si>
    <t>M</t>
  </si>
  <si>
    <t>FAI 13</t>
  </si>
  <si>
    <t>Surface Profile</t>
  </si>
  <si>
    <t>N</t>
  </si>
  <si>
    <t>FAI 14</t>
  </si>
  <si>
    <t>/</t>
  </si>
  <si>
    <t>MM</t>
  </si>
  <si>
    <t>Other</t>
  </si>
  <si>
    <t>72 hr HS MM decay</t>
  </si>
  <si>
    <t>MAX</t>
  </si>
  <si>
    <t>72 hr THC MM decay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</si>
  <si>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</si>
  <si>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</si>
  <si>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</si>
  <si>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</si>
  <si>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</si>
  <si>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</si>
  <si>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HG</t>
  </si>
  <si>
    <t>Yes</t>
  </si>
  <si>
    <t>MIC</t>
  </si>
  <si>
    <t>MIN</t>
  </si>
  <si>
    <t>OMM</t>
  </si>
  <si>
    <t>TG</t>
  </si>
  <si>
    <t>HT</t>
  </si>
  <si>
    <t>PG</t>
  </si>
  <si>
    <t>FT</t>
  </si>
  <si>
    <t>DC</t>
  </si>
  <si>
    <t>P</t>
  </si>
  <si>
    <t>OC</t>
  </si>
  <si>
    <t>F-1</t>
  </si>
  <si>
    <t>F-2</t>
  </si>
  <si>
    <t>N-1</t>
  </si>
  <si>
    <t>N-2</t>
  </si>
  <si>
    <t>N-3</t>
  </si>
  <si>
    <t>N-4</t>
  </si>
  <si>
    <t>N-5</t>
  </si>
  <si>
    <t>O-1</t>
  </si>
  <si>
    <t>O-2</t>
  </si>
  <si>
    <t>O-3</t>
  </si>
  <si>
    <t>O-4</t>
  </si>
  <si>
    <t>O-5</t>
  </si>
  <si>
    <t>Q</t>
  </si>
  <si>
    <t>R</t>
  </si>
  <si>
    <t>S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</si>
  <si>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</si>
  <si>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</si>
  <si>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</si>
  <si>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</si>
  <si>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</si>
  <si>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</si>
  <si>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</si>
  <si>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r>
      <rPr>
        <sz val="12"/>
        <color theme="1"/>
        <rFont val="宋体"/>
        <charset val="134"/>
        <scheme val="minor"/>
      </rPr>
      <t xml:space="preserve">- Added support for multiple sheets of data. All sheets must be set up identically to be supported
- Normality test no longer live formulas. Normality test values will be updated when any button is pushed. Also added a new button on the data sheet to run this separately.
- Export for JMP and sortable/filterable versions of data has been added.
- Macros can now handle empty data and non-numeric data.
- Changed formatting on several fields
- Added mean shift and Cp target range calculations
- Added notes field in header, and a field to record CMM/OMM program revision or number </t>
    </r>
    <r>
      <rPr>
        <sz val="12"/>
        <rFont val="Calibri"/>
        <charset val="134"/>
      </rPr>
      <t>(</t>
    </r>
    <r>
      <rPr>
        <sz val="12"/>
        <color theme="1"/>
        <rFont val="宋体"/>
        <charset val="134"/>
        <scheme val="minor"/>
      </rPr>
      <t>helpful for automated reporting from Hexagon systems</t>
    </r>
    <r>
      <rPr>
        <sz val="12"/>
        <rFont val="Calibri"/>
        <charset val="134"/>
      </rPr>
      <t>)</t>
    </r>
    <r>
      <rPr>
        <sz val="12"/>
        <color theme="1"/>
        <rFont val="宋体"/>
        <charset val="134"/>
        <scheme val="minor"/>
      </rPr>
      <t xml:space="preserve">
- Fixed problem with histogram plots related to one-sided dimensions </t>
    </r>
    <r>
      <rPr>
        <sz val="12"/>
        <rFont val="Calibri"/>
        <charset val="134"/>
      </rPr>
      <t>(</t>
    </r>
    <r>
      <rPr>
        <sz val="12"/>
        <color theme="1"/>
        <rFont val="宋体"/>
        <charset val="134"/>
        <scheme val="minor"/>
      </rPr>
      <t>clustering near 0</t>
    </r>
    <r>
      <rPr>
        <sz val="12"/>
        <rFont val="Calibri"/>
        <charset val="134"/>
      </rPr>
      <t>)</t>
    </r>
  </si>
  <si>
    <t>- More bug fixes
- Adjusted JMP Export (save as .xls automatically + other fixes)</t>
  </si>
  <si>
    <t>- More bug fixes
- Rearranged code to organize it better</t>
  </si>
  <si>
    <t>- Fixed problem where Normality Update would delete the "Normal/Not Normal" data</t>
  </si>
  <si>
    <t xml:space="preserve">- First ~15 rows of data had lost conditional formatting in nominal/tolerance fields. Fixed this </t>
  </si>
  <si>
    <t>- Changed Location column to Cpk Target column. Now each dimension can have a unique Cpk Target
- Rebuilt add tabs function - now much more flexible. Can add several tabs at once using different naming formats (numeric or alphabetic)
- Added a function to refresh the drawing setup section from the first tab to all other tabs. Rolled the last 2 functions into a new button called "Manage Data Tabs"
- Added a multi-cavity summary report in the Export button
- Rebuilt the micro-distributions to reduce overhead (removed shadows and borders). Cleaner look and faster.
- Circles will no longer drop one on top of another. They will now appear in a grid that is perfectly spaced for optimal organization. 
- Added a "100% Gauged" column to the dimension setup area</t>
  </si>
  <si>
    <t>- Added conditional formatting to Cp/Cpk/Yield related to 100% Gauged dimensions
- Added mean shift and target -tol &amp; +tol columns to the multi-cavity summary report
- Repaired formatting of summary values on multi cavity summary
- Added "Detect Outliers" button &amp; funciton. Will bold and italicize any potential outliers in the data sets, and addes to the Notes field to identify that they were detected.</t>
  </si>
  <si>
    <t>- Fixed several bugs related to import
- Renamed multi-cavity report to multi-tab report (more generic)
- Added nominal, +Tol, -Tol to multi-tab summary report</t>
  </si>
  <si>
    <t>- Fixed some additional bugs
- Improved speed of several functions on Excel 2016</t>
  </si>
  <si>
    <t>Adam Xu</t>
  </si>
  <si>
    <t>- Add data export for Bubble Navigator Apps</t>
  </si>
  <si>
    <t>- Add multi-sheet selection for Bubble Navigator
- Add Non-Capable CpK for Bubble Navigator</t>
  </si>
  <si>
    <t>9/22/2017</t>
  </si>
  <si>
    <r>
      <rPr>
        <sz val="12"/>
        <color theme="1"/>
        <rFont val="宋体"/>
        <charset val="134"/>
        <scheme val="minor"/>
      </rPr>
      <t xml:space="preserve">- Update distribution </t>
    </r>
    <r>
      <rPr>
        <sz val="12"/>
        <rFont val="Calibri"/>
        <charset val="134"/>
      </rPr>
      <t>c</t>
    </r>
    <r>
      <rPr>
        <sz val="12"/>
        <color theme="1"/>
        <rFont val="宋体"/>
        <charset val="134"/>
        <scheme val="minor"/>
      </rPr>
      <t>harts w/ Fit curve
-Address previous position issue</t>
    </r>
  </si>
  <si>
    <t>4/17/2019</t>
  </si>
  <si>
    <t>- Add Ca calculation along with Ca Level for each FAI/SPC Dimension
-Update the format conditions</t>
  </si>
  <si>
    <t>7/8/2019</t>
  </si>
  <si>
    <t>- Update Ca formula
-Unlimited data qty each SPC dimension rather than 100 data max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</si>
</sst>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%"/>
    <numFmt numFmtId="177" formatCode="#,##0.0000"/>
    <numFmt numFmtId="178" formatCode="m/d/yyyy;@"/>
    <numFmt numFmtId="179" formatCode="m/d"/>
    <numFmt numFmtId="180" formatCode="0.000"/>
    <numFmt numFmtId="181" formatCode="0.000_ "/>
  </numFmts>
  <fonts count="54">
    <font>
      <sz val="12"/>
      <color theme="1"/>
      <name val="宋体"/>
      <charset val="134"/>
      <scheme val="minor"/>
    </font>
    <font>
      <b/>
      <u/>
      <sz val="16"/>
      <color theme="1"/>
      <name val="宋体"/>
      <charset val="134"/>
      <scheme val="minor"/>
    </font>
    <font>
      <b/>
      <sz val="12"/>
      <color theme="1"/>
      <name val="宋体"/>
      <charset val="204"/>
      <scheme val="minor"/>
    </font>
    <font>
      <sz val="10"/>
      <name val="Arial"/>
      <charset val="134"/>
    </font>
    <font>
      <sz val="12"/>
      <color theme="1"/>
      <name val="Arial"/>
      <charset val="134"/>
    </font>
    <font>
      <b/>
      <sz val="16"/>
      <name val="Arial"/>
      <charset val="134"/>
    </font>
    <font>
      <sz val="10"/>
      <color theme="4"/>
      <name val="Arial"/>
      <charset val="134"/>
    </font>
    <font>
      <b/>
      <sz val="10"/>
      <name val="Arial"/>
      <charset val="134"/>
    </font>
    <font>
      <b/>
      <sz val="11"/>
      <name val="Arial"/>
      <charset val="134"/>
    </font>
    <font>
      <sz val="9"/>
      <name val="Arial"/>
      <charset val="134"/>
    </font>
    <font>
      <sz val="9"/>
      <color theme="1"/>
      <name val="Arial"/>
      <charset val="134"/>
    </font>
    <font>
      <sz val="10"/>
      <color rgb="FF000000"/>
      <name val="Arial Regular"/>
      <charset val="134"/>
    </font>
    <font>
      <sz val="10"/>
      <color theme="1"/>
      <name val="Arial Regular"/>
      <charset val="134"/>
    </font>
    <font>
      <sz val="8"/>
      <name val="Arial"/>
      <charset val="134"/>
    </font>
    <font>
      <sz val="10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sz val="9"/>
      <color rgb="FFFF0000"/>
      <name val="Arial"/>
      <charset val="134"/>
    </font>
    <font>
      <sz val="10"/>
      <color theme="1"/>
      <name val="Arial"/>
      <charset val="134"/>
    </font>
    <font>
      <b/>
      <i/>
      <sz val="10"/>
      <color theme="1"/>
      <name val="Arial"/>
      <charset val="134"/>
    </font>
    <font>
      <b/>
      <i/>
      <sz val="10"/>
      <name val="Arial"/>
      <charset val="134"/>
    </font>
    <font>
      <b/>
      <i/>
      <sz val="10"/>
      <color theme="1"/>
      <name val="宋体"/>
      <charset val="134"/>
      <scheme val="minor"/>
    </font>
    <font>
      <b/>
      <i/>
      <sz val="12"/>
      <color theme="1"/>
      <name val="宋体"/>
      <charset val="134"/>
      <scheme val="minor"/>
    </font>
    <font>
      <sz val="10"/>
      <color rgb="FF00000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____"/>
      <charset val="134"/>
    </font>
    <font>
      <b/>
      <sz val="12"/>
      <name val="Arial"/>
      <charset val="134"/>
    </font>
    <font>
      <sz val="12"/>
      <name val="Arial"/>
      <charset val="134"/>
    </font>
    <font>
      <sz val="12"/>
      <name val="Times New Roman"/>
      <charset val="134"/>
    </font>
    <font>
      <sz val="12"/>
      <name val="宋体"/>
      <charset val="134"/>
    </font>
    <font>
      <sz val="10"/>
      <color indexed="8"/>
      <name val="Arial"/>
      <charset val="134"/>
    </font>
    <font>
      <sz val="12"/>
      <name val="Calibri"/>
      <charset val="134"/>
    </font>
    <font>
      <sz val="9"/>
      <color rgb="FF000000"/>
      <name val="Calibri"/>
      <charset val="134"/>
    </font>
    <font>
      <b/>
      <sz val="9"/>
      <color rgb="FF000000"/>
      <name val="Calibri"/>
      <charset val="134"/>
    </font>
    <font>
      <sz val="9"/>
      <name val="Calibri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63">
    <xf numFmtId="0" fontId="0" fillId="0" borderId="0"/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8" borderId="17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9" borderId="20" applyNumberFormat="0" applyAlignment="0" applyProtection="0">
      <alignment vertical="center"/>
    </xf>
    <xf numFmtId="0" fontId="34" fillId="10" borderId="21" applyNumberFormat="0" applyAlignment="0" applyProtection="0">
      <alignment vertical="center"/>
    </xf>
    <xf numFmtId="0" fontId="35" fillId="10" borderId="20" applyNumberFormat="0" applyAlignment="0" applyProtection="0">
      <alignment vertical="center"/>
    </xf>
    <xf numFmtId="0" fontId="36" fillId="11" borderId="22" applyNumberFormat="0" applyAlignment="0" applyProtection="0">
      <alignment vertical="center"/>
    </xf>
    <xf numFmtId="0" fontId="37" fillId="0" borderId="23" applyNumberFormat="0" applyFill="0" applyAlignment="0" applyProtection="0">
      <alignment vertical="center"/>
    </xf>
    <xf numFmtId="0" fontId="38" fillId="0" borderId="24" applyNumberFormat="0" applyFill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3" fillId="35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2" fillId="37" borderId="0" applyNumberFormat="0" applyBorder="0" applyAlignment="0" applyProtection="0">
      <alignment vertical="center"/>
    </xf>
    <xf numFmtId="0" fontId="44" fillId="0" borderId="0"/>
    <xf numFmtId="176" fontId="3" fillId="0" borderId="0" applyFill="0" applyBorder="0" applyAlignment="0"/>
    <xf numFmtId="177" fontId="3" fillId="0" borderId="0" applyFill="0" applyBorder="0" applyAlignment="0"/>
    <xf numFmtId="0" fontId="45" fillId="0" borderId="25" applyNumberFormat="0" applyAlignment="0" applyProtection="0">
      <alignment horizontal="left" vertical="center"/>
    </xf>
    <xf numFmtId="0" fontId="45" fillId="0" borderId="5">
      <alignment horizontal="left" vertical="center"/>
    </xf>
    <xf numFmtId="177" fontId="3" fillId="0" borderId="0" applyFill="0" applyBorder="0" applyAlignment="0"/>
    <xf numFmtId="0" fontId="46" fillId="0" borderId="0"/>
    <xf numFmtId="0" fontId="46" fillId="0" borderId="0"/>
    <xf numFmtId="0" fontId="47" fillId="0" borderId="0"/>
    <xf numFmtId="9" fontId="48" fillId="0" borderId="0" applyFont="0" applyFill="0" applyBorder="0" applyAlignment="0" applyProtection="0"/>
    <xf numFmtId="177" fontId="3" fillId="0" borderId="0" applyFill="0" applyBorder="0" applyAlignment="0"/>
    <xf numFmtId="49" fontId="49" fillId="0" borderId="0" applyFill="0" applyBorder="0" applyAlignment="0"/>
    <xf numFmtId="177" fontId="3" fillId="0" borderId="0" applyFill="0" applyBorder="0" applyAlignment="0"/>
    <xf numFmtId="0" fontId="46" fillId="0" borderId="0"/>
  </cellStyleXfs>
  <cellXfs count="129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4" fillId="0" borderId="0" xfId="0" applyFont="1"/>
    <xf numFmtId="0" fontId="5" fillId="3" borderId="0" xfId="0" applyFont="1" applyFill="1" applyBorder="1" applyAlignment="1" applyProtection="1">
      <alignment horizontal="center"/>
    </xf>
    <xf numFmtId="0" fontId="6" fillId="3" borderId="0" xfId="0" applyFont="1" applyFill="1" applyProtection="1"/>
    <xf numFmtId="0" fontId="3" fillId="3" borderId="0" xfId="0" applyFont="1" applyFill="1" applyProtection="1"/>
    <xf numFmtId="0" fontId="3" fillId="3" borderId="0" xfId="0" applyFont="1" applyFill="1" applyBorder="1" applyProtection="1"/>
    <xf numFmtId="0" fontId="3" fillId="3" borderId="2" xfId="0" applyFont="1" applyFill="1" applyBorder="1" applyAlignment="1" applyProtection="1">
      <alignment horizontal="right"/>
    </xf>
    <xf numFmtId="0" fontId="3" fillId="3" borderId="3" xfId="0" applyFont="1" applyFill="1" applyBorder="1" applyAlignment="1" applyProtection="1">
      <alignment horizontal="right"/>
    </xf>
    <xf numFmtId="14" fontId="7" fillId="4" borderId="1" xfId="0" applyNumberFormat="1" applyFont="1" applyFill="1" applyBorder="1" applyAlignment="1" applyProtection="1">
      <protection locked="0"/>
    </xf>
    <xf numFmtId="0" fontId="7" fillId="4" borderId="1" xfId="0" applyNumberFormat="1" applyFont="1" applyFill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8" fillId="5" borderId="4" xfId="0" applyFont="1" applyFill="1" applyBorder="1" applyAlignment="1" applyProtection="1"/>
    <xf numFmtId="0" fontId="8" fillId="5" borderId="2" xfId="0" applyFont="1" applyFill="1" applyBorder="1" applyAlignment="1" applyProtection="1">
      <alignment horizontal="center"/>
    </xf>
    <xf numFmtId="0" fontId="8" fillId="5" borderId="5" xfId="0" applyFont="1" applyFill="1" applyBorder="1" applyAlignment="1" applyProtection="1">
      <alignment horizontal="center"/>
    </xf>
    <xf numFmtId="0" fontId="8" fillId="5" borderId="6" xfId="0" applyFont="1" applyFill="1" applyBorder="1" applyAlignment="1" applyProtection="1"/>
    <xf numFmtId="179" fontId="9" fillId="2" borderId="4" xfId="62" applyNumberFormat="1" applyFont="1" applyFill="1" applyBorder="1" applyAlignment="1" applyProtection="1">
      <alignment wrapText="1"/>
      <protection locked="0"/>
    </xf>
    <xf numFmtId="0" fontId="10" fillId="6" borderId="6" xfId="0" applyFont="1" applyFill="1" applyBorder="1"/>
    <xf numFmtId="179" fontId="9" fillId="2" borderId="7" xfId="62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11" fillId="7" borderId="7" xfId="0" applyFont="1" applyFill="1" applyBorder="1" applyAlignment="1" applyProtection="1">
      <alignment horizontal="center"/>
      <protection locked="0"/>
    </xf>
    <xf numFmtId="0" fontId="11" fillId="7" borderId="8" xfId="0" applyFont="1" applyFill="1" applyBorder="1" applyAlignment="1" applyProtection="1">
      <alignment horizontal="center"/>
      <protection locked="0"/>
    </xf>
    <xf numFmtId="1" fontId="11" fillId="7" borderId="8" xfId="0" applyNumberFormat="1" applyFont="1" applyFill="1" applyBorder="1" applyAlignment="1" applyProtection="1">
      <alignment horizontal="center"/>
      <protection locked="0"/>
    </xf>
    <xf numFmtId="0" fontId="12" fillId="4" borderId="7" xfId="0" applyNumberFormat="1" applyFont="1" applyFill="1" applyBorder="1" applyAlignment="1" applyProtection="1">
      <alignment horizontal="center"/>
      <protection locked="0"/>
    </xf>
    <xf numFmtId="2" fontId="11" fillId="7" borderId="8" xfId="0" applyNumberFormat="1" applyFont="1" applyFill="1" applyBorder="1" applyAlignment="1" applyProtection="1">
      <alignment horizontal="center"/>
      <protection locked="0"/>
    </xf>
    <xf numFmtId="0" fontId="2" fillId="6" borderId="0" xfId="0" applyFont="1" applyFill="1"/>
    <xf numFmtId="14" fontId="7" fillId="2" borderId="6" xfId="0" applyNumberFormat="1" applyFont="1" applyFill="1" applyBorder="1" applyAlignment="1" applyProtection="1">
      <protection locked="0"/>
    </xf>
    <xf numFmtId="0" fontId="3" fillId="0" borderId="2" xfId="0" applyFont="1" applyBorder="1" applyAlignment="1" applyProtection="1">
      <alignment horizontal="right"/>
    </xf>
    <xf numFmtId="0" fontId="3" fillId="0" borderId="3" xfId="0" applyFont="1" applyBorder="1" applyAlignment="1" applyProtection="1">
      <alignment horizontal="right"/>
    </xf>
    <xf numFmtId="14" fontId="7" fillId="4" borderId="2" xfId="0" applyNumberFormat="1" applyFont="1" applyFill="1" applyBorder="1" applyAlignment="1" applyProtection="1">
      <alignment horizontal="left"/>
      <protection locked="0"/>
    </xf>
    <xf numFmtId="2" fontId="9" fillId="2" borderId="4" xfId="62" applyNumberFormat="1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horizontal="center" vertical="center" wrapText="1"/>
    </xf>
    <xf numFmtId="2" fontId="9" fillId="2" borderId="7" xfId="62" applyNumberFormat="1" applyFont="1" applyFill="1" applyBorder="1" applyAlignment="1" applyProtection="1">
      <alignment horizontal="center" vertical="center" wrapText="1"/>
      <protection locked="0"/>
    </xf>
    <xf numFmtId="49" fontId="9" fillId="2" borderId="7" xfId="0" applyNumberFormat="1" applyFont="1" applyFill="1" applyBorder="1" applyAlignment="1" applyProtection="1">
      <alignment horizontal="center" vertical="center" wrapText="1"/>
    </xf>
    <xf numFmtId="0" fontId="3" fillId="7" borderId="8" xfId="0" applyNumberFormat="1" applyFont="1" applyFill="1" applyBorder="1" applyAlignment="1" applyProtection="1">
      <alignment horizontal="center" wrapText="1"/>
      <protection locked="0"/>
    </xf>
    <xf numFmtId="49" fontId="3" fillId="4" borderId="1" xfId="62" applyNumberFormat="1" applyFont="1" applyFill="1" applyBorder="1" applyAlignment="1" applyProtection="1">
      <alignment horizontal="center" wrapText="1"/>
      <protection locked="0"/>
    </xf>
    <xf numFmtId="180" fontId="7" fillId="4" borderId="1" xfId="0" applyNumberFormat="1" applyFont="1" applyFill="1" applyBorder="1" applyAlignment="1" applyProtection="1">
      <alignment horizontal="center"/>
      <protection locked="0"/>
    </xf>
    <xf numFmtId="180" fontId="3" fillId="4" borderId="1" xfId="57" applyNumberFormat="1" applyFont="1" applyFill="1" applyBorder="1" applyAlignment="1" applyProtection="1">
      <alignment horizontal="center" wrapText="1"/>
      <protection locked="0"/>
    </xf>
    <xf numFmtId="10" fontId="3" fillId="4" borderId="1" xfId="3" applyNumberFormat="1" applyFont="1" applyFill="1" applyBorder="1" applyAlignment="1" applyProtection="1">
      <alignment horizontal="center" wrapText="1"/>
      <protection locked="0"/>
    </xf>
    <xf numFmtId="14" fontId="7" fillId="4" borderId="5" xfId="0" applyNumberFormat="1" applyFont="1" applyFill="1" applyBorder="1" applyAlignment="1" applyProtection="1">
      <alignment horizontal="left"/>
      <protection locked="0"/>
    </xf>
    <xf numFmtId="0" fontId="9" fillId="2" borderId="4" xfId="0" applyFont="1" applyFill="1" applyBorder="1" applyAlignment="1" applyProtection="1">
      <alignment wrapText="1"/>
    </xf>
    <xf numFmtId="0" fontId="9" fillId="3" borderId="4" xfId="62" applyFont="1" applyFill="1" applyBorder="1" applyAlignment="1" applyProtection="1">
      <alignment wrapText="1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3" borderId="7" xfId="62" applyFont="1" applyFill="1" applyBorder="1" applyAlignment="1" applyProtection="1">
      <alignment horizontal="center" wrapText="1"/>
    </xf>
    <xf numFmtId="49" fontId="3" fillId="4" borderId="1" xfId="57" applyNumberFormat="1" applyFont="1" applyFill="1" applyBorder="1" applyAlignment="1" applyProtection="1">
      <alignment horizontal="center" vertical="center" wrapText="1"/>
      <protection locked="0"/>
    </xf>
    <xf numFmtId="49" fontId="3" fillId="4" borderId="9" xfId="57" applyNumberFormat="1" applyFont="1" applyFill="1" applyBorder="1" applyAlignment="1" applyProtection="1">
      <alignment horizontal="center" vertical="center" wrapText="1"/>
      <protection locked="0"/>
    </xf>
    <xf numFmtId="180" fontId="3" fillId="2" borderId="9" xfId="0" applyNumberFormat="1" applyFont="1" applyFill="1" applyBorder="1" applyAlignment="1" applyProtection="1">
      <alignment horizontal="center"/>
      <protection locked="0"/>
    </xf>
    <xf numFmtId="14" fontId="7" fillId="4" borderId="3" xfId="0" applyNumberFormat="1" applyFont="1" applyFill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0" fontId="3" fillId="3" borderId="5" xfId="0" applyFont="1" applyFill="1" applyBorder="1" applyAlignment="1" applyProtection="1">
      <alignment horizontal="right"/>
    </xf>
    <xf numFmtId="0" fontId="8" fillId="5" borderId="3" xfId="0" applyFont="1" applyFill="1" applyBorder="1" applyAlignment="1" applyProtection="1">
      <alignment horizontal="center"/>
    </xf>
    <xf numFmtId="0" fontId="9" fillId="3" borderId="4" xfId="62" applyFont="1" applyFill="1" applyBorder="1" applyAlignment="1" applyProtection="1"/>
    <xf numFmtId="0" fontId="9" fillId="3" borderId="7" xfId="62" applyFont="1" applyFill="1" applyBorder="1" applyAlignment="1" applyProtection="1">
      <alignment horizontal="center" vertical="center"/>
    </xf>
    <xf numFmtId="0" fontId="14" fillId="6" borderId="6" xfId="0" applyFont="1" applyFill="1" applyBorder="1"/>
    <xf numFmtId="181" fontId="3" fillId="3" borderId="1" xfId="57" applyNumberFormat="1" applyFont="1" applyFill="1" applyBorder="1" applyAlignment="1" applyProtection="1">
      <alignment horizontal="center"/>
    </xf>
    <xf numFmtId="180" fontId="3" fillId="2" borderId="2" xfId="0" applyNumberFormat="1" applyFont="1" applyFill="1" applyBorder="1" applyAlignment="1" applyProtection="1">
      <alignment horizontal="center"/>
      <protection locked="0"/>
    </xf>
    <xf numFmtId="0" fontId="15" fillId="6" borderId="6" xfId="0" applyFont="1" applyFill="1" applyBorder="1"/>
    <xf numFmtId="0" fontId="16" fillId="6" borderId="6" xfId="0" applyFont="1" applyFill="1" applyBorder="1"/>
    <xf numFmtId="0" fontId="3" fillId="4" borderId="2" xfId="0" applyFont="1" applyFill="1" applyBorder="1" applyAlignment="1" applyProtection="1">
      <alignment horizontal="left"/>
    </xf>
    <xf numFmtId="0" fontId="3" fillId="4" borderId="5" xfId="0" applyFont="1" applyFill="1" applyBorder="1" applyAlignment="1" applyProtection="1">
      <alignment horizontal="left"/>
    </xf>
    <xf numFmtId="2" fontId="9" fillId="3" borderId="4" xfId="62" applyNumberFormat="1" applyFont="1" applyFill="1" applyBorder="1" applyAlignment="1" applyProtection="1"/>
    <xf numFmtId="180" fontId="9" fillId="3" borderId="4" xfId="62" applyNumberFormat="1" applyFont="1" applyFill="1" applyBorder="1" applyAlignment="1" applyProtection="1"/>
    <xf numFmtId="2" fontId="9" fillId="3" borderId="7" xfId="62" applyNumberFormat="1" applyFont="1" applyFill="1" applyBorder="1" applyAlignment="1" applyProtection="1">
      <alignment horizontal="center" vertical="center"/>
    </xf>
    <xf numFmtId="180" fontId="9" fillId="3" borderId="7" xfId="62" applyNumberFormat="1" applyFont="1" applyFill="1" applyBorder="1" applyAlignment="1" applyProtection="1">
      <alignment horizontal="center" vertical="center"/>
    </xf>
    <xf numFmtId="181" fontId="3" fillId="3" borderId="1" xfId="62" applyNumberFormat="1" applyFont="1" applyFill="1" applyBorder="1" applyAlignment="1" applyProtection="1">
      <alignment horizontal="center"/>
    </xf>
    <xf numFmtId="180" fontId="3" fillId="3" borderId="1" xfId="62" applyNumberFormat="1" applyFont="1" applyFill="1" applyBorder="1" applyAlignment="1" applyProtection="1">
      <alignment horizontal="center"/>
    </xf>
    <xf numFmtId="10" fontId="3" fillId="3" borderId="1" xfId="62" applyNumberFormat="1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/>
    </xf>
    <xf numFmtId="0" fontId="3" fillId="4" borderId="3" xfId="0" applyFont="1" applyFill="1" applyBorder="1" applyAlignment="1" applyProtection="1">
      <alignment horizontal="left"/>
    </xf>
    <xf numFmtId="0" fontId="9" fillId="2" borderId="2" xfId="0" applyFont="1" applyFill="1" applyBorder="1" applyAlignment="1" applyProtection="1">
      <alignment horizontal="center" vertical="center" wrapText="1"/>
    </xf>
    <xf numFmtId="0" fontId="9" fillId="2" borderId="3" xfId="0" applyFont="1" applyFill="1" applyBorder="1" applyAlignment="1" applyProtection="1">
      <alignment horizontal="center" vertical="center" wrapText="1"/>
    </xf>
    <xf numFmtId="180" fontId="9" fillId="2" borderId="7" xfId="62" applyNumberFormat="1" applyFont="1" applyFill="1" applyBorder="1" applyAlignment="1" applyProtection="1">
      <alignment horizontal="center" vertical="center"/>
    </xf>
    <xf numFmtId="9" fontId="3" fillId="3" borderId="2" xfId="3" applyFont="1" applyFill="1" applyBorder="1" applyAlignment="1" applyProtection="1">
      <alignment horizontal="center"/>
    </xf>
    <xf numFmtId="180" fontId="3" fillId="3" borderId="2" xfId="3" applyNumberFormat="1" applyFont="1" applyFill="1" applyBorder="1" applyAlignment="1" applyProtection="1">
      <alignment horizontal="center"/>
    </xf>
    <xf numFmtId="176" fontId="3" fillId="3" borderId="2" xfId="3" applyNumberFormat="1" applyFont="1" applyFill="1" applyBorder="1" applyAlignment="1" applyProtection="1">
      <alignment horizontal="center"/>
    </xf>
    <xf numFmtId="2" fontId="3" fillId="4" borderId="3" xfId="0" applyNumberFormat="1" applyFont="1" applyFill="1" applyBorder="1" applyAlignment="1" applyProtection="1">
      <alignment horizontal="center" vertical="center" wrapText="1"/>
    </xf>
    <xf numFmtId="0" fontId="17" fillId="0" borderId="4" xfId="62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vertical="center"/>
    </xf>
    <xf numFmtId="180" fontId="9" fillId="3" borderId="7" xfId="62" applyNumberFormat="1" applyFont="1" applyFill="1" applyBorder="1" applyAlignment="1" applyProtection="1">
      <alignment horizontal="center" vertical="center" wrapText="1"/>
    </xf>
    <xf numFmtId="0" fontId="9" fillId="3" borderId="7" xfId="62" applyFont="1" applyFill="1" applyBorder="1" applyAlignment="1" applyProtection="1">
      <alignment horizontal="center" wrapText="1"/>
      <protection locked="0"/>
    </xf>
    <xf numFmtId="180" fontId="3" fillId="3" borderId="1" xfId="57" applyNumberFormat="1" applyFont="1" applyFill="1" applyBorder="1" applyAlignment="1" applyProtection="1">
      <alignment horizontal="center"/>
      <protection locked="0"/>
    </xf>
    <xf numFmtId="0" fontId="9" fillId="3" borderId="1" xfId="57" applyFont="1" applyFill="1" applyBorder="1" applyAlignment="1" applyProtection="1">
      <alignment horizontal="center"/>
      <protection locked="0"/>
    </xf>
    <xf numFmtId="0" fontId="9" fillId="0" borderId="1" xfId="57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/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vertical="center"/>
    </xf>
    <xf numFmtId="0" fontId="8" fillId="2" borderId="11" xfId="0" applyFont="1" applyFill="1" applyBorder="1" applyAlignment="1" applyProtection="1">
      <alignment vertical="center"/>
    </xf>
    <xf numFmtId="0" fontId="8" fillId="5" borderId="11" xfId="0" applyFont="1" applyFill="1" applyBorder="1" applyAlignment="1" applyProtection="1"/>
    <xf numFmtId="0" fontId="10" fillId="6" borderId="11" xfId="0" applyFont="1" applyFill="1" applyBorder="1"/>
    <xf numFmtId="0" fontId="9" fillId="2" borderId="0" xfId="57" applyFont="1" applyFill="1" applyBorder="1" applyAlignment="1" applyProtection="1">
      <alignment horizontal="center"/>
      <protection locked="0"/>
    </xf>
    <xf numFmtId="0" fontId="9" fillId="2" borderId="11" xfId="57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5" fillId="6" borderId="0" xfId="0" applyFont="1" applyFill="1"/>
    <xf numFmtId="0" fontId="8" fillId="5" borderId="12" xfId="0" applyFont="1" applyFill="1" applyBorder="1" applyAlignment="1" applyProtection="1">
      <alignment horizontal="left" vertical="center"/>
    </xf>
    <xf numFmtId="0" fontId="8" fillId="5" borderId="13" xfId="0" applyFont="1" applyFill="1" applyBorder="1" applyAlignment="1" applyProtection="1">
      <alignment horizontal="left" vertical="center"/>
    </xf>
    <xf numFmtId="0" fontId="8" fillId="5" borderId="9" xfId="0" applyFont="1" applyFill="1" applyBorder="1" applyAlignment="1" applyProtection="1">
      <alignment vertical="center"/>
    </xf>
    <xf numFmtId="0" fontId="8" fillId="5" borderId="14" xfId="0" applyFont="1" applyFill="1" applyBorder="1" applyAlignment="1" applyProtection="1">
      <alignment vertical="center"/>
    </xf>
    <xf numFmtId="0" fontId="9" fillId="3" borderId="1" xfId="62" applyFont="1" applyFill="1" applyBorder="1" applyAlignment="1" applyProtection="1">
      <alignment horizontal="center" vertical="center"/>
      <protection locked="0"/>
    </xf>
    <xf numFmtId="180" fontId="18" fillId="0" borderId="1" xfId="0" applyNumberFormat="1" applyFont="1" applyBorder="1" applyAlignment="1">
      <alignment horizontal="center"/>
    </xf>
    <xf numFmtId="180" fontId="19" fillId="0" borderId="1" xfId="0" applyNumberFormat="1" applyFont="1" applyBorder="1" applyAlignment="1">
      <alignment horizontal="center"/>
    </xf>
    <xf numFmtId="0" fontId="8" fillId="5" borderId="15" xfId="0" applyFont="1" applyFill="1" applyBorder="1" applyAlignment="1" applyProtection="1">
      <alignment horizontal="left" vertical="center"/>
    </xf>
    <xf numFmtId="0" fontId="8" fillId="5" borderId="8" xfId="0" applyFont="1" applyFill="1" applyBorder="1" applyAlignment="1" applyProtection="1">
      <alignment vertical="center"/>
    </xf>
    <xf numFmtId="0" fontId="9" fillId="3" borderId="2" xfId="62" applyFont="1" applyFill="1" applyBorder="1" applyAlignment="1" applyProtection="1">
      <alignment horizontal="center" vertical="center"/>
      <protection locked="0"/>
    </xf>
    <xf numFmtId="180" fontId="18" fillId="0" borderId="2" xfId="0" applyNumberFormat="1" applyFont="1" applyBorder="1" applyAlignment="1">
      <alignment horizontal="center"/>
    </xf>
    <xf numFmtId="0" fontId="9" fillId="3" borderId="16" xfId="62" applyFont="1" applyFill="1" applyBorder="1" applyAlignment="1" applyProtection="1">
      <alignment horizontal="center" vertical="center"/>
      <protection locked="0"/>
    </xf>
    <xf numFmtId="180" fontId="3" fillId="3" borderId="16" xfId="57" applyNumberFormat="1" applyFont="1" applyFill="1" applyBorder="1" applyAlignment="1" applyProtection="1">
      <alignment horizontal="center"/>
      <protection locked="0"/>
    </xf>
    <xf numFmtId="0" fontId="14" fillId="0" borderId="1" xfId="0" applyFont="1" applyBorder="1"/>
    <xf numFmtId="180" fontId="20" fillId="3" borderId="16" xfId="57" applyNumberFormat="1" applyFont="1" applyFill="1" applyBorder="1" applyAlignment="1" applyProtection="1">
      <alignment horizontal="center"/>
      <protection locked="0"/>
    </xf>
    <xf numFmtId="0" fontId="21" fillId="0" borderId="1" xfId="0" applyFont="1" applyBorder="1"/>
    <xf numFmtId="0" fontId="22" fillId="0" borderId="0" xfId="0" applyFont="1"/>
    <xf numFmtId="0" fontId="23" fillId="7" borderId="7" xfId="0" applyFont="1" applyFill="1" applyBorder="1" applyAlignment="1" applyProtection="1">
      <alignment horizontal="center"/>
      <protection locked="0"/>
    </xf>
    <xf numFmtId="2" fontId="23" fillId="7" borderId="8" xfId="0" applyNumberFormat="1" applyFont="1" applyFill="1" applyBorder="1" applyAlignment="1" applyProtection="1">
      <alignment horizontal="center"/>
      <protection locked="0"/>
    </xf>
    <xf numFmtId="0" fontId="14" fillId="4" borderId="7" xfId="0" applyNumberFormat="1" applyFont="1" applyFill="1" applyBorder="1" applyAlignment="1" applyProtection="1">
      <alignment horizontal="center"/>
      <protection locked="0"/>
    </xf>
    <xf numFmtId="0" fontId="23" fillId="7" borderId="8" xfId="0" applyFont="1" applyFill="1" applyBorder="1" applyAlignment="1" applyProtection="1">
      <alignment horizontal="center"/>
      <protection locked="0"/>
    </xf>
    <xf numFmtId="0" fontId="13" fillId="2" borderId="4" xfId="0" applyFont="1" applyFill="1" applyBorder="1" applyAlignment="1" applyProtection="1" quotePrefix="1">
      <alignment horizontal="center" vertical="center" wrapText="1"/>
    </xf>
    <xf numFmtId="49" fontId="9" fillId="2" borderId="7" xfId="0" applyNumberFormat="1" applyFont="1" applyFill="1" applyBorder="1" applyAlignment="1" applyProtection="1" quotePrefix="1">
      <alignment horizontal="center" vertical="center" wrapText="1"/>
    </xf>
    <xf numFmtId="180" fontId="9" fillId="2" borderId="7" xfId="62" applyNumberFormat="1" applyFont="1" applyFill="1" applyBorder="1" applyAlignment="1" applyProtection="1" quotePrefix="1">
      <alignment horizontal="center" vertical="center"/>
    </xf>
    <xf numFmtId="180" fontId="9" fillId="3" borderId="7" xfId="62" applyNumberFormat="1" applyFont="1" applyFill="1" applyBorder="1" applyAlignment="1" applyProtection="1" quotePrefix="1">
      <alignment horizontal="center" vertical="center"/>
    </xf>
    <xf numFmtId="180" fontId="9" fillId="3" borderId="7" xfId="62" applyNumberFormat="1" applyFont="1" applyFill="1" applyBorder="1" applyAlignment="1" applyProtection="1" quotePrefix="1">
      <alignment horizontal="center" vertical="center" wrapText="1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__CPK__" xfId="49"/>
    <cellStyle name="Calc Percent (0)" xfId="50"/>
    <cellStyle name="Enter Currency (0)" xfId="51"/>
    <cellStyle name="Header1" xfId="52"/>
    <cellStyle name="Header2" xfId="53"/>
    <cellStyle name="Link Currency (0)" xfId="54"/>
    <cellStyle name="Normal 2" xfId="55"/>
    <cellStyle name="Normal 2 2" xfId="56"/>
    <cellStyle name="Normal_Capability Study - IPEG EVT1 0713a.xls" xfId="57"/>
    <cellStyle name="Percent 2" xfId="58"/>
    <cellStyle name="PrePop Currency (0)" xfId="59"/>
    <cellStyle name="Text Indent A" xfId="60"/>
    <cellStyle name="Text Indent B" xfId="61"/>
    <cellStyle name="常规_8364B 2009415" xfId="62"/>
  </cellStyles>
  <dxfs count="12">
    <dxf>
      <font>
        <color auto="1"/>
      </font>
      <fill>
        <patternFill patternType="solid">
          <bgColor theme="3" tint="0.59999389629810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81688894314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499984740745262"/>
      </font>
      <fill>
        <patternFill patternType="solid">
          <bgColor theme="0" tint="-0.149998474074526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theme="0" tint="-0.249977111117893"/>
      </font>
      <fill>
        <patternFill patternType="none"/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{13.24,13.264,13.288,13.312,13.336,13.36,13.384,13.408,13.432,13.456,13.48,13.504,13.528,13.552,13.576,13.6,13.624,13.648,13.672,13.696,13.72}</c:f>
              <c:numCache>
                <c:formatCode>General</c:formatCode>
                <c:ptCount val="21"/>
                <c:pt idx="0">
                  <c:v>13.24</c:v>
                </c:pt>
                <c:pt idx="1">
                  <c:v>13.264</c:v>
                </c:pt>
                <c:pt idx="2">
                  <c:v>13.288</c:v>
                </c:pt>
                <c:pt idx="3">
                  <c:v>13.312</c:v>
                </c:pt>
                <c:pt idx="4">
                  <c:v>13.336</c:v>
                </c:pt>
                <c:pt idx="5">
                  <c:v>13.36</c:v>
                </c:pt>
                <c:pt idx="6">
                  <c:v>13.384</c:v>
                </c:pt>
                <c:pt idx="7">
                  <c:v>13.408</c:v>
                </c:pt>
                <c:pt idx="8">
                  <c:v>13.432</c:v>
                </c:pt>
                <c:pt idx="9">
                  <c:v>13.456</c:v>
                </c:pt>
                <c:pt idx="10">
                  <c:v>13.48</c:v>
                </c:pt>
                <c:pt idx="11">
                  <c:v>13.504</c:v>
                </c:pt>
                <c:pt idx="12">
                  <c:v>13.528</c:v>
                </c:pt>
                <c:pt idx="13">
                  <c:v>13.552</c:v>
                </c:pt>
                <c:pt idx="14">
                  <c:v>13.576</c:v>
                </c:pt>
                <c:pt idx="15">
                  <c:v>13.6</c:v>
                </c:pt>
                <c:pt idx="16">
                  <c:v>13.624</c:v>
                </c:pt>
                <c:pt idx="17">
                  <c:v>13.648</c:v>
                </c:pt>
                <c:pt idx="18">
                  <c:v>13.672</c:v>
                </c:pt>
                <c:pt idx="19">
                  <c:v>13.696</c:v>
                </c:pt>
                <c:pt idx="20">
                  <c:v>13.72</c:v>
                </c:pt>
              </c:numCache>
            </c:numRef>
          </c:cat>
          <c:val>
            <c:numRef>
              <c:f>{0,1,1,0,3,20,53,122,216,311,472,567,560,511,340,220,96,31,9,0,0}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20</c:v>
                </c:pt>
                <c:pt idx="6">
                  <c:v>53</c:v>
                </c:pt>
                <c:pt idx="7">
                  <c:v>122</c:v>
                </c:pt>
                <c:pt idx="8">
                  <c:v>216</c:v>
                </c:pt>
                <c:pt idx="9">
                  <c:v>311</c:v>
                </c:pt>
                <c:pt idx="10">
                  <c:v>472</c:v>
                </c:pt>
                <c:pt idx="11">
                  <c:v>567</c:v>
                </c:pt>
                <c:pt idx="12">
                  <c:v>560</c:v>
                </c:pt>
                <c:pt idx="13">
                  <c:v>511</c:v>
                </c:pt>
                <c:pt idx="14">
                  <c:v>340</c:v>
                </c:pt>
                <c:pt idx="15">
                  <c:v>220</c:v>
                </c:pt>
                <c:pt idx="16">
                  <c:v>96</c:v>
                </c:pt>
                <c:pt idx="17">
                  <c:v>31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44734152"/>
        <c:axId val="2144737080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0.0000281423764108834,0.000207639588381491,0.00128575912832599,0.00668204022989158,0.0291446420815867,0.106686242595537,0.327761567189568,0.845099288139588,1.82876349931851,3.32129502354437,5.06241174761716,6.47601098167735,6.95276880717878,6.26481284193241,4.73760135890164,3.00683106676154,1.60162059100592,0.715995609479151,0.268634121650334,0.0845886497437203,0}</c:f>
              <c:numCache>
                <c:formatCode>General</c:formatCode>
                <c:ptCount val="21"/>
                <c:pt idx="0">
                  <c:v>2.81423764108834e-5</c:v>
                </c:pt>
                <c:pt idx="1">
                  <c:v>0.000207639588381491</c:v>
                </c:pt>
                <c:pt idx="2">
                  <c:v>0.00128575912832599</c:v>
                </c:pt>
                <c:pt idx="3">
                  <c:v>0.00668204022989158</c:v>
                </c:pt>
                <c:pt idx="4">
                  <c:v>0.0291446420815867</c:v>
                </c:pt>
                <c:pt idx="5">
                  <c:v>0.106686242595537</c:v>
                </c:pt>
                <c:pt idx="6">
                  <c:v>0.327761567189568</c:v>
                </c:pt>
                <c:pt idx="7">
                  <c:v>0.845099288139588</c:v>
                </c:pt>
                <c:pt idx="8">
                  <c:v>1.82876349931851</c:v>
                </c:pt>
                <c:pt idx="9">
                  <c:v>3.32129502354437</c:v>
                </c:pt>
                <c:pt idx="10">
                  <c:v>5.06241174761716</c:v>
                </c:pt>
                <c:pt idx="11">
                  <c:v>6.47601098167735</c:v>
                </c:pt>
                <c:pt idx="12">
                  <c:v>6.95276880717878</c:v>
                </c:pt>
                <c:pt idx="13">
                  <c:v>6.26481284193241</c:v>
                </c:pt>
                <c:pt idx="14">
                  <c:v>4.73760135890164</c:v>
                </c:pt>
                <c:pt idx="15">
                  <c:v>3.00683106676154</c:v>
                </c:pt>
                <c:pt idx="16">
                  <c:v>1.60162059100592</c:v>
                </c:pt>
                <c:pt idx="17">
                  <c:v>0.715995609479151</c:v>
                </c:pt>
                <c:pt idx="18">
                  <c:v>0.268634121650334</c:v>
                </c:pt>
                <c:pt idx="19">
                  <c:v>0.0845886497437203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743848"/>
        <c:axId val="2144740792"/>
      </c:scatterChart>
      <c:catAx>
        <c:axId val="214473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37080"/>
        <c:crosses val="autoZero"/>
        <c:auto val="1"/>
        <c:lblAlgn val="ctr"/>
        <c:lblOffset val="100"/>
        <c:noMultiLvlLbl val="0"/>
      </c:catAx>
      <c:valAx>
        <c:axId val="2144737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34152"/>
        <c:crosses val="autoZero"/>
        <c:crossBetween val="between"/>
      </c:valAx>
      <c:valAx>
        <c:axId val="214474384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144740792"/>
        <c:crosses val="autoZero"/>
        <c:crossBetween val="midCat"/>
      </c:valAx>
      <c:valAx>
        <c:axId val="2144740792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4384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{19.32,19.347,19.373,19.399,19.425,19.451,19.477,19.504,19.53,19.556,19.582,19.608,19.634,19.66,19.687,19.713,19.739,19.765,19.791,19.817,19.844}</c:f>
              <c:numCache>
                <c:formatCode>General</c:formatCode>
                <c:ptCount val="21"/>
                <c:pt idx="0">
                  <c:v>19.32</c:v>
                </c:pt>
                <c:pt idx="1">
                  <c:v>19.347</c:v>
                </c:pt>
                <c:pt idx="2">
                  <c:v>19.373</c:v>
                </c:pt>
                <c:pt idx="3">
                  <c:v>19.399</c:v>
                </c:pt>
                <c:pt idx="4">
                  <c:v>19.425</c:v>
                </c:pt>
                <c:pt idx="5">
                  <c:v>19.451</c:v>
                </c:pt>
                <c:pt idx="6">
                  <c:v>19.477</c:v>
                </c:pt>
                <c:pt idx="7">
                  <c:v>19.504</c:v>
                </c:pt>
                <c:pt idx="8">
                  <c:v>19.53</c:v>
                </c:pt>
                <c:pt idx="9">
                  <c:v>19.556</c:v>
                </c:pt>
                <c:pt idx="10">
                  <c:v>19.582</c:v>
                </c:pt>
                <c:pt idx="11">
                  <c:v>19.608</c:v>
                </c:pt>
                <c:pt idx="12">
                  <c:v>19.634</c:v>
                </c:pt>
                <c:pt idx="13">
                  <c:v>19.66</c:v>
                </c:pt>
                <c:pt idx="14">
                  <c:v>19.687</c:v>
                </c:pt>
                <c:pt idx="15">
                  <c:v>19.713</c:v>
                </c:pt>
                <c:pt idx="16">
                  <c:v>19.739</c:v>
                </c:pt>
                <c:pt idx="17">
                  <c:v>19.765</c:v>
                </c:pt>
                <c:pt idx="18">
                  <c:v>19.791</c:v>
                </c:pt>
                <c:pt idx="19">
                  <c:v>19.817</c:v>
                </c:pt>
                <c:pt idx="20">
                  <c:v>19.844</c:v>
                </c:pt>
              </c:numCache>
            </c:numRef>
          </c:cat>
          <c:val>
            <c:numRef>
              <c:f>{0,3,8,29,72,147,381,638,732,648,484,252,107,29,3,0,0,0,0,0,0}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29</c:v>
                </c:pt>
                <c:pt idx="4">
                  <c:v>72</c:v>
                </c:pt>
                <c:pt idx="5">
                  <c:v>147</c:v>
                </c:pt>
                <c:pt idx="6">
                  <c:v>381</c:v>
                </c:pt>
                <c:pt idx="7">
                  <c:v>638</c:v>
                </c:pt>
                <c:pt idx="8">
                  <c:v>732</c:v>
                </c:pt>
                <c:pt idx="9">
                  <c:v>648</c:v>
                </c:pt>
                <c:pt idx="10">
                  <c:v>484</c:v>
                </c:pt>
                <c:pt idx="11">
                  <c:v>252</c:v>
                </c:pt>
                <c:pt idx="12">
                  <c:v>107</c:v>
                </c:pt>
                <c:pt idx="13">
                  <c:v>29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249304"/>
        <c:axId val="206225223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0.000299344877469068,0.00274526166861288,0.0191908660947427,0.102259631295386,0.41534881287974,1.28593970070842,3.0347793153164,5.459244007475,7.48577512636595,7.82419971259229,6.23364473534138,3.78567373600635,1.7524406991511,0.618361573676185,0.166318542672347,0.0340987031680861,0.00532885702316296,0.00063478884712574,0.0000576399402482448,3.98948439130057E-06,0}</c:f>
              <c:numCache>
                <c:formatCode>General</c:formatCode>
                <c:ptCount val="21"/>
                <c:pt idx="0">
                  <c:v>0.000299344877469068</c:v>
                </c:pt>
                <c:pt idx="1">
                  <c:v>0.00274526166861288</c:v>
                </c:pt>
                <c:pt idx="2">
                  <c:v>0.0191908660947427</c:v>
                </c:pt>
                <c:pt idx="3">
                  <c:v>0.102259631295386</c:v>
                </c:pt>
                <c:pt idx="4">
                  <c:v>0.41534881287974</c:v>
                </c:pt>
                <c:pt idx="5">
                  <c:v>1.28593970070842</c:v>
                </c:pt>
                <c:pt idx="6">
                  <c:v>3.0347793153164</c:v>
                </c:pt>
                <c:pt idx="7">
                  <c:v>5.459244007475</c:v>
                </c:pt>
                <c:pt idx="8">
                  <c:v>7.48577512636595</c:v>
                </c:pt>
                <c:pt idx="9">
                  <c:v>7.82419971259229</c:v>
                </c:pt>
                <c:pt idx="10">
                  <c:v>6.23364473534138</c:v>
                </c:pt>
                <c:pt idx="11">
                  <c:v>3.78567373600635</c:v>
                </c:pt>
                <c:pt idx="12">
                  <c:v>1.7524406991511</c:v>
                </c:pt>
                <c:pt idx="13">
                  <c:v>0.618361573676185</c:v>
                </c:pt>
                <c:pt idx="14">
                  <c:v>0.166318542672347</c:v>
                </c:pt>
                <c:pt idx="15">
                  <c:v>0.0340987031680861</c:v>
                </c:pt>
                <c:pt idx="16">
                  <c:v>0.00532885702316296</c:v>
                </c:pt>
                <c:pt idx="17">
                  <c:v>0.00063478884712574</c:v>
                </c:pt>
                <c:pt idx="18">
                  <c:v>5.76399402482448e-5</c:v>
                </c:pt>
                <c:pt idx="19">
                  <c:v>3.98948439130057e-6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259000"/>
        <c:axId val="2062255944"/>
      </c:scatterChart>
      <c:catAx>
        <c:axId val="206224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52232"/>
        <c:crosses val="autoZero"/>
        <c:auto val="1"/>
        <c:lblAlgn val="ctr"/>
        <c:lblOffset val="100"/>
        <c:noMultiLvlLbl val="0"/>
      </c:catAx>
      <c:valAx>
        <c:axId val="2062252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49304"/>
        <c:crosses val="autoZero"/>
        <c:crossBetween val="between"/>
      </c:valAx>
      <c:valAx>
        <c:axId val="20622590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255944"/>
        <c:crosses val="autoZero"/>
        <c:crossBetween val="midCat"/>
      </c:valAx>
      <c:valAx>
        <c:axId val="206225594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590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{15.63,15.654,15.678,15.702,15.726,15.75,15.774,15.798,15.822,15.846,15.87,15.894,15.918,15.942,15.966,15.99,16.014,16.038,16.062,16.086,16.11}</c:f>
              <c:numCache>
                <c:formatCode>General</c:formatCode>
                <c:ptCount val="21"/>
                <c:pt idx="0">
                  <c:v>15.63</c:v>
                </c:pt>
                <c:pt idx="1">
                  <c:v>15.654</c:v>
                </c:pt>
                <c:pt idx="2">
                  <c:v>15.678</c:v>
                </c:pt>
                <c:pt idx="3">
                  <c:v>15.702</c:v>
                </c:pt>
                <c:pt idx="4">
                  <c:v>15.726</c:v>
                </c:pt>
                <c:pt idx="5">
                  <c:v>15.75</c:v>
                </c:pt>
                <c:pt idx="6">
                  <c:v>15.774</c:v>
                </c:pt>
                <c:pt idx="7">
                  <c:v>15.798</c:v>
                </c:pt>
                <c:pt idx="8">
                  <c:v>15.822</c:v>
                </c:pt>
                <c:pt idx="9">
                  <c:v>15.846</c:v>
                </c:pt>
                <c:pt idx="10">
                  <c:v>15.87</c:v>
                </c:pt>
                <c:pt idx="11">
                  <c:v>15.894</c:v>
                </c:pt>
                <c:pt idx="12">
                  <c:v>15.918</c:v>
                </c:pt>
                <c:pt idx="13">
                  <c:v>15.942</c:v>
                </c:pt>
                <c:pt idx="14">
                  <c:v>15.966</c:v>
                </c:pt>
                <c:pt idx="15">
                  <c:v>15.99</c:v>
                </c:pt>
                <c:pt idx="16">
                  <c:v>16.014</c:v>
                </c:pt>
                <c:pt idx="17">
                  <c:v>16.038</c:v>
                </c:pt>
                <c:pt idx="18">
                  <c:v>16.062</c:v>
                </c:pt>
                <c:pt idx="19">
                  <c:v>16.086</c:v>
                </c:pt>
                <c:pt idx="20">
                  <c:v>16.11</c:v>
                </c:pt>
              </c:numCache>
            </c:numRef>
          </c:cat>
          <c:val>
            <c:numRef>
              <c:f>{0,0,0,0,2,12,22,64,303,568,715,715,638,375,101,15,3,0,0,0,0}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22</c:v>
                </c:pt>
                <c:pt idx="7">
                  <c:v>64</c:v>
                </c:pt>
                <c:pt idx="8">
                  <c:v>303</c:v>
                </c:pt>
                <c:pt idx="9">
                  <c:v>568</c:v>
                </c:pt>
                <c:pt idx="10">
                  <c:v>715</c:v>
                </c:pt>
                <c:pt idx="11">
                  <c:v>715</c:v>
                </c:pt>
                <c:pt idx="12">
                  <c:v>638</c:v>
                </c:pt>
                <c:pt idx="13">
                  <c:v>375</c:v>
                </c:pt>
                <c:pt idx="14">
                  <c:v>101</c:v>
                </c:pt>
                <c:pt idx="15">
                  <c:v>15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319496"/>
        <c:axId val="206232250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5.95111756841092E-09,2.30930590674484E-07,6.34068101303066E-06,0.000123186113215509,0.00169339896777919,0.0164713163417926,0.113362278970617,0.552052525044482,1.90223341235985,4.63787226555236,8.00101958415399,9.76660123592352,8.435545093144,5.15530565086911,2.22929354955136,0.68210568982903,0.147675230576428,0.0226222196869087,0.00245207836786559,0.000188063731517512,0}</c:f>
              <c:numCache>
                <c:formatCode>General</c:formatCode>
                <c:ptCount val="21"/>
                <c:pt idx="0">
                  <c:v>5.95111756841092e-9</c:v>
                </c:pt>
                <c:pt idx="1">
                  <c:v>2.30930590674484e-7</c:v>
                </c:pt>
                <c:pt idx="2">
                  <c:v>6.34068101303066e-6</c:v>
                </c:pt>
                <c:pt idx="3">
                  <c:v>0.000123186113215509</c:v>
                </c:pt>
                <c:pt idx="4">
                  <c:v>0.00169339896777919</c:v>
                </c:pt>
                <c:pt idx="5">
                  <c:v>0.0164713163417926</c:v>
                </c:pt>
                <c:pt idx="6">
                  <c:v>0.113362278970617</c:v>
                </c:pt>
                <c:pt idx="7">
                  <c:v>0.552052525044482</c:v>
                </c:pt>
                <c:pt idx="8">
                  <c:v>1.90223341235985</c:v>
                </c:pt>
                <c:pt idx="9">
                  <c:v>4.63787226555236</c:v>
                </c:pt>
                <c:pt idx="10">
                  <c:v>8.00101958415399</c:v>
                </c:pt>
                <c:pt idx="11">
                  <c:v>9.76660123592352</c:v>
                </c:pt>
                <c:pt idx="12">
                  <c:v>8.435545093144</c:v>
                </c:pt>
                <c:pt idx="13">
                  <c:v>5.15530565086911</c:v>
                </c:pt>
                <c:pt idx="14">
                  <c:v>2.22929354955136</c:v>
                </c:pt>
                <c:pt idx="15">
                  <c:v>0.68210568982903</c:v>
                </c:pt>
                <c:pt idx="16">
                  <c:v>0.147675230576428</c:v>
                </c:pt>
                <c:pt idx="17">
                  <c:v>0.0226222196869087</c:v>
                </c:pt>
                <c:pt idx="18">
                  <c:v>0.00245207836786559</c:v>
                </c:pt>
                <c:pt idx="19">
                  <c:v>0.000188063731517512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{10,10}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29032"/>
        <c:axId val="2062325976"/>
      </c:scatterChart>
      <c:catAx>
        <c:axId val="206231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22504"/>
        <c:crosses val="autoZero"/>
        <c:auto val="1"/>
        <c:lblAlgn val="ctr"/>
        <c:lblOffset val="100"/>
        <c:noMultiLvlLbl val="0"/>
      </c:catAx>
      <c:valAx>
        <c:axId val="2062322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19496"/>
        <c:crosses val="autoZero"/>
        <c:crossBetween val="between"/>
      </c:valAx>
      <c:valAx>
        <c:axId val="206232903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325976"/>
        <c:crosses val="autoZero"/>
        <c:crossBetween val="midCat"/>
      </c:valAx>
      <c:valAx>
        <c:axId val="2062325976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2903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{37.913,38.325,38.737,39.15,39.562,39.974,40.386,40.798,41.211,41.623,42.035,42.447,42.859,43.272,43.684,44.096,44.508,44.92,45.333,45.745,46.157}</c:f>
              <c:numCache>
                <c:formatCode>General</c:formatCode>
                <c:ptCount val="21"/>
                <c:pt idx="0">
                  <c:v>37.913</c:v>
                </c:pt>
                <c:pt idx="1">
                  <c:v>38.325</c:v>
                </c:pt>
                <c:pt idx="2">
                  <c:v>38.737</c:v>
                </c:pt>
                <c:pt idx="3">
                  <c:v>39.15</c:v>
                </c:pt>
                <c:pt idx="4">
                  <c:v>39.562</c:v>
                </c:pt>
                <c:pt idx="5">
                  <c:v>39.974</c:v>
                </c:pt>
                <c:pt idx="6">
                  <c:v>40.386</c:v>
                </c:pt>
                <c:pt idx="7">
                  <c:v>40.798</c:v>
                </c:pt>
                <c:pt idx="8">
                  <c:v>41.211</c:v>
                </c:pt>
                <c:pt idx="9">
                  <c:v>41.623</c:v>
                </c:pt>
                <c:pt idx="10">
                  <c:v>42.035</c:v>
                </c:pt>
                <c:pt idx="11">
                  <c:v>42.447</c:v>
                </c:pt>
                <c:pt idx="12">
                  <c:v>42.859</c:v>
                </c:pt>
                <c:pt idx="13">
                  <c:v>43.272</c:v>
                </c:pt>
                <c:pt idx="14">
                  <c:v>43.684</c:v>
                </c:pt>
                <c:pt idx="15">
                  <c:v>44.096</c:v>
                </c:pt>
                <c:pt idx="16">
                  <c:v>44.508</c:v>
                </c:pt>
                <c:pt idx="17">
                  <c:v>44.92</c:v>
                </c:pt>
                <c:pt idx="18">
                  <c:v>45.333</c:v>
                </c:pt>
                <c:pt idx="19">
                  <c:v>45.745</c:v>
                </c:pt>
                <c:pt idx="20">
                  <c:v>46.157</c:v>
                </c:pt>
              </c:numCache>
            </c:numRef>
          </c:cat>
          <c:val>
            <c:numRef>
              <c:f>{0,0,3,3,5,8,26,76,334,640,759,708,477,270,140,75,5,3,1,0,0}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26</c:v>
                </c:pt>
                <c:pt idx="7">
                  <c:v>76</c:v>
                </c:pt>
                <c:pt idx="8">
                  <c:v>334</c:v>
                </c:pt>
                <c:pt idx="9">
                  <c:v>640</c:v>
                </c:pt>
                <c:pt idx="10">
                  <c:v>759</c:v>
                </c:pt>
                <c:pt idx="11">
                  <c:v>708</c:v>
                </c:pt>
                <c:pt idx="12">
                  <c:v>477</c:v>
                </c:pt>
                <c:pt idx="13">
                  <c:v>270</c:v>
                </c:pt>
                <c:pt idx="14">
                  <c:v>140</c:v>
                </c:pt>
                <c:pt idx="15">
                  <c:v>75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386216"/>
        <c:axId val="206238922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1.36524596821481E-08,2.84364934035357E-07,4.43257687722317E-06,0.000051707252759169,0.000451400503212439,0.00294908760916071,0.0144187751914863,0.0527574902718258,0.144462439732446,0.296033475126088,0.453985196110086,0.521024044143355,0.447495884995151,0.28763089517442,0.138355754181328,0.0498051354455564,0.0134173340118762,0.00270503907709991,0.00040812769055748,0.0000460822617437617,0}</c:f>
              <c:numCache>
                <c:formatCode>General</c:formatCode>
                <c:ptCount val="21"/>
                <c:pt idx="0">
                  <c:v>1.36524596821481e-8</c:v>
                </c:pt>
                <c:pt idx="1">
                  <c:v>2.84364934035357e-7</c:v>
                </c:pt>
                <c:pt idx="2">
                  <c:v>4.43257687722317e-6</c:v>
                </c:pt>
                <c:pt idx="3">
                  <c:v>5.1707252759169e-5</c:v>
                </c:pt>
                <c:pt idx="4">
                  <c:v>0.000451400503212439</c:v>
                </c:pt>
                <c:pt idx="5">
                  <c:v>0.00294908760916071</c:v>
                </c:pt>
                <c:pt idx="6">
                  <c:v>0.0144187751914863</c:v>
                </c:pt>
                <c:pt idx="7">
                  <c:v>0.0527574902718258</c:v>
                </c:pt>
                <c:pt idx="8">
                  <c:v>0.144462439732446</c:v>
                </c:pt>
                <c:pt idx="9">
                  <c:v>0.296033475126088</c:v>
                </c:pt>
                <c:pt idx="10">
                  <c:v>0.453985196110086</c:v>
                </c:pt>
                <c:pt idx="11">
                  <c:v>0.521024044143355</c:v>
                </c:pt>
                <c:pt idx="12">
                  <c:v>0.447495884995151</c:v>
                </c:pt>
                <c:pt idx="13">
                  <c:v>0.28763089517442</c:v>
                </c:pt>
                <c:pt idx="14">
                  <c:v>0.138355754181328</c:v>
                </c:pt>
                <c:pt idx="15">
                  <c:v>0.0498051354455564</c:v>
                </c:pt>
                <c:pt idx="16">
                  <c:v>0.0134173340118762</c:v>
                </c:pt>
                <c:pt idx="17">
                  <c:v>0.00270503907709991</c:v>
                </c:pt>
                <c:pt idx="18">
                  <c:v>0.00040812769055748</c:v>
                </c:pt>
                <c:pt idx="19">
                  <c:v>4.60822617437617e-5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{9,9}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{17,17}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95752"/>
        <c:axId val="2062392696"/>
      </c:scatterChart>
      <c:catAx>
        <c:axId val="206238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89224"/>
        <c:crosses val="autoZero"/>
        <c:auto val="1"/>
        <c:lblAlgn val="ctr"/>
        <c:lblOffset val="100"/>
        <c:noMultiLvlLbl val="0"/>
      </c:catAx>
      <c:valAx>
        <c:axId val="20623892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86216"/>
        <c:crosses val="autoZero"/>
        <c:crossBetween val="between"/>
      </c:valAx>
      <c:valAx>
        <c:axId val="206239575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392696"/>
        <c:crosses val="autoZero"/>
        <c:crossBetween val="midCat"/>
      </c:valAx>
      <c:valAx>
        <c:axId val="2062392696"/>
        <c:scaling>
          <c:orientation val="minMax"/>
          <c:max val="0.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9575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{38,38.36,38.72,39.08,39.44,39.8,40.16,40.52,40.88,41.24,41.6,41.96,42.32,42.68,43.04,43.4,43.76,44.12,44.48,44.84,45.2}</c:f>
              <c:numCache>
                <c:formatCode>General</c:formatCode>
                <c:ptCount val="21"/>
                <c:pt idx="0">
                  <c:v>38</c:v>
                </c:pt>
                <c:pt idx="1">
                  <c:v>38.36</c:v>
                </c:pt>
                <c:pt idx="2">
                  <c:v>38.72</c:v>
                </c:pt>
                <c:pt idx="3">
                  <c:v>39.08</c:v>
                </c:pt>
                <c:pt idx="4">
                  <c:v>39.44</c:v>
                </c:pt>
                <c:pt idx="5">
                  <c:v>39.8</c:v>
                </c:pt>
                <c:pt idx="6">
                  <c:v>40.16</c:v>
                </c:pt>
                <c:pt idx="7">
                  <c:v>40.52</c:v>
                </c:pt>
                <c:pt idx="8">
                  <c:v>40.88</c:v>
                </c:pt>
                <c:pt idx="9">
                  <c:v>41.24</c:v>
                </c:pt>
                <c:pt idx="10">
                  <c:v>41.6</c:v>
                </c:pt>
                <c:pt idx="11">
                  <c:v>41.96</c:v>
                </c:pt>
                <c:pt idx="12">
                  <c:v>42.32</c:v>
                </c:pt>
                <c:pt idx="13">
                  <c:v>42.68</c:v>
                </c:pt>
                <c:pt idx="14">
                  <c:v>43.04</c:v>
                </c:pt>
                <c:pt idx="15">
                  <c:v>43.4</c:v>
                </c:pt>
                <c:pt idx="16">
                  <c:v>43.76</c:v>
                </c:pt>
                <c:pt idx="17">
                  <c:v>44.12</c:v>
                </c:pt>
                <c:pt idx="18">
                  <c:v>44.48</c:v>
                </c:pt>
                <c:pt idx="19">
                  <c:v>44.84</c:v>
                </c:pt>
                <c:pt idx="20">
                  <c:v>45.2</c:v>
                </c:pt>
              </c:numCache>
            </c:numRef>
          </c:cat>
          <c:val>
            <c:numRef>
              <c:f>{0,0,7,10,24,88,229,384,502,574,732,573,273,87,28,11,9,1,1,0,0}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10</c:v>
                </c:pt>
                <c:pt idx="4">
                  <c:v>24</c:v>
                </c:pt>
                <c:pt idx="5">
                  <c:v>88</c:v>
                </c:pt>
                <c:pt idx="6">
                  <c:v>229</c:v>
                </c:pt>
                <c:pt idx="7">
                  <c:v>384</c:v>
                </c:pt>
                <c:pt idx="8">
                  <c:v>502</c:v>
                </c:pt>
                <c:pt idx="9">
                  <c:v>574</c:v>
                </c:pt>
                <c:pt idx="10">
                  <c:v>732</c:v>
                </c:pt>
                <c:pt idx="11">
                  <c:v>573</c:v>
                </c:pt>
                <c:pt idx="12">
                  <c:v>273</c:v>
                </c:pt>
                <c:pt idx="13">
                  <c:v>87</c:v>
                </c:pt>
                <c:pt idx="14">
                  <c:v>28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452936"/>
        <c:axId val="206245594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8.07688764098053E-06,0.000070770194712176,0.00048987094107929,0.0026787845805394,0.011572283608069,0.0394934661497093,0.106477130497961,0.226783957904445,0.381586697960507,0.507223104476079,0.532635039700122,0.441860666621242,0.289578299524491,0.149924194345476,0.0613200463021242,0.0198133661183307,0.00505753731075249,0.001019870350459,0.000162471008863022,0.0000204471050572806,0}</c:f>
              <c:numCache>
                <c:formatCode>General</c:formatCode>
                <c:ptCount val="21"/>
                <c:pt idx="0">
                  <c:v>8.07688764098053e-6</c:v>
                </c:pt>
                <c:pt idx="1">
                  <c:v>7.0770194712176e-5</c:v>
                </c:pt>
                <c:pt idx="2">
                  <c:v>0.00048987094107929</c:v>
                </c:pt>
                <c:pt idx="3">
                  <c:v>0.0026787845805394</c:v>
                </c:pt>
                <c:pt idx="4">
                  <c:v>0.011572283608069</c:v>
                </c:pt>
                <c:pt idx="5">
                  <c:v>0.0394934661497093</c:v>
                </c:pt>
                <c:pt idx="6">
                  <c:v>0.106477130497961</c:v>
                </c:pt>
                <c:pt idx="7">
                  <c:v>0.226783957904445</c:v>
                </c:pt>
                <c:pt idx="8">
                  <c:v>0.381586697960507</c:v>
                </c:pt>
                <c:pt idx="9">
                  <c:v>0.507223104476079</c:v>
                </c:pt>
                <c:pt idx="10">
                  <c:v>0.532635039700122</c:v>
                </c:pt>
                <c:pt idx="11">
                  <c:v>0.441860666621242</c:v>
                </c:pt>
                <c:pt idx="12">
                  <c:v>0.289578299524491</c:v>
                </c:pt>
                <c:pt idx="13">
                  <c:v>0.149924194345476</c:v>
                </c:pt>
                <c:pt idx="14">
                  <c:v>0.0613200463021242</c:v>
                </c:pt>
                <c:pt idx="15">
                  <c:v>0.0198133661183307</c:v>
                </c:pt>
                <c:pt idx="16">
                  <c:v>0.00505753731075249</c:v>
                </c:pt>
                <c:pt idx="17">
                  <c:v>0.001019870350459</c:v>
                </c:pt>
                <c:pt idx="18">
                  <c:v>0.000162471008863022</c:v>
                </c:pt>
                <c:pt idx="19">
                  <c:v>2.04471050572806e-5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462472"/>
        <c:axId val="2062459416"/>
      </c:scatterChart>
      <c:catAx>
        <c:axId val="206245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55944"/>
        <c:crosses val="autoZero"/>
        <c:auto val="1"/>
        <c:lblAlgn val="ctr"/>
        <c:lblOffset val="100"/>
        <c:noMultiLvlLbl val="0"/>
      </c:catAx>
      <c:valAx>
        <c:axId val="20624559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52936"/>
        <c:crosses val="autoZero"/>
        <c:crossBetween val="between"/>
      </c:valAx>
      <c:valAx>
        <c:axId val="206246247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459416"/>
        <c:crosses val="autoZero"/>
        <c:crossBetween val="midCat"/>
      </c:valAx>
      <c:valAx>
        <c:axId val="2062459416"/>
        <c:scaling>
          <c:orientation val="minMax"/>
          <c:max val="0.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6247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{8.9,8.918,8.936,8.954,8.972,8.99,9.008,9.026,9.044,9.062,9.08,9.098,9.116,9.134,9.152,9.17,9.188,9.206,9.224,9.242,9.26}</c:f>
              <c:numCache>
                <c:formatCode>General</c:formatCode>
                <c:ptCount val="21"/>
                <c:pt idx="0">
                  <c:v>8.9</c:v>
                </c:pt>
                <c:pt idx="1">
                  <c:v>8.918</c:v>
                </c:pt>
                <c:pt idx="2">
                  <c:v>8.936</c:v>
                </c:pt>
                <c:pt idx="3">
                  <c:v>8.954</c:v>
                </c:pt>
                <c:pt idx="4">
                  <c:v>8.972</c:v>
                </c:pt>
                <c:pt idx="5">
                  <c:v>8.99</c:v>
                </c:pt>
                <c:pt idx="6">
                  <c:v>9.008</c:v>
                </c:pt>
                <c:pt idx="7">
                  <c:v>9.026</c:v>
                </c:pt>
                <c:pt idx="8">
                  <c:v>9.044</c:v>
                </c:pt>
                <c:pt idx="9">
                  <c:v>9.062</c:v>
                </c:pt>
                <c:pt idx="10">
                  <c:v>9.08</c:v>
                </c:pt>
                <c:pt idx="11">
                  <c:v>9.098</c:v>
                </c:pt>
                <c:pt idx="12">
                  <c:v>9.116</c:v>
                </c:pt>
                <c:pt idx="13">
                  <c:v>9.134</c:v>
                </c:pt>
                <c:pt idx="14">
                  <c:v>9.152</c:v>
                </c:pt>
                <c:pt idx="15">
                  <c:v>9.17</c:v>
                </c:pt>
                <c:pt idx="16">
                  <c:v>9.188</c:v>
                </c:pt>
                <c:pt idx="17">
                  <c:v>9.206</c:v>
                </c:pt>
                <c:pt idx="18">
                  <c:v>9.224</c:v>
                </c:pt>
                <c:pt idx="19">
                  <c:v>9.242</c:v>
                </c:pt>
                <c:pt idx="20">
                  <c:v>9.26</c:v>
                </c:pt>
              </c:numCache>
            </c:numRef>
          </c:cat>
          <c:val>
            <c:numRef>
              <c:f>{0,0,3,22,67,220,647,965,781,559,213,55,1,0,0,0,0,0,0,0,0}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22</c:v>
                </c:pt>
                <c:pt idx="4">
                  <c:v>67</c:v>
                </c:pt>
                <c:pt idx="5">
                  <c:v>220</c:v>
                </c:pt>
                <c:pt idx="6">
                  <c:v>647</c:v>
                </c:pt>
                <c:pt idx="7">
                  <c:v>965</c:v>
                </c:pt>
                <c:pt idx="8">
                  <c:v>781</c:v>
                </c:pt>
                <c:pt idx="9">
                  <c:v>559</c:v>
                </c:pt>
                <c:pt idx="10">
                  <c:v>213</c:v>
                </c:pt>
                <c:pt idx="11">
                  <c:v>55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519688"/>
        <c:axId val="20625226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9.60397220673137E-06,0.00028495546929274,0.00534085775513316,0.0632343177175918,0.472936437911489,2.23439826603197,6.66847098672863,12.5718681303544,14.9720492978949,11.2634313325394,5.35264226257668,1.60684415626302,0.304710438650653,0.0365013513229673,0.00276208842874513,0.000132030751553172,0.0000039867651029735,7.60456255342832E-08,9.16296148270037E-10,6.97437863204183E-12,0}</c:f>
              <c:numCache>
                <c:formatCode>General</c:formatCode>
                <c:ptCount val="21"/>
                <c:pt idx="0">
                  <c:v>9.60397220673137e-6</c:v>
                </c:pt>
                <c:pt idx="1">
                  <c:v>0.00028495546929274</c:v>
                </c:pt>
                <c:pt idx="2">
                  <c:v>0.00534085775513316</c:v>
                </c:pt>
                <c:pt idx="3">
                  <c:v>0.0632343177175918</c:v>
                </c:pt>
                <c:pt idx="4">
                  <c:v>0.472936437911489</c:v>
                </c:pt>
                <c:pt idx="5">
                  <c:v>2.23439826603197</c:v>
                </c:pt>
                <c:pt idx="6">
                  <c:v>6.66847098672863</c:v>
                </c:pt>
                <c:pt idx="7">
                  <c:v>12.5718681303544</c:v>
                </c:pt>
                <c:pt idx="8">
                  <c:v>14.9720492978949</c:v>
                </c:pt>
                <c:pt idx="9">
                  <c:v>11.2634313325394</c:v>
                </c:pt>
                <c:pt idx="10">
                  <c:v>5.35264226257668</c:v>
                </c:pt>
                <c:pt idx="11">
                  <c:v>1.60684415626302</c:v>
                </c:pt>
                <c:pt idx="12">
                  <c:v>0.304710438650653</c:v>
                </c:pt>
                <c:pt idx="13">
                  <c:v>0.0365013513229673</c:v>
                </c:pt>
                <c:pt idx="14">
                  <c:v>0.00276208842874513</c:v>
                </c:pt>
                <c:pt idx="15">
                  <c:v>0.000132030751553172</c:v>
                </c:pt>
                <c:pt idx="16">
                  <c:v>3.9867651029735e-6</c:v>
                </c:pt>
                <c:pt idx="17">
                  <c:v>7.60456255342832e-8</c:v>
                </c:pt>
                <c:pt idx="18">
                  <c:v>9.16296148270037e-10</c:v>
                </c:pt>
                <c:pt idx="19">
                  <c:v>6.97437863204183e-12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{9,9}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529224"/>
        <c:axId val="2062526168"/>
      </c:scatterChart>
      <c:catAx>
        <c:axId val="206251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22696"/>
        <c:crosses val="autoZero"/>
        <c:auto val="1"/>
        <c:lblAlgn val="ctr"/>
        <c:lblOffset val="100"/>
        <c:noMultiLvlLbl val="0"/>
      </c:catAx>
      <c:valAx>
        <c:axId val="20625226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19688"/>
        <c:crosses val="autoZero"/>
        <c:crossBetween val="between"/>
      </c:valAx>
      <c:valAx>
        <c:axId val="20625292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526168"/>
        <c:crosses val="autoZero"/>
        <c:crossBetween val="midCat"/>
      </c:valAx>
      <c:valAx>
        <c:axId val="2062526168"/>
        <c:scaling>
          <c:orientation val="minMax"/>
          <c:max val="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292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{2.19,2.235,2.279,2.323,2.367,2.411,2.455,2.5,2.544,2.588,2.632,2.676,2.72,2.764,2.809,2.853,2.897,2.941,2.985,3.029,3.074}</c:f>
              <c:numCache>
                <c:formatCode>General</c:formatCode>
                <c:ptCount val="21"/>
                <c:pt idx="0">
                  <c:v>2.19</c:v>
                </c:pt>
                <c:pt idx="1">
                  <c:v>2.235</c:v>
                </c:pt>
                <c:pt idx="2">
                  <c:v>2.279</c:v>
                </c:pt>
                <c:pt idx="3">
                  <c:v>2.323</c:v>
                </c:pt>
                <c:pt idx="4">
                  <c:v>2.367</c:v>
                </c:pt>
                <c:pt idx="5">
                  <c:v>2.411</c:v>
                </c:pt>
                <c:pt idx="6">
                  <c:v>2.455</c:v>
                </c:pt>
                <c:pt idx="7">
                  <c:v>2.5</c:v>
                </c:pt>
                <c:pt idx="8">
                  <c:v>2.544</c:v>
                </c:pt>
                <c:pt idx="9">
                  <c:v>2.588</c:v>
                </c:pt>
                <c:pt idx="10">
                  <c:v>2.632</c:v>
                </c:pt>
                <c:pt idx="11">
                  <c:v>2.676</c:v>
                </c:pt>
                <c:pt idx="12">
                  <c:v>2.72</c:v>
                </c:pt>
                <c:pt idx="13">
                  <c:v>2.764</c:v>
                </c:pt>
                <c:pt idx="14">
                  <c:v>2.809</c:v>
                </c:pt>
                <c:pt idx="15">
                  <c:v>2.853</c:v>
                </c:pt>
                <c:pt idx="16">
                  <c:v>2.897</c:v>
                </c:pt>
                <c:pt idx="17">
                  <c:v>2.941</c:v>
                </c:pt>
                <c:pt idx="18">
                  <c:v>2.985</c:v>
                </c:pt>
                <c:pt idx="19">
                  <c:v>3.029</c:v>
                </c:pt>
                <c:pt idx="20">
                  <c:v>3.074</c:v>
                </c:pt>
              </c:numCache>
            </c:numRef>
          </c:cat>
          <c:val>
            <c:numRef>
              <c:f>{0,1,1,1,1,12,44,151,384,595,725,618,479,291,127,61,25,15,2,0,0}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12</c:v>
                </c:pt>
                <c:pt idx="6">
                  <c:v>44</c:v>
                </c:pt>
                <c:pt idx="7">
                  <c:v>151</c:v>
                </c:pt>
                <c:pt idx="8">
                  <c:v>384</c:v>
                </c:pt>
                <c:pt idx="9">
                  <c:v>595</c:v>
                </c:pt>
                <c:pt idx="10">
                  <c:v>725</c:v>
                </c:pt>
                <c:pt idx="11">
                  <c:v>618</c:v>
                </c:pt>
                <c:pt idx="12">
                  <c:v>479</c:v>
                </c:pt>
                <c:pt idx="13">
                  <c:v>291</c:v>
                </c:pt>
                <c:pt idx="14">
                  <c:v>127</c:v>
                </c:pt>
                <c:pt idx="15">
                  <c:v>61</c:v>
                </c:pt>
                <c:pt idx="16">
                  <c:v>25</c:v>
                </c:pt>
                <c:pt idx="17">
                  <c:v>15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1543928"/>
        <c:axId val="206154090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1.98025625216664E-06,0.0000255550488437721,0.00025799141259331,0.00203754401134406,0.0125887311630011,0.0608457337541436,0.230065511270089,0.680528187664314,1.57475838927985,2.85072257975842,4.03709708473945,4.47256482808691,3.87629934448542,2.62815626621096,1.39398555476405,0.578413706125265,0.187755250367305,0.047678086606558,0.00947149989569692,0.00147194611720945,0}</c:f>
              <c:numCache>
                <c:formatCode>General</c:formatCode>
                <c:ptCount val="21"/>
                <c:pt idx="0">
                  <c:v>1.98025625216664e-6</c:v>
                </c:pt>
                <c:pt idx="1">
                  <c:v>2.55550488437721e-5</c:v>
                </c:pt>
                <c:pt idx="2">
                  <c:v>0.00025799141259331</c:v>
                </c:pt>
                <c:pt idx="3">
                  <c:v>0.00203754401134406</c:v>
                </c:pt>
                <c:pt idx="4">
                  <c:v>0.0125887311630011</c:v>
                </c:pt>
                <c:pt idx="5">
                  <c:v>0.0608457337541436</c:v>
                </c:pt>
                <c:pt idx="6">
                  <c:v>0.230065511270089</c:v>
                </c:pt>
                <c:pt idx="7">
                  <c:v>0.680528187664314</c:v>
                </c:pt>
                <c:pt idx="8">
                  <c:v>1.57475838927985</c:v>
                </c:pt>
                <c:pt idx="9">
                  <c:v>2.85072257975842</c:v>
                </c:pt>
                <c:pt idx="10">
                  <c:v>4.03709708473945</c:v>
                </c:pt>
                <c:pt idx="11">
                  <c:v>4.47256482808691</c:v>
                </c:pt>
                <c:pt idx="12">
                  <c:v>3.87629934448542</c:v>
                </c:pt>
                <c:pt idx="13">
                  <c:v>2.62815626621096</c:v>
                </c:pt>
                <c:pt idx="14">
                  <c:v>1.39398555476405</c:v>
                </c:pt>
                <c:pt idx="15">
                  <c:v>0.578413706125265</c:v>
                </c:pt>
                <c:pt idx="16">
                  <c:v>0.187755250367305</c:v>
                </c:pt>
                <c:pt idx="17">
                  <c:v>0.047678086606558</c:v>
                </c:pt>
                <c:pt idx="18">
                  <c:v>0.00947149989569692</c:v>
                </c:pt>
                <c:pt idx="19">
                  <c:v>0.00147194611720945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34376"/>
        <c:axId val="2061537432"/>
      </c:scatterChart>
      <c:catAx>
        <c:axId val="206154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40904"/>
        <c:crosses val="autoZero"/>
        <c:auto val="1"/>
        <c:lblAlgn val="ctr"/>
        <c:lblOffset val="100"/>
        <c:noMultiLvlLbl val="0"/>
      </c:catAx>
      <c:valAx>
        <c:axId val="20615409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43928"/>
        <c:crosses val="autoZero"/>
        <c:crossBetween val="between"/>
      </c:valAx>
      <c:valAx>
        <c:axId val="2061534376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1537432"/>
        <c:crosses val="autoZero"/>
        <c:crossBetween val="midCat"/>
      </c:valAx>
      <c:valAx>
        <c:axId val="2061537432"/>
        <c:scaling>
          <c:orientation val="minMax"/>
          <c:max val="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34376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{2.347,2.396,2.444,2.492,2.541,2.589,2.637,2.686,2.734,2.782,2.83,2.879,2.927,2.975,3.024,3.072,3.12,3.169,3.217,3.265,3.314}</c:f>
              <c:numCache>
                <c:formatCode>General</c:formatCode>
                <c:ptCount val="21"/>
                <c:pt idx="0">
                  <c:v>2.347</c:v>
                </c:pt>
                <c:pt idx="1">
                  <c:v>2.396</c:v>
                </c:pt>
                <c:pt idx="2">
                  <c:v>2.444</c:v>
                </c:pt>
                <c:pt idx="3">
                  <c:v>2.492</c:v>
                </c:pt>
                <c:pt idx="4">
                  <c:v>2.541</c:v>
                </c:pt>
                <c:pt idx="5">
                  <c:v>2.589</c:v>
                </c:pt>
                <c:pt idx="6">
                  <c:v>2.637</c:v>
                </c:pt>
                <c:pt idx="7">
                  <c:v>2.686</c:v>
                </c:pt>
                <c:pt idx="8">
                  <c:v>2.734</c:v>
                </c:pt>
                <c:pt idx="9">
                  <c:v>2.782</c:v>
                </c:pt>
                <c:pt idx="10">
                  <c:v>2.83</c:v>
                </c:pt>
                <c:pt idx="11">
                  <c:v>2.879</c:v>
                </c:pt>
                <c:pt idx="12">
                  <c:v>2.927</c:v>
                </c:pt>
                <c:pt idx="13">
                  <c:v>2.975</c:v>
                </c:pt>
                <c:pt idx="14">
                  <c:v>3.024</c:v>
                </c:pt>
                <c:pt idx="15">
                  <c:v>3.072</c:v>
                </c:pt>
                <c:pt idx="16">
                  <c:v>3.12</c:v>
                </c:pt>
                <c:pt idx="17">
                  <c:v>3.169</c:v>
                </c:pt>
                <c:pt idx="18">
                  <c:v>3.217</c:v>
                </c:pt>
                <c:pt idx="19">
                  <c:v>3.265</c:v>
                </c:pt>
                <c:pt idx="20">
                  <c:v>3.314</c:v>
                </c:pt>
              </c:numCache>
            </c:numRef>
          </c:cat>
          <c:val>
            <c:numRef>
              <c:f>{0,3,12,25,75,138,269,438,603,579,578,384,243,103,64,14,4,0,1,0,0}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12</c:v>
                </c:pt>
                <c:pt idx="3">
                  <c:v>25</c:v>
                </c:pt>
                <c:pt idx="4">
                  <c:v>75</c:v>
                </c:pt>
                <c:pt idx="5">
                  <c:v>138</c:v>
                </c:pt>
                <c:pt idx="6">
                  <c:v>269</c:v>
                </c:pt>
                <c:pt idx="7">
                  <c:v>438</c:v>
                </c:pt>
                <c:pt idx="8">
                  <c:v>603</c:v>
                </c:pt>
                <c:pt idx="9">
                  <c:v>579</c:v>
                </c:pt>
                <c:pt idx="10">
                  <c:v>578</c:v>
                </c:pt>
                <c:pt idx="11">
                  <c:v>384</c:v>
                </c:pt>
                <c:pt idx="12">
                  <c:v>243</c:v>
                </c:pt>
                <c:pt idx="13">
                  <c:v>103</c:v>
                </c:pt>
                <c:pt idx="14">
                  <c:v>64</c:v>
                </c:pt>
                <c:pt idx="15">
                  <c:v>14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585336"/>
        <c:axId val="-21305823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0.000871131633579602,0.00470394175496544,0.0209930394160097,0.0774326321732056,0.236052060853111,0.594739564451182,1.23845754901018,2.1314280613813,3.03176471301412,3.56414667913244,3.46298733932588,2.78087519982926,1.84564095679117,1.01239058394766,0.458969824622698,0.171971043947116,0.0532551583001082,0.0136302301893315,0.0028832337881537,0.000504070968357318,0}</c:f>
              <c:numCache>
                <c:formatCode>General</c:formatCode>
                <c:ptCount val="21"/>
                <c:pt idx="0">
                  <c:v>0.000871131633579602</c:v>
                </c:pt>
                <c:pt idx="1">
                  <c:v>0.00470394175496544</c:v>
                </c:pt>
                <c:pt idx="2">
                  <c:v>0.0209930394160097</c:v>
                </c:pt>
                <c:pt idx="3">
                  <c:v>0.0774326321732056</c:v>
                </c:pt>
                <c:pt idx="4">
                  <c:v>0.236052060853111</c:v>
                </c:pt>
                <c:pt idx="5">
                  <c:v>0.594739564451182</c:v>
                </c:pt>
                <c:pt idx="6">
                  <c:v>1.23845754901018</c:v>
                </c:pt>
                <c:pt idx="7">
                  <c:v>2.1314280613813</c:v>
                </c:pt>
                <c:pt idx="8">
                  <c:v>3.03176471301412</c:v>
                </c:pt>
                <c:pt idx="9">
                  <c:v>3.56414667913244</c:v>
                </c:pt>
                <c:pt idx="10">
                  <c:v>3.46298733932588</c:v>
                </c:pt>
                <c:pt idx="11">
                  <c:v>2.78087519982926</c:v>
                </c:pt>
                <c:pt idx="12">
                  <c:v>1.84564095679117</c:v>
                </c:pt>
                <c:pt idx="13">
                  <c:v>1.01239058394766</c:v>
                </c:pt>
                <c:pt idx="14">
                  <c:v>0.458969824622698</c:v>
                </c:pt>
                <c:pt idx="15">
                  <c:v>0.171971043947116</c:v>
                </c:pt>
                <c:pt idx="16">
                  <c:v>0.0532551583001082</c:v>
                </c:pt>
                <c:pt idx="17">
                  <c:v>0.0136302301893315</c:v>
                </c:pt>
                <c:pt idx="18">
                  <c:v>0.0028832337881537</c:v>
                </c:pt>
                <c:pt idx="19">
                  <c:v>0.000504070968357318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{10,10}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{17,17}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75800"/>
        <c:axId val="-2130578856"/>
      </c:scatterChart>
      <c:catAx>
        <c:axId val="-213058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82328"/>
        <c:crosses val="autoZero"/>
        <c:auto val="1"/>
        <c:lblAlgn val="ctr"/>
        <c:lblOffset val="100"/>
        <c:noMultiLvlLbl val="0"/>
      </c:catAx>
      <c:valAx>
        <c:axId val="-21305823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85336"/>
        <c:crosses val="autoZero"/>
        <c:crossBetween val="between"/>
      </c:valAx>
      <c:valAx>
        <c:axId val="-2130575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578856"/>
        <c:crosses val="autoZero"/>
        <c:crossBetween val="midCat"/>
      </c:valAx>
      <c:valAx>
        <c:axId val="-2130578856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75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{8.614,8.64,8.667,8.693,8.72,8.746,8.773,8.799,8.826,8.852,8.879,8.906,8.932,8.959,8.985,9.012,9.038,9.065,9.091,9.118,9.144}</c:f>
              <c:numCache>
                <c:formatCode>General</c:formatCode>
                <c:ptCount val="21"/>
                <c:pt idx="0">
                  <c:v>8.614</c:v>
                </c:pt>
                <c:pt idx="1">
                  <c:v>8.64</c:v>
                </c:pt>
                <c:pt idx="2">
                  <c:v>8.667</c:v>
                </c:pt>
                <c:pt idx="3">
                  <c:v>8.693</c:v>
                </c:pt>
                <c:pt idx="4">
                  <c:v>8.72</c:v>
                </c:pt>
                <c:pt idx="5">
                  <c:v>8.746</c:v>
                </c:pt>
                <c:pt idx="6">
                  <c:v>8.773</c:v>
                </c:pt>
                <c:pt idx="7">
                  <c:v>8.799</c:v>
                </c:pt>
                <c:pt idx="8">
                  <c:v>8.826</c:v>
                </c:pt>
                <c:pt idx="9">
                  <c:v>8.852</c:v>
                </c:pt>
                <c:pt idx="10">
                  <c:v>8.879</c:v>
                </c:pt>
                <c:pt idx="11">
                  <c:v>8.906</c:v>
                </c:pt>
                <c:pt idx="12">
                  <c:v>8.932</c:v>
                </c:pt>
                <c:pt idx="13">
                  <c:v>8.959</c:v>
                </c:pt>
                <c:pt idx="14">
                  <c:v>8.985</c:v>
                </c:pt>
                <c:pt idx="15">
                  <c:v>9.012</c:v>
                </c:pt>
                <c:pt idx="16">
                  <c:v>9.038</c:v>
                </c:pt>
                <c:pt idx="17">
                  <c:v>9.065</c:v>
                </c:pt>
                <c:pt idx="18">
                  <c:v>9.091</c:v>
                </c:pt>
                <c:pt idx="19">
                  <c:v>9.118</c:v>
                </c:pt>
                <c:pt idx="20">
                  <c:v>9.144</c:v>
                </c:pt>
              </c:numCache>
            </c:numRef>
          </c:cat>
          <c:val>
            <c:numRef>
              <c:f>{0,4,12,20,78,158,371,561,776,695,474,250,107,23,4,0,0,0,0,0,0}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20</c:v>
                </c:pt>
                <c:pt idx="4">
                  <c:v>78</c:v>
                </c:pt>
                <c:pt idx="5">
                  <c:v>158</c:v>
                </c:pt>
                <c:pt idx="6">
                  <c:v>371</c:v>
                </c:pt>
                <c:pt idx="7">
                  <c:v>561</c:v>
                </c:pt>
                <c:pt idx="8">
                  <c:v>776</c:v>
                </c:pt>
                <c:pt idx="9">
                  <c:v>695</c:v>
                </c:pt>
                <c:pt idx="10">
                  <c:v>474</c:v>
                </c:pt>
                <c:pt idx="11">
                  <c:v>250</c:v>
                </c:pt>
                <c:pt idx="12">
                  <c:v>107</c:v>
                </c:pt>
                <c:pt idx="13">
                  <c:v>23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527496"/>
        <c:axId val="-213052456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0.000220643317011148,0.00214881147250236,0.0158475194086987,0.0885074264175059,0.37432908710701,1.19889977753397,2.90782071545727,5.34081844369358,7.42853964467918,7.82446258493399,6.24109844390882,3.76984062164023,1.7244094284445,0.597328490707378,0.156690083783491,0.0311261379488283,0.00468235573024507,0.000533407372835089,0.0000460160213183839,0.0000030061770774657,0}</c:f>
              <c:numCache>
                <c:formatCode>General</c:formatCode>
                <c:ptCount val="21"/>
                <c:pt idx="0">
                  <c:v>0.000220643317011148</c:v>
                </c:pt>
                <c:pt idx="1">
                  <c:v>0.00214881147250236</c:v>
                </c:pt>
                <c:pt idx="2">
                  <c:v>0.0158475194086987</c:v>
                </c:pt>
                <c:pt idx="3">
                  <c:v>0.0885074264175059</c:v>
                </c:pt>
                <c:pt idx="4">
                  <c:v>0.37432908710701</c:v>
                </c:pt>
                <c:pt idx="5">
                  <c:v>1.19889977753397</c:v>
                </c:pt>
                <c:pt idx="6">
                  <c:v>2.90782071545727</c:v>
                </c:pt>
                <c:pt idx="7">
                  <c:v>5.34081844369358</c:v>
                </c:pt>
                <c:pt idx="8">
                  <c:v>7.42853964467918</c:v>
                </c:pt>
                <c:pt idx="9">
                  <c:v>7.82446258493399</c:v>
                </c:pt>
                <c:pt idx="10">
                  <c:v>6.24109844390882</c:v>
                </c:pt>
                <c:pt idx="11">
                  <c:v>3.76984062164023</c:v>
                </c:pt>
                <c:pt idx="12">
                  <c:v>1.7244094284445</c:v>
                </c:pt>
                <c:pt idx="13">
                  <c:v>0.597328490707378</c:v>
                </c:pt>
                <c:pt idx="14">
                  <c:v>0.156690083783491</c:v>
                </c:pt>
                <c:pt idx="15">
                  <c:v>0.0311261379488283</c:v>
                </c:pt>
                <c:pt idx="16">
                  <c:v>0.00468235573024507</c:v>
                </c:pt>
                <c:pt idx="17">
                  <c:v>0.000533407372835089</c:v>
                </c:pt>
                <c:pt idx="18">
                  <c:v>4.60160213183839e-5</c:v>
                </c:pt>
                <c:pt idx="19">
                  <c:v>3.0061770774657e-6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17800"/>
        <c:axId val="-2130520856"/>
      </c:scatterChart>
      <c:catAx>
        <c:axId val="-213052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24568"/>
        <c:crosses val="autoZero"/>
        <c:auto val="1"/>
        <c:lblAlgn val="ctr"/>
        <c:lblOffset val="100"/>
        <c:noMultiLvlLbl val="0"/>
      </c:catAx>
      <c:valAx>
        <c:axId val="-2130524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27496"/>
        <c:crosses val="autoZero"/>
        <c:crossBetween val="between"/>
      </c:valAx>
      <c:valAx>
        <c:axId val="-2130517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520856"/>
        <c:crosses val="autoZero"/>
        <c:crossBetween val="midCat"/>
      </c:valAx>
      <c:valAx>
        <c:axId val="-213052085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17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{8.57,8.599,8.628,8.657,8.685,8.714,8.743,8.772,8.801,8.83,8.859,8.888,8.917,8.946,8.975,9.004,9.033,9.061,9.09,9.119,9.148}</c:f>
              <c:numCache>
                <c:formatCode>General</c:formatCode>
                <c:ptCount val="21"/>
                <c:pt idx="0">
                  <c:v>8.57</c:v>
                </c:pt>
                <c:pt idx="1">
                  <c:v>8.599</c:v>
                </c:pt>
                <c:pt idx="2">
                  <c:v>8.628</c:v>
                </c:pt>
                <c:pt idx="3">
                  <c:v>8.657</c:v>
                </c:pt>
                <c:pt idx="4">
                  <c:v>8.685</c:v>
                </c:pt>
                <c:pt idx="5">
                  <c:v>8.714</c:v>
                </c:pt>
                <c:pt idx="6">
                  <c:v>8.743</c:v>
                </c:pt>
                <c:pt idx="7">
                  <c:v>8.772</c:v>
                </c:pt>
                <c:pt idx="8">
                  <c:v>8.801</c:v>
                </c:pt>
                <c:pt idx="9">
                  <c:v>8.83</c:v>
                </c:pt>
                <c:pt idx="10">
                  <c:v>8.859</c:v>
                </c:pt>
                <c:pt idx="11">
                  <c:v>8.888</c:v>
                </c:pt>
                <c:pt idx="12">
                  <c:v>8.917</c:v>
                </c:pt>
                <c:pt idx="13">
                  <c:v>8.946</c:v>
                </c:pt>
                <c:pt idx="14">
                  <c:v>8.975</c:v>
                </c:pt>
                <c:pt idx="15">
                  <c:v>9.004</c:v>
                </c:pt>
                <c:pt idx="16">
                  <c:v>9.033</c:v>
                </c:pt>
                <c:pt idx="17">
                  <c:v>9.061</c:v>
                </c:pt>
                <c:pt idx="18">
                  <c:v>9.09</c:v>
                </c:pt>
                <c:pt idx="19">
                  <c:v>9.119</c:v>
                </c:pt>
                <c:pt idx="20">
                  <c:v>9.148</c:v>
                </c:pt>
              </c:numCache>
            </c:numRef>
          </c:cat>
          <c:val>
            <c:numRef>
              <c:f>{0,1,1,9,13,66,152,383,627,792,756,438,216,66,11,2,0,0,0,0,0}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9</c:v>
                </c:pt>
                <c:pt idx="4">
                  <c:v>13</c:v>
                </c:pt>
                <c:pt idx="5">
                  <c:v>66</c:v>
                </c:pt>
                <c:pt idx="6">
                  <c:v>152</c:v>
                </c:pt>
                <c:pt idx="7">
                  <c:v>383</c:v>
                </c:pt>
                <c:pt idx="8">
                  <c:v>627</c:v>
                </c:pt>
                <c:pt idx="9">
                  <c:v>792</c:v>
                </c:pt>
                <c:pt idx="10">
                  <c:v>756</c:v>
                </c:pt>
                <c:pt idx="11">
                  <c:v>438</c:v>
                </c:pt>
                <c:pt idx="12">
                  <c:v>216</c:v>
                </c:pt>
                <c:pt idx="13">
                  <c:v>66</c:v>
                </c:pt>
                <c:pt idx="14">
                  <c:v>11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467064"/>
        <c:axId val="-213046413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2.40220783330371E-06,0.0000464650330774845,0.000649061314187247,0.00654770525464636,0.0477019441825799,0.250972927803765,0.953589615545485,2.61661596966636,5.18516165820977,7.42041941425027,7.66899429519973,5.72390041751583,3.08524329544992,1.20096529641568,0.337609914448256,0.0685399240383479,0.0100488355425951,0.00106397531386069,0.0000813562753780373,4.49256383473802E-06,0}</c:f>
              <c:numCache>
                <c:formatCode>General</c:formatCode>
                <c:ptCount val="21"/>
                <c:pt idx="0">
                  <c:v>2.40220783330371e-6</c:v>
                </c:pt>
                <c:pt idx="1">
                  <c:v>4.64650330774845e-5</c:v>
                </c:pt>
                <c:pt idx="2">
                  <c:v>0.000649061314187247</c:v>
                </c:pt>
                <c:pt idx="3">
                  <c:v>0.00654770525464636</c:v>
                </c:pt>
                <c:pt idx="4">
                  <c:v>0.0477019441825799</c:v>
                </c:pt>
                <c:pt idx="5">
                  <c:v>0.250972927803765</c:v>
                </c:pt>
                <c:pt idx="6">
                  <c:v>0.953589615545485</c:v>
                </c:pt>
                <c:pt idx="7">
                  <c:v>2.61661596966636</c:v>
                </c:pt>
                <c:pt idx="8">
                  <c:v>5.18516165820977</c:v>
                </c:pt>
                <c:pt idx="9">
                  <c:v>7.42041941425027</c:v>
                </c:pt>
                <c:pt idx="10">
                  <c:v>7.66899429519973</c:v>
                </c:pt>
                <c:pt idx="11">
                  <c:v>5.72390041751583</c:v>
                </c:pt>
                <c:pt idx="12">
                  <c:v>3.08524329544992</c:v>
                </c:pt>
                <c:pt idx="13">
                  <c:v>1.20096529641568</c:v>
                </c:pt>
                <c:pt idx="14">
                  <c:v>0.337609914448256</c:v>
                </c:pt>
                <c:pt idx="15">
                  <c:v>0.0685399240383479</c:v>
                </c:pt>
                <c:pt idx="16">
                  <c:v>0.0100488355425951</c:v>
                </c:pt>
                <c:pt idx="17">
                  <c:v>0.00106397531386069</c:v>
                </c:pt>
                <c:pt idx="18">
                  <c:v>8.13562753780373e-5</c:v>
                </c:pt>
                <c:pt idx="19">
                  <c:v>4.49256383473802e-6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457368"/>
        <c:axId val="-2130460424"/>
      </c:scatterChart>
      <c:catAx>
        <c:axId val="-213046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64136"/>
        <c:crosses val="autoZero"/>
        <c:auto val="1"/>
        <c:lblAlgn val="ctr"/>
        <c:lblOffset val="100"/>
        <c:noMultiLvlLbl val="0"/>
      </c:catAx>
      <c:valAx>
        <c:axId val="-2130464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67064"/>
        <c:crosses val="autoZero"/>
        <c:crossBetween val="between"/>
      </c:valAx>
      <c:valAx>
        <c:axId val="-213045736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460424"/>
        <c:crosses val="autoZero"/>
        <c:crossBetween val="midCat"/>
      </c:valAx>
      <c:valAx>
        <c:axId val="-213046042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5736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{8.571,8.6,8.629,8.657,8.686,8.715,8.744,8.773,8.802,8.831,8.859,8.888,8.917,8.946,8.975,9.004,9.033,9.062,9.09,9.119,9.148}</c:f>
              <c:numCache>
                <c:formatCode>General</c:formatCode>
                <c:ptCount val="21"/>
                <c:pt idx="0">
                  <c:v>8.571</c:v>
                </c:pt>
                <c:pt idx="1">
                  <c:v>8.6</c:v>
                </c:pt>
                <c:pt idx="2">
                  <c:v>8.629</c:v>
                </c:pt>
                <c:pt idx="3">
                  <c:v>8.657</c:v>
                </c:pt>
                <c:pt idx="4">
                  <c:v>8.686</c:v>
                </c:pt>
                <c:pt idx="5">
                  <c:v>8.715</c:v>
                </c:pt>
                <c:pt idx="6">
                  <c:v>8.744</c:v>
                </c:pt>
                <c:pt idx="7">
                  <c:v>8.773</c:v>
                </c:pt>
                <c:pt idx="8">
                  <c:v>8.802</c:v>
                </c:pt>
                <c:pt idx="9">
                  <c:v>8.831</c:v>
                </c:pt>
                <c:pt idx="10">
                  <c:v>8.859</c:v>
                </c:pt>
                <c:pt idx="11">
                  <c:v>8.888</c:v>
                </c:pt>
                <c:pt idx="12">
                  <c:v>8.917</c:v>
                </c:pt>
                <c:pt idx="13">
                  <c:v>8.946</c:v>
                </c:pt>
                <c:pt idx="14">
                  <c:v>8.975</c:v>
                </c:pt>
                <c:pt idx="15">
                  <c:v>9.004</c:v>
                </c:pt>
                <c:pt idx="16">
                  <c:v>9.033</c:v>
                </c:pt>
                <c:pt idx="17">
                  <c:v>9.062</c:v>
                </c:pt>
                <c:pt idx="18">
                  <c:v>9.09</c:v>
                </c:pt>
                <c:pt idx="19">
                  <c:v>9.119</c:v>
                </c:pt>
                <c:pt idx="20">
                  <c:v>9.148</c:v>
                </c:pt>
              </c:numCache>
            </c:numRef>
          </c:cat>
          <c:val>
            <c:numRef>
              <c:f>{0,1,0,10,15,65,145,346,607,810,736,473,220,84,19,2,0,0,0,0,0}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10</c:v>
                </c:pt>
                <c:pt idx="4">
                  <c:v>15</c:v>
                </c:pt>
                <c:pt idx="5">
                  <c:v>65</c:v>
                </c:pt>
                <c:pt idx="6">
                  <c:v>145</c:v>
                </c:pt>
                <c:pt idx="7">
                  <c:v>346</c:v>
                </c:pt>
                <c:pt idx="8">
                  <c:v>607</c:v>
                </c:pt>
                <c:pt idx="9">
                  <c:v>810</c:v>
                </c:pt>
                <c:pt idx="10">
                  <c:v>736</c:v>
                </c:pt>
                <c:pt idx="11">
                  <c:v>473</c:v>
                </c:pt>
                <c:pt idx="12">
                  <c:v>220</c:v>
                </c:pt>
                <c:pt idx="13">
                  <c:v>84</c:v>
                </c:pt>
                <c:pt idx="14">
                  <c:v>19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407224"/>
        <c:axId val="-21304042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3.68114625603901E-06,0.0000636386276843454,0.000806702349658267,0.00749826317099353,0.05110491883358,0.255399196750172,0.935903949049899,2.51476706153249,4.95471841269117,7.15805321495298,7.58273011131724,5.88994182504434,3.35468033388118,1.40102540656479,0.429037852340298,0.0963385132581518,0.0158620385264798,0.00191501769716899,0.000169528402966744,0.0000110044200348454,0}</c:f>
              <c:numCache>
                <c:formatCode>General</c:formatCode>
                <c:ptCount val="21"/>
                <c:pt idx="0">
                  <c:v>3.68114625603901e-6</c:v>
                </c:pt>
                <c:pt idx="1">
                  <c:v>6.36386276843454e-5</c:v>
                </c:pt>
                <c:pt idx="2">
                  <c:v>0.000806702349658267</c:v>
                </c:pt>
                <c:pt idx="3">
                  <c:v>0.00749826317099353</c:v>
                </c:pt>
                <c:pt idx="4">
                  <c:v>0.05110491883358</c:v>
                </c:pt>
                <c:pt idx="5">
                  <c:v>0.255399196750172</c:v>
                </c:pt>
                <c:pt idx="6">
                  <c:v>0.935903949049899</c:v>
                </c:pt>
                <c:pt idx="7">
                  <c:v>2.51476706153249</c:v>
                </c:pt>
                <c:pt idx="8">
                  <c:v>4.95471841269117</c:v>
                </c:pt>
                <c:pt idx="9">
                  <c:v>7.15805321495298</c:v>
                </c:pt>
                <c:pt idx="10">
                  <c:v>7.58273011131724</c:v>
                </c:pt>
                <c:pt idx="11">
                  <c:v>5.88994182504434</c:v>
                </c:pt>
                <c:pt idx="12">
                  <c:v>3.35468033388118</c:v>
                </c:pt>
                <c:pt idx="13">
                  <c:v>1.40102540656479</c:v>
                </c:pt>
                <c:pt idx="14">
                  <c:v>0.429037852340298</c:v>
                </c:pt>
                <c:pt idx="15">
                  <c:v>0.0963385132581518</c:v>
                </c:pt>
                <c:pt idx="16">
                  <c:v>0.0158620385264798</c:v>
                </c:pt>
                <c:pt idx="17">
                  <c:v>0.00191501769716899</c:v>
                </c:pt>
                <c:pt idx="18">
                  <c:v>0.000169528402966744</c:v>
                </c:pt>
                <c:pt idx="19">
                  <c:v>1.10044200348454e-5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397528"/>
        <c:axId val="-2130400584"/>
      </c:scatterChart>
      <c:catAx>
        <c:axId val="-213040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04296"/>
        <c:crosses val="autoZero"/>
        <c:auto val="1"/>
        <c:lblAlgn val="ctr"/>
        <c:lblOffset val="100"/>
        <c:noMultiLvlLbl val="0"/>
      </c:catAx>
      <c:valAx>
        <c:axId val="-2130404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07224"/>
        <c:crosses val="autoZero"/>
        <c:crossBetween val="between"/>
      </c:valAx>
      <c:valAx>
        <c:axId val="-213039752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400584"/>
        <c:crosses val="autoZero"/>
        <c:crossBetween val="midCat"/>
      </c:valAx>
      <c:valAx>
        <c:axId val="-213040058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9752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{8.485,8.519,8.552,8.586,8.619,8.653,8.686,8.72,8.753,8.787,8.821,8.854,8.888,8.921,8.955,8.988,9.022,9.055,9.089,9.122,9.156}</c:f>
              <c:numCache>
                <c:formatCode>General</c:formatCode>
                <c:ptCount val="21"/>
                <c:pt idx="0">
                  <c:v>8.485</c:v>
                </c:pt>
                <c:pt idx="1">
                  <c:v>8.519</c:v>
                </c:pt>
                <c:pt idx="2">
                  <c:v>8.552</c:v>
                </c:pt>
                <c:pt idx="3">
                  <c:v>8.586</c:v>
                </c:pt>
                <c:pt idx="4">
                  <c:v>8.619</c:v>
                </c:pt>
                <c:pt idx="5">
                  <c:v>8.653</c:v>
                </c:pt>
                <c:pt idx="6">
                  <c:v>8.686</c:v>
                </c:pt>
                <c:pt idx="7">
                  <c:v>8.72</c:v>
                </c:pt>
                <c:pt idx="8">
                  <c:v>8.753</c:v>
                </c:pt>
                <c:pt idx="9">
                  <c:v>8.787</c:v>
                </c:pt>
                <c:pt idx="10">
                  <c:v>8.821</c:v>
                </c:pt>
                <c:pt idx="11">
                  <c:v>8.854</c:v>
                </c:pt>
                <c:pt idx="12">
                  <c:v>8.888</c:v>
                </c:pt>
                <c:pt idx="13">
                  <c:v>8.921</c:v>
                </c:pt>
                <c:pt idx="14">
                  <c:v>8.955</c:v>
                </c:pt>
                <c:pt idx="15">
                  <c:v>8.988</c:v>
                </c:pt>
                <c:pt idx="16">
                  <c:v>9.022</c:v>
                </c:pt>
                <c:pt idx="17">
                  <c:v>9.055</c:v>
                </c:pt>
                <c:pt idx="18">
                  <c:v>9.089</c:v>
                </c:pt>
                <c:pt idx="19">
                  <c:v>9.122</c:v>
                </c:pt>
                <c:pt idx="20">
                  <c:v>9.156</c:v>
                </c:pt>
              </c:numCache>
            </c:numRef>
          </c:cat>
          <c:val>
            <c:numRef>
              <c:f>{0,1,0,0,0,12,15,95,249,554,929,873,512,222,62,8,1,0,0,0,0}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15</c:v>
                </c:pt>
                <c:pt idx="7">
                  <c:v>95</c:v>
                </c:pt>
                <c:pt idx="8">
                  <c:v>249</c:v>
                </c:pt>
                <c:pt idx="9">
                  <c:v>554</c:v>
                </c:pt>
                <c:pt idx="10">
                  <c:v>929</c:v>
                </c:pt>
                <c:pt idx="11">
                  <c:v>873</c:v>
                </c:pt>
                <c:pt idx="12">
                  <c:v>512</c:v>
                </c:pt>
                <c:pt idx="13">
                  <c:v>222</c:v>
                </c:pt>
                <c:pt idx="14">
                  <c:v>62</c:v>
                </c:pt>
                <c:pt idx="15">
                  <c:v>8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347320"/>
        <c:axId val="-213034439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9.39087002627539E-11,7.63557902662158E-09,4.06820077912536E-07,0.000014203222005798,0.000324934593604088,0.00487112461416927,0.0478505291271131,0.308012586736087,1.29919446444247,3.59090765609354,6.50367289954434,7.71858199222828,6.00261834816685,3.0589214079631,1.02145745974558,0.223509486117656,0.0320476743175896,0.00301107418088658,0.000185383368574082,7.47901599231642E-06,0}</c:f>
              <c:numCache>
                <c:formatCode>General</c:formatCode>
                <c:ptCount val="21"/>
                <c:pt idx="0">
                  <c:v>9.39087002627539e-11</c:v>
                </c:pt>
                <c:pt idx="1">
                  <c:v>7.63557902662158e-9</c:v>
                </c:pt>
                <c:pt idx="2">
                  <c:v>4.06820077912536e-7</c:v>
                </c:pt>
                <c:pt idx="3">
                  <c:v>1.4203222005798e-5</c:v>
                </c:pt>
                <c:pt idx="4">
                  <c:v>0.000324934593604088</c:v>
                </c:pt>
                <c:pt idx="5">
                  <c:v>0.00487112461416927</c:v>
                </c:pt>
                <c:pt idx="6">
                  <c:v>0.0478505291271131</c:v>
                </c:pt>
                <c:pt idx="7">
                  <c:v>0.308012586736087</c:v>
                </c:pt>
                <c:pt idx="8">
                  <c:v>1.29919446444247</c:v>
                </c:pt>
                <c:pt idx="9">
                  <c:v>3.59090765609354</c:v>
                </c:pt>
                <c:pt idx="10">
                  <c:v>6.50367289954434</c:v>
                </c:pt>
                <c:pt idx="11">
                  <c:v>7.71858199222828</c:v>
                </c:pt>
                <c:pt idx="12">
                  <c:v>6.00261834816685</c:v>
                </c:pt>
                <c:pt idx="13">
                  <c:v>3.0589214079631</c:v>
                </c:pt>
                <c:pt idx="14">
                  <c:v>1.02145745974558</c:v>
                </c:pt>
                <c:pt idx="15">
                  <c:v>0.223509486117656</c:v>
                </c:pt>
                <c:pt idx="16">
                  <c:v>0.0320476743175896</c:v>
                </c:pt>
                <c:pt idx="17">
                  <c:v>0.00301107418088658</c:v>
                </c:pt>
                <c:pt idx="18">
                  <c:v>0.000185383368574082</c:v>
                </c:pt>
                <c:pt idx="19">
                  <c:v>7.47901599231642e-6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337624"/>
        <c:axId val="-2130340680"/>
      </c:scatterChart>
      <c:catAx>
        <c:axId val="-2130347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44392"/>
        <c:crosses val="autoZero"/>
        <c:auto val="1"/>
        <c:lblAlgn val="ctr"/>
        <c:lblOffset val="100"/>
        <c:noMultiLvlLbl val="0"/>
      </c:catAx>
      <c:valAx>
        <c:axId val="-2130344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47320"/>
        <c:crosses val="autoZero"/>
        <c:crossBetween val="between"/>
      </c:valAx>
      <c:valAx>
        <c:axId val="-21303376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340680"/>
        <c:crosses val="autoZero"/>
        <c:crossBetween val="midCat"/>
      </c:valAx>
      <c:valAx>
        <c:axId val="-213034068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376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{8.607,8.634,8.661,8.688,8.715,8.742,8.768,8.795,8.822,8.849,8.876,8.903,8.93,8.957,8.984,9.01,9.037,9.064,9.091,9.118,9.145}</c:f>
              <c:numCache>
                <c:formatCode>General</c:formatCode>
                <c:ptCount val="21"/>
                <c:pt idx="0">
                  <c:v>8.607</c:v>
                </c:pt>
                <c:pt idx="1">
                  <c:v>8.634</c:v>
                </c:pt>
                <c:pt idx="2">
                  <c:v>8.661</c:v>
                </c:pt>
                <c:pt idx="3">
                  <c:v>8.688</c:v>
                </c:pt>
                <c:pt idx="4">
                  <c:v>8.715</c:v>
                </c:pt>
                <c:pt idx="5">
                  <c:v>8.742</c:v>
                </c:pt>
                <c:pt idx="6">
                  <c:v>8.768</c:v>
                </c:pt>
                <c:pt idx="7">
                  <c:v>8.795</c:v>
                </c:pt>
                <c:pt idx="8">
                  <c:v>8.822</c:v>
                </c:pt>
                <c:pt idx="9">
                  <c:v>8.849</c:v>
                </c:pt>
                <c:pt idx="10">
                  <c:v>8.876</c:v>
                </c:pt>
                <c:pt idx="11">
                  <c:v>8.903</c:v>
                </c:pt>
                <c:pt idx="12">
                  <c:v>8.93</c:v>
                </c:pt>
                <c:pt idx="13">
                  <c:v>8.957</c:v>
                </c:pt>
                <c:pt idx="14">
                  <c:v>8.984</c:v>
                </c:pt>
                <c:pt idx="15">
                  <c:v>9.01</c:v>
                </c:pt>
                <c:pt idx="16">
                  <c:v>9.037</c:v>
                </c:pt>
                <c:pt idx="17">
                  <c:v>9.064</c:v>
                </c:pt>
                <c:pt idx="18">
                  <c:v>9.091</c:v>
                </c:pt>
                <c:pt idx="19">
                  <c:v>9.118</c:v>
                </c:pt>
                <c:pt idx="20">
                  <c:v>9.145</c:v>
                </c:pt>
              </c:numCache>
            </c:numRef>
          </c:cat>
          <c:val>
            <c:numRef>
              <c:f>{0,1,9,12,47,118,278,465,696,713,610,330,177,60,14,2,1,0,0,0,0}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12</c:v>
                </c:pt>
                <c:pt idx="4">
                  <c:v>47</c:v>
                </c:pt>
                <c:pt idx="5">
                  <c:v>118</c:v>
                </c:pt>
                <c:pt idx="6">
                  <c:v>278</c:v>
                </c:pt>
                <c:pt idx="7">
                  <c:v>465</c:v>
                </c:pt>
                <c:pt idx="8">
                  <c:v>696</c:v>
                </c:pt>
                <c:pt idx="9">
                  <c:v>713</c:v>
                </c:pt>
                <c:pt idx="10">
                  <c:v>610</c:v>
                </c:pt>
                <c:pt idx="11">
                  <c:v>330</c:v>
                </c:pt>
                <c:pt idx="12">
                  <c:v>177</c:v>
                </c:pt>
                <c:pt idx="13">
                  <c:v>60</c:v>
                </c:pt>
                <c:pt idx="14">
                  <c:v>14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287496"/>
        <c:axId val="-213028456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0.0000983043973568182,0.00100418306723775,0.00784541215608977,0.046879336458656,0.214244789347663,0.748862303705394,2.00196536632321,4.09330437297009,6.40109699340364,7.65592491559111,7.00331830672813,4.89974055413975,2.62183478403577,1.07300210946243,0.335860436986125,0.0804044600468337,0.0147219198514596,0.00206163498992103,0.000220811720654701,0.0000180882055942816,0}</c:f>
              <c:numCache>
                <c:formatCode>General</c:formatCode>
                <c:ptCount val="21"/>
                <c:pt idx="0">
                  <c:v>9.83043973568182e-5</c:v>
                </c:pt>
                <c:pt idx="1">
                  <c:v>0.00100418306723775</c:v>
                </c:pt>
                <c:pt idx="2">
                  <c:v>0.00784541215608977</c:v>
                </c:pt>
                <c:pt idx="3">
                  <c:v>0.046879336458656</c:v>
                </c:pt>
                <c:pt idx="4">
                  <c:v>0.214244789347663</c:v>
                </c:pt>
                <c:pt idx="5">
                  <c:v>0.748862303705394</c:v>
                </c:pt>
                <c:pt idx="6">
                  <c:v>2.00196536632321</c:v>
                </c:pt>
                <c:pt idx="7">
                  <c:v>4.09330437297009</c:v>
                </c:pt>
                <c:pt idx="8">
                  <c:v>6.40109699340364</c:v>
                </c:pt>
                <c:pt idx="9">
                  <c:v>7.65592491559111</c:v>
                </c:pt>
                <c:pt idx="10">
                  <c:v>7.00331830672813</c:v>
                </c:pt>
                <c:pt idx="11">
                  <c:v>4.89974055413975</c:v>
                </c:pt>
                <c:pt idx="12">
                  <c:v>2.62183478403577</c:v>
                </c:pt>
                <c:pt idx="13">
                  <c:v>1.07300210946243</c:v>
                </c:pt>
                <c:pt idx="14">
                  <c:v>0.335860436986125</c:v>
                </c:pt>
                <c:pt idx="15">
                  <c:v>0.0804044600468337</c:v>
                </c:pt>
                <c:pt idx="16">
                  <c:v>0.0147219198514596</c:v>
                </c:pt>
                <c:pt idx="17">
                  <c:v>0.00206163498992103</c:v>
                </c:pt>
                <c:pt idx="18">
                  <c:v>0.000220811720654701</c:v>
                </c:pt>
                <c:pt idx="19">
                  <c:v>1.80882055942816e-5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77800"/>
        <c:axId val="-2130280856"/>
      </c:scatterChart>
      <c:catAx>
        <c:axId val="-213028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84568"/>
        <c:crosses val="autoZero"/>
        <c:auto val="1"/>
        <c:lblAlgn val="ctr"/>
        <c:lblOffset val="100"/>
        <c:noMultiLvlLbl val="0"/>
      </c:catAx>
      <c:valAx>
        <c:axId val="-2130284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87496"/>
        <c:crosses val="autoZero"/>
        <c:crossBetween val="between"/>
      </c:valAx>
      <c:valAx>
        <c:axId val="-2130277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280856"/>
        <c:crosses val="autoZero"/>
        <c:crossBetween val="midCat"/>
      </c:valAx>
      <c:valAx>
        <c:axId val="-213028085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77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{8.577,8.614,8.65,8.687,8.724,8.76,8.797,8.834,8.871,8.907,8.944,8.981,9.017,9.054,9.091,9.128,9.164,9.201,9.238,9.274,9.311}</c:f>
              <c:numCache>
                <c:formatCode>General</c:formatCode>
                <c:ptCount val="21"/>
                <c:pt idx="0">
                  <c:v>8.577</c:v>
                </c:pt>
                <c:pt idx="1">
                  <c:v>8.614</c:v>
                </c:pt>
                <c:pt idx="2">
                  <c:v>8.65</c:v>
                </c:pt>
                <c:pt idx="3">
                  <c:v>8.687</c:v>
                </c:pt>
                <c:pt idx="4">
                  <c:v>8.724</c:v>
                </c:pt>
                <c:pt idx="5">
                  <c:v>8.76</c:v>
                </c:pt>
                <c:pt idx="6">
                  <c:v>8.797</c:v>
                </c:pt>
                <c:pt idx="7">
                  <c:v>8.834</c:v>
                </c:pt>
                <c:pt idx="8">
                  <c:v>8.871</c:v>
                </c:pt>
                <c:pt idx="9">
                  <c:v>8.907</c:v>
                </c:pt>
                <c:pt idx="10">
                  <c:v>8.944</c:v>
                </c:pt>
                <c:pt idx="11">
                  <c:v>8.981</c:v>
                </c:pt>
                <c:pt idx="12">
                  <c:v>9.017</c:v>
                </c:pt>
                <c:pt idx="13">
                  <c:v>9.054</c:v>
                </c:pt>
                <c:pt idx="14">
                  <c:v>9.091</c:v>
                </c:pt>
                <c:pt idx="15">
                  <c:v>9.128</c:v>
                </c:pt>
                <c:pt idx="16">
                  <c:v>9.164</c:v>
                </c:pt>
                <c:pt idx="17">
                  <c:v>9.201</c:v>
                </c:pt>
                <c:pt idx="18">
                  <c:v>9.238</c:v>
                </c:pt>
                <c:pt idx="19">
                  <c:v>9.274</c:v>
                </c:pt>
                <c:pt idx="20">
                  <c:v>9.311</c:v>
                </c:pt>
              </c:numCache>
            </c:numRef>
          </c:cat>
          <c:val>
            <c:numRef>
              <c:f>{0,3,3,6,73,448,1144,1305,483,66,0,1,0,0,0,0,1,0,0,0,0}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73</c:v>
                </c:pt>
                <c:pt idx="5">
                  <c:v>448</c:v>
                </c:pt>
                <c:pt idx="6">
                  <c:v>1144</c:v>
                </c:pt>
                <c:pt idx="7">
                  <c:v>1305</c:v>
                </c:pt>
                <c:pt idx="8">
                  <c:v>483</c:v>
                </c:pt>
                <c:pt idx="9">
                  <c:v>66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227656"/>
        <c:axId val="-21302247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3.99411164662724E-10,2.29060640316053E-07,0.0000496107391096195,0.004057848990267,0.125346156519326,1.46224828058671,6.44208089211306,10.7183068299082,6.73474495541237,1.59812622734906,0.143217458002146,0.00484703103141321,0.0000619513245353246,2.99033847739382E-07,5.451111417683E-10,3.7527075896874E-13,9.75661907364416E-17,9.57963428792142E-21,3.55216775181943E-25,4.97431131157908E-30,0}</c:f>
              <c:numCache>
                <c:formatCode>General</c:formatCode>
                <c:ptCount val="21"/>
                <c:pt idx="0">
                  <c:v>3.99411164662724e-10</c:v>
                </c:pt>
                <c:pt idx="1">
                  <c:v>2.29060640316053e-7</c:v>
                </c:pt>
                <c:pt idx="2">
                  <c:v>4.96107391096195e-5</c:v>
                </c:pt>
                <c:pt idx="3">
                  <c:v>0.004057848990267</c:v>
                </c:pt>
                <c:pt idx="4">
                  <c:v>0.125346156519326</c:v>
                </c:pt>
                <c:pt idx="5">
                  <c:v>1.46224828058671</c:v>
                </c:pt>
                <c:pt idx="6">
                  <c:v>6.44208089211306</c:v>
                </c:pt>
                <c:pt idx="7">
                  <c:v>10.7183068299082</c:v>
                </c:pt>
                <c:pt idx="8">
                  <c:v>6.73474495541237</c:v>
                </c:pt>
                <c:pt idx="9">
                  <c:v>1.59812622734906</c:v>
                </c:pt>
                <c:pt idx="10">
                  <c:v>0.143217458002146</c:v>
                </c:pt>
                <c:pt idx="11">
                  <c:v>0.00484703103141321</c:v>
                </c:pt>
                <c:pt idx="12">
                  <c:v>6.19513245353246e-5</c:v>
                </c:pt>
                <c:pt idx="13">
                  <c:v>2.99033847739382e-7</c:v>
                </c:pt>
                <c:pt idx="14">
                  <c:v>5.451111417683e-10</c:v>
                </c:pt>
                <c:pt idx="15">
                  <c:v>3.7527075896874e-13</c:v>
                </c:pt>
                <c:pt idx="16">
                  <c:v>9.75661907364416e-17</c:v>
                </c:pt>
                <c:pt idx="17">
                  <c:v>9.57963428792142e-21</c:v>
                </c:pt>
                <c:pt idx="18">
                  <c:v>3.55216775181943e-25</c:v>
                </c:pt>
                <c:pt idx="19">
                  <c:v>4.97431131157908e-30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17960"/>
        <c:axId val="-2130221016"/>
      </c:scatterChart>
      <c:catAx>
        <c:axId val="-213022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24728"/>
        <c:crosses val="autoZero"/>
        <c:auto val="1"/>
        <c:lblAlgn val="ctr"/>
        <c:lblOffset val="100"/>
        <c:noMultiLvlLbl val="0"/>
      </c:catAx>
      <c:valAx>
        <c:axId val="-21302247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27656"/>
        <c:crosses val="autoZero"/>
        <c:crossBetween val="between"/>
      </c:valAx>
      <c:valAx>
        <c:axId val="-213021796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221016"/>
        <c:crosses val="autoZero"/>
        <c:crossBetween val="midCat"/>
      </c:valAx>
      <c:valAx>
        <c:axId val="-2130221016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1796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{8.278,8.331,8.384,8.437,8.49,8.543,8.596,8.649,8.702,8.755,8.808,8.861,8.914,8.967,9.02,9.073,9.126,9.179,9.232,9.285,9.338}</c:f>
              <c:numCache>
                <c:formatCode>General</c:formatCode>
                <c:ptCount val="21"/>
                <c:pt idx="0">
                  <c:v>8.278</c:v>
                </c:pt>
                <c:pt idx="1">
                  <c:v>8.331</c:v>
                </c:pt>
                <c:pt idx="2">
                  <c:v>8.384</c:v>
                </c:pt>
                <c:pt idx="3">
                  <c:v>8.437</c:v>
                </c:pt>
                <c:pt idx="4">
                  <c:v>8.49</c:v>
                </c:pt>
                <c:pt idx="5">
                  <c:v>8.543</c:v>
                </c:pt>
                <c:pt idx="6">
                  <c:v>8.596</c:v>
                </c:pt>
                <c:pt idx="7">
                  <c:v>8.649</c:v>
                </c:pt>
                <c:pt idx="8">
                  <c:v>8.702</c:v>
                </c:pt>
                <c:pt idx="9">
                  <c:v>8.755</c:v>
                </c:pt>
                <c:pt idx="10">
                  <c:v>8.808</c:v>
                </c:pt>
                <c:pt idx="11">
                  <c:v>8.861</c:v>
                </c:pt>
                <c:pt idx="12">
                  <c:v>8.914</c:v>
                </c:pt>
                <c:pt idx="13">
                  <c:v>8.967</c:v>
                </c:pt>
                <c:pt idx="14">
                  <c:v>9.02</c:v>
                </c:pt>
                <c:pt idx="15">
                  <c:v>9.073</c:v>
                </c:pt>
                <c:pt idx="16">
                  <c:v>9.126</c:v>
                </c:pt>
                <c:pt idx="17">
                  <c:v>9.179</c:v>
                </c:pt>
                <c:pt idx="18">
                  <c:v>9.232</c:v>
                </c:pt>
                <c:pt idx="19">
                  <c:v>9.285</c:v>
                </c:pt>
                <c:pt idx="20">
                  <c:v>9.338</c:v>
                </c:pt>
              </c:numCache>
            </c:numRef>
          </c:cat>
          <c:val>
            <c:numRef>
              <c:f>{0,1,1,0,0,0,2,4,57,691,1900,814,59,0,3,0,0,0,1,0,0}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57</c:v>
                </c:pt>
                <c:pt idx="9">
                  <c:v>691</c:v>
                </c:pt>
                <c:pt idx="10">
                  <c:v>1900</c:v>
                </c:pt>
                <c:pt idx="11">
                  <c:v>814</c:v>
                </c:pt>
                <c:pt idx="12">
                  <c:v>59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167816"/>
        <c:axId val="-213016488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5.84443399257382E-42,2.51340261027217E-34,1.87695197039392E-27,2.43397071552817E-21,5.48087423928659E-16,2.14316551624376E-11,0.0000001455231228813,0.00017158531391425,0.0351317703864884,1.24908436462352,7.71179227790755,8.26781382147198,1.5392099715751,0.0497595979278975,0.00027933648963671,2.7230166338396E-07,4.60940354879454E-11,1.35491167136663E-15,6.91590549877762E-21,6.12997821610742E-27,0}</c:f>
              <c:numCache>
                <c:formatCode>General</c:formatCode>
                <c:ptCount val="21"/>
                <c:pt idx="0">
                  <c:v>5.84443399257382e-42</c:v>
                </c:pt>
                <c:pt idx="1">
                  <c:v>2.51340261027217e-34</c:v>
                </c:pt>
                <c:pt idx="2">
                  <c:v>1.87695197039392e-27</c:v>
                </c:pt>
                <c:pt idx="3">
                  <c:v>2.43397071552817e-21</c:v>
                </c:pt>
                <c:pt idx="4">
                  <c:v>5.48087423928659e-16</c:v>
                </c:pt>
                <c:pt idx="5">
                  <c:v>2.14316551624376e-11</c:v>
                </c:pt>
                <c:pt idx="6">
                  <c:v>1.455231228813e-7</c:v>
                </c:pt>
                <c:pt idx="7">
                  <c:v>0.00017158531391425</c:v>
                </c:pt>
                <c:pt idx="8">
                  <c:v>0.0351317703864884</c:v>
                </c:pt>
                <c:pt idx="9">
                  <c:v>1.24908436462352</c:v>
                </c:pt>
                <c:pt idx="10">
                  <c:v>7.71179227790755</c:v>
                </c:pt>
                <c:pt idx="11">
                  <c:v>8.26781382147198</c:v>
                </c:pt>
                <c:pt idx="12">
                  <c:v>1.5392099715751</c:v>
                </c:pt>
                <c:pt idx="13">
                  <c:v>0.0497595979278975</c:v>
                </c:pt>
                <c:pt idx="14">
                  <c:v>0.00027933648963671</c:v>
                </c:pt>
                <c:pt idx="15">
                  <c:v>2.7230166338396e-7</c:v>
                </c:pt>
                <c:pt idx="16">
                  <c:v>4.60940354879454e-11</c:v>
                </c:pt>
                <c:pt idx="17">
                  <c:v>1.35491167136663e-15</c:v>
                </c:pt>
                <c:pt idx="18">
                  <c:v>6.91590549877762e-21</c:v>
                </c:pt>
                <c:pt idx="19">
                  <c:v>6.12997821610742e-27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158120"/>
        <c:axId val="-2130161176"/>
      </c:scatterChart>
      <c:catAx>
        <c:axId val="-213016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64888"/>
        <c:crosses val="autoZero"/>
        <c:auto val="1"/>
        <c:lblAlgn val="ctr"/>
        <c:lblOffset val="100"/>
        <c:noMultiLvlLbl val="0"/>
      </c:catAx>
      <c:valAx>
        <c:axId val="-2130164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67816"/>
        <c:crosses val="autoZero"/>
        <c:crossBetween val="between"/>
      </c:valAx>
      <c:valAx>
        <c:axId val="-213015812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161176"/>
        <c:crosses val="autoZero"/>
        <c:crossBetween val="midCat"/>
      </c:valAx>
      <c:valAx>
        <c:axId val="-213016117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5812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{8.531,8.57,8.609,8.648,8.688,8.727,8.766,8.805,8.845,8.884,8.923,8.962,9.001,9.041,9.08,9.119,9.158,9.198,9.237,9.276,9.315}</c:f>
              <c:numCache>
                <c:formatCode>General</c:formatCode>
                <c:ptCount val="21"/>
                <c:pt idx="0">
                  <c:v>8.531</c:v>
                </c:pt>
                <c:pt idx="1">
                  <c:v>8.57</c:v>
                </c:pt>
                <c:pt idx="2">
                  <c:v>8.609</c:v>
                </c:pt>
                <c:pt idx="3">
                  <c:v>8.648</c:v>
                </c:pt>
                <c:pt idx="4">
                  <c:v>8.688</c:v>
                </c:pt>
                <c:pt idx="5">
                  <c:v>8.727</c:v>
                </c:pt>
                <c:pt idx="6">
                  <c:v>8.766</c:v>
                </c:pt>
                <c:pt idx="7">
                  <c:v>8.805</c:v>
                </c:pt>
                <c:pt idx="8">
                  <c:v>8.845</c:v>
                </c:pt>
                <c:pt idx="9">
                  <c:v>8.884</c:v>
                </c:pt>
                <c:pt idx="10">
                  <c:v>8.923</c:v>
                </c:pt>
                <c:pt idx="11">
                  <c:v>8.962</c:v>
                </c:pt>
                <c:pt idx="12">
                  <c:v>9.001</c:v>
                </c:pt>
                <c:pt idx="13">
                  <c:v>9.041</c:v>
                </c:pt>
                <c:pt idx="14">
                  <c:v>9.08</c:v>
                </c:pt>
                <c:pt idx="15">
                  <c:v>9.119</c:v>
                </c:pt>
                <c:pt idx="16">
                  <c:v>9.158</c:v>
                </c:pt>
                <c:pt idx="17">
                  <c:v>9.198</c:v>
                </c:pt>
                <c:pt idx="18">
                  <c:v>9.237</c:v>
                </c:pt>
                <c:pt idx="19">
                  <c:v>9.276</c:v>
                </c:pt>
                <c:pt idx="20">
                  <c:v>9.315</c:v>
                </c:pt>
              </c:numCache>
            </c:numRef>
          </c:cat>
          <c:val>
            <c:numRef>
              <c:f>{0,1,1,3,12,103,576,1326,1134,337,38,1,0,0,1,0,0,0,0,0,0}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12</c:v>
                </c:pt>
                <c:pt idx="5">
                  <c:v>103</c:v>
                </c:pt>
                <c:pt idx="6">
                  <c:v>576</c:v>
                </c:pt>
                <c:pt idx="7">
                  <c:v>1326</c:v>
                </c:pt>
                <c:pt idx="8">
                  <c:v>1134</c:v>
                </c:pt>
                <c:pt idx="9">
                  <c:v>337</c:v>
                </c:pt>
                <c:pt idx="10">
                  <c:v>38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107864"/>
        <c:axId val="-213010493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1.84902916014097E-13,0.000000000367746999,2.5846844030752E-07,0.0000641976180596932,0.00563486239379017,0.174783713819408,1.9158938679015,7.42155256714837,10.1594670141207,4.91473286738148,0.840198199211218,0.0507593920076978,0.00108368712280137,8.17606339494783E-06,2.17991495259368E-08,2.05394293234044E-11,6.8389702985944E-15,0.0000000000000000008,3.3462314315009E-23,4.91721147130408E-28,0}</c:f>
              <c:numCache>
                <c:formatCode>General</c:formatCode>
                <c:ptCount val="21"/>
                <c:pt idx="0">
                  <c:v>1.84902916014097e-13</c:v>
                </c:pt>
                <c:pt idx="1">
                  <c:v>3.67746999e-10</c:v>
                </c:pt>
                <c:pt idx="2">
                  <c:v>2.5846844030752e-7</c:v>
                </c:pt>
                <c:pt idx="3">
                  <c:v>6.41976180596932e-5</c:v>
                </c:pt>
                <c:pt idx="4">
                  <c:v>0.00563486239379017</c:v>
                </c:pt>
                <c:pt idx="5">
                  <c:v>0.174783713819408</c:v>
                </c:pt>
                <c:pt idx="6">
                  <c:v>1.9158938679015</c:v>
                </c:pt>
                <c:pt idx="7">
                  <c:v>7.42155256714837</c:v>
                </c:pt>
                <c:pt idx="8">
                  <c:v>10.1594670141207</c:v>
                </c:pt>
                <c:pt idx="9">
                  <c:v>4.91473286738148</c:v>
                </c:pt>
                <c:pt idx="10">
                  <c:v>0.840198199211218</c:v>
                </c:pt>
                <c:pt idx="11">
                  <c:v>0.0507593920076978</c:v>
                </c:pt>
                <c:pt idx="12">
                  <c:v>0.00108368712280137</c:v>
                </c:pt>
                <c:pt idx="13">
                  <c:v>8.17606339494783e-6</c:v>
                </c:pt>
                <c:pt idx="14">
                  <c:v>2.17991495259368e-8</c:v>
                </c:pt>
                <c:pt idx="15">
                  <c:v>2.05394293234044e-11</c:v>
                </c:pt>
                <c:pt idx="16">
                  <c:v>6.8389702985944e-15</c:v>
                </c:pt>
                <c:pt idx="17">
                  <c:v>8e-19</c:v>
                </c:pt>
                <c:pt idx="18">
                  <c:v>3.3462314315009e-23</c:v>
                </c:pt>
                <c:pt idx="19">
                  <c:v>4.91721147130408e-28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98168"/>
        <c:axId val="-2130101224"/>
      </c:scatterChart>
      <c:catAx>
        <c:axId val="-213010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04936"/>
        <c:crosses val="autoZero"/>
        <c:auto val="1"/>
        <c:lblAlgn val="ctr"/>
        <c:lblOffset val="100"/>
        <c:noMultiLvlLbl val="0"/>
      </c:catAx>
      <c:valAx>
        <c:axId val="-2130104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07864"/>
        <c:crosses val="autoZero"/>
        <c:crossBetween val="between"/>
      </c:valAx>
      <c:valAx>
        <c:axId val="-213009816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101224"/>
        <c:crosses val="autoZero"/>
        <c:crossBetween val="midCat"/>
      </c:valAx>
      <c:valAx>
        <c:axId val="-213010122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9816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{8.462,8.505,8.548,8.591,8.634,8.677,8.72,8.763,8.806,8.849,8.892,8.935,8.978,9.021,9.064,9.107,9.15,9.193,9.236,9.279,9.322}</c:f>
              <c:numCache>
                <c:formatCode>General</c:formatCode>
                <c:ptCount val="21"/>
                <c:pt idx="0">
                  <c:v>8.462</c:v>
                </c:pt>
                <c:pt idx="1">
                  <c:v>8.505</c:v>
                </c:pt>
                <c:pt idx="2">
                  <c:v>8.548</c:v>
                </c:pt>
                <c:pt idx="3">
                  <c:v>8.591</c:v>
                </c:pt>
                <c:pt idx="4">
                  <c:v>8.634</c:v>
                </c:pt>
                <c:pt idx="5">
                  <c:v>8.677</c:v>
                </c:pt>
                <c:pt idx="6">
                  <c:v>8.72</c:v>
                </c:pt>
                <c:pt idx="7">
                  <c:v>8.763</c:v>
                </c:pt>
                <c:pt idx="8">
                  <c:v>8.806</c:v>
                </c:pt>
                <c:pt idx="9">
                  <c:v>8.849</c:v>
                </c:pt>
                <c:pt idx="10">
                  <c:v>8.892</c:v>
                </c:pt>
                <c:pt idx="11">
                  <c:v>8.935</c:v>
                </c:pt>
                <c:pt idx="12">
                  <c:v>8.978</c:v>
                </c:pt>
                <c:pt idx="13">
                  <c:v>9.021</c:v>
                </c:pt>
                <c:pt idx="14">
                  <c:v>9.064</c:v>
                </c:pt>
                <c:pt idx="15">
                  <c:v>9.107</c:v>
                </c:pt>
                <c:pt idx="16">
                  <c:v>9.15</c:v>
                </c:pt>
                <c:pt idx="17">
                  <c:v>9.193</c:v>
                </c:pt>
                <c:pt idx="18">
                  <c:v>9.236</c:v>
                </c:pt>
                <c:pt idx="19">
                  <c:v>9.279</c:v>
                </c:pt>
                <c:pt idx="20">
                  <c:v>9.322</c:v>
                </c:pt>
              </c:numCache>
            </c:numRef>
          </c:cat>
          <c:val>
            <c:numRef>
              <c:f>{0,1,0,0,3,11,102,645,1450,1069,240,12,0,0,0,0,0,0,0,0,0}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102</c:v>
                </c:pt>
                <c:pt idx="7">
                  <c:v>645</c:v>
                </c:pt>
                <c:pt idx="8">
                  <c:v>1450</c:v>
                </c:pt>
                <c:pt idx="9">
                  <c:v>1069</c:v>
                </c:pt>
                <c:pt idx="10">
                  <c:v>240</c:v>
                </c:pt>
                <c:pt idx="11">
                  <c:v>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048024"/>
        <c:axId val="-21300450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6.13981797299327E-20,1.48241006517003E-15,1.04521071516911E-11,2.15209904497345E-08,0.0000129402529825897,0.00227219714984939,0.116512490806469,1.74470225971843,7.62943752873242,9.74285142781271,3.63330619518697,0.395676520310608,0.0125834845713356,0.000116864854601734,3.16948927157137E-07,2.51025019756871E-10,5.80586715805747E-14,3.92138551508104E-18,7.73453745316591E-23,4.4550390401136E-28,0}</c:f>
              <c:numCache>
                <c:formatCode>General</c:formatCode>
                <c:ptCount val="21"/>
                <c:pt idx="0">
                  <c:v>6.13981797299327e-20</c:v>
                </c:pt>
                <c:pt idx="1">
                  <c:v>1.48241006517003e-15</c:v>
                </c:pt>
                <c:pt idx="2">
                  <c:v>1.04521071516911e-11</c:v>
                </c:pt>
                <c:pt idx="3">
                  <c:v>2.15209904497345e-8</c:v>
                </c:pt>
                <c:pt idx="4">
                  <c:v>1.29402529825897e-5</c:v>
                </c:pt>
                <c:pt idx="5">
                  <c:v>0.00227219714984939</c:v>
                </c:pt>
                <c:pt idx="6">
                  <c:v>0.116512490806469</c:v>
                </c:pt>
                <c:pt idx="7">
                  <c:v>1.74470225971843</c:v>
                </c:pt>
                <c:pt idx="8">
                  <c:v>7.62943752873242</c:v>
                </c:pt>
                <c:pt idx="9">
                  <c:v>9.74285142781271</c:v>
                </c:pt>
                <c:pt idx="10">
                  <c:v>3.63330619518697</c:v>
                </c:pt>
                <c:pt idx="11">
                  <c:v>0.395676520310608</c:v>
                </c:pt>
                <c:pt idx="12">
                  <c:v>0.0125834845713356</c:v>
                </c:pt>
                <c:pt idx="13">
                  <c:v>0.000116864854601734</c:v>
                </c:pt>
                <c:pt idx="14">
                  <c:v>3.16948927157137e-7</c:v>
                </c:pt>
                <c:pt idx="15">
                  <c:v>2.51025019756871e-10</c:v>
                </c:pt>
                <c:pt idx="16">
                  <c:v>5.80586715805747e-14</c:v>
                </c:pt>
                <c:pt idx="17">
                  <c:v>3.92138551508104e-18</c:v>
                </c:pt>
                <c:pt idx="18">
                  <c:v>7.73453745316591e-23</c:v>
                </c:pt>
                <c:pt idx="19">
                  <c:v>4.4550390401136e-28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38328"/>
        <c:axId val="-2130041384"/>
      </c:scatterChart>
      <c:catAx>
        <c:axId val="-2130048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45096"/>
        <c:crosses val="autoZero"/>
        <c:auto val="1"/>
        <c:lblAlgn val="ctr"/>
        <c:lblOffset val="100"/>
        <c:noMultiLvlLbl val="0"/>
      </c:catAx>
      <c:valAx>
        <c:axId val="-21300450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48024"/>
        <c:crosses val="autoZero"/>
        <c:crossBetween val="between"/>
      </c:valAx>
      <c:valAx>
        <c:axId val="-213003832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041384"/>
        <c:crosses val="autoZero"/>
        <c:crossBetween val="midCat"/>
      </c:valAx>
      <c:valAx>
        <c:axId val="-213004138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3832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{8.307,8.359,8.41,8.462,8.513,8.564,8.616,8.667,8.719,8.77,8.821,8.873,8.924,8.976,9.027,9.079,9.13,9.181,9.233,9.284,9.336}</c:f>
              <c:numCache>
                <c:formatCode>General</c:formatCode>
                <c:ptCount val="21"/>
                <c:pt idx="0">
                  <c:v>8.307</c:v>
                </c:pt>
                <c:pt idx="1">
                  <c:v>8.359</c:v>
                </c:pt>
                <c:pt idx="2">
                  <c:v>8.41</c:v>
                </c:pt>
                <c:pt idx="3">
                  <c:v>8.462</c:v>
                </c:pt>
                <c:pt idx="4">
                  <c:v>8.513</c:v>
                </c:pt>
                <c:pt idx="5">
                  <c:v>8.564</c:v>
                </c:pt>
                <c:pt idx="6">
                  <c:v>8.616</c:v>
                </c:pt>
                <c:pt idx="7">
                  <c:v>8.667</c:v>
                </c:pt>
                <c:pt idx="8">
                  <c:v>8.719</c:v>
                </c:pt>
                <c:pt idx="9">
                  <c:v>8.77</c:v>
                </c:pt>
                <c:pt idx="10">
                  <c:v>8.821</c:v>
                </c:pt>
                <c:pt idx="11">
                  <c:v>8.873</c:v>
                </c:pt>
                <c:pt idx="12">
                  <c:v>8.924</c:v>
                </c:pt>
                <c:pt idx="13">
                  <c:v>8.976</c:v>
                </c:pt>
                <c:pt idx="14">
                  <c:v>9.027</c:v>
                </c:pt>
                <c:pt idx="15">
                  <c:v>9.079</c:v>
                </c:pt>
                <c:pt idx="16">
                  <c:v>9.13</c:v>
                </c:pt>
                <c:pt idx="17">
                  <c:v>9.181</c:v>
                </c:pt>
                <c:pt idx="18">
                  <c:v>9.233</c:v>
                </c:pt>
                <c:pt idx="19">
                  <c:v>9.284</c:v>
                </c:pt>
                <c:pt idx="20">
                  <c:v>9.336</c:v>
                </c:pt>
              </c:numCache>
            </c:numRef>
          </c:cat>
          <c:val>
            <c:numRef>
              <c:f>{0,1,0,0,0,0,3,11,169,1057,1713,546,31,2,0,0,0,0,0,0,0}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169</c:v>
                </c:pt>
                <c:pt idx="9">
                  <c:v>1057</c:v>
                </c:pt>
                <c:pt idx="10">
                  <c:v>1713</c:v>
                </c:pt>
                <c:pt idx="11">
                  <c:v>546</c:v>
                </c:pt>
                <c:pt idx="12">
                  <c:v>31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988056"/>
        <c:axId val="-21299851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5.81093809796438E-37,4.63951291473421E-30,7.27264030261634E-24,2.23823551272276E-18,1.35242220716672E-13,1.60439939126383E-09,3.73686355725412E-06,0.00170881586477455,0.153418088714321,2.70427680222286,9.3587746829932,6.35887246128834,0.848270788332064,0.0222168346494056,0.000114241297788295,1.15333998155834E-07,2.2860453471677E-11,8.89622193344127E-16,6.79703725711226E-21,1.01959328450157E-26,0}</c:f>
              <c:numCache>
                <c:formatCode>General</c:formatCode>
                <c:ptCount val="21"/>
                <c:pt idx="0">
                  <c:v>5.81093809796438e-37</c:v>
                </c:pt>
                <c:pt idx="1">
                  <c:v>4.63951291473421e-30</c:v>
                </c:pt>
                <c:pt idx="2">
                  <c:v>7.27264030261634e-24</c:v>
                </c:pt>
                <c:pt idx="3">
                  <c:v>2.23823551272276e-18</c:v>
                </c:pt>
                <c:pt idx="4">
                  <c:v>1.35242220716672e-13</c:v>
                </c:pt>
                <c:pt idx="5">
                  <c:v>1.60439939126383e-9</c:v>
                </c:pt>
                <c:pt idx="6">
                  <c:v>3.73686355725412e-6</c:v>
                </c:pt>
                <c:pt idx="7">
                  <c:v>0.00170881586477455</c:v>
                </c:pt>
                <c:pt idx="8">
                  <c:v>0.153418088714321</c:v>
                </c:pt>
                <c:pt idx="9">
                  <c:v>2.70427680222286</c:v>
                </c:pt>
                <c:pt idx="10">
                  <c:v>9.3587746829932</c:v>
                </c:pt>
                <c:pt idx="11">
                  <c:v>6.35887246128834</c:v>
                </c:pt>
                <c:pt idx="12">
                  <c:v>0.848270788332064</c:v>
                </c:pt>
                <c:pt idx="13">
                  <c:v>0.0222168346494056</c:v>
                </c:pt>
                <c:pt idx="14">
                  <c:v>0.000114241297788295</c:v>
                </c:pt>
                <c:pt idx="15">
                  <c:v>1.15333998155834e-7</c:v>
                </c:pt>
                <c:pt idx="16">
                  <c:v>2.2860453471677e-11</c:v>
                </c:pt>
                <c:pt idx="17">
                  <c:v>8.89622193344127e-16</c:v>
                </c:pt>
                <c:pt idx="18">
                  <c:v>6.79703725711226e-21</c:v>
                </c:pt>
                <c:pt idx="19">
                  <c:v>1.01959328450157e-26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78360"/>
        <c:axId val="-2129981416"/>
      </c:scatterChart>
      <c:catAx>
        <c:axId val="-212998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85128"/>
        <c:crosses val="autoZero"/>
        <c:auto val="1"/>
        <c:lblAlgn val="ctr"/>
        <c:lblOffset val="100"/>
        <c:noMultiLvlLbl val="0"/>
      </c:catAx>
      <c:valAx>
        <c:axId val="-2129985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88056"/>
        <c:crosses val="autoZero"/>
        <c:crossBetween val="between"/>
      </c:valAx>
      <c:valAx>
        <c:axId val="-212997836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981416"/>
        <c:crosses val="autoZero"/>
        <c:crossBetween val="midCat"/>
      </c:valAx>
      <c:valAx>
        <c:axId val="-212998141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7836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{24.46,25.12,25.78,26.44,27.1,27.76,28.42,29.08,29.74,30.4,31.06,31.72,32.38,33.04,33.7,34.36,35.02,35.68,36.34,37,37.66}</c:f>
              <c:numCache>
                <c:formatCode>General</c:formatCode>
                <c:ptCount val="21"/>
                <c:pt idx="0">
                  <c:v>24.46</c:v>
                </c:pt>
                <c:pt idx="1">
                  <c:v>25.12</c:v>
                </c:pt>
                <c:pt idx="2">
                  <c:v>25.78</c:v>
                </c:pt>
                <c:pt idx="3">
                  <c:v>26.44</c:v>
                </c:pt>
                <c:pt idx="4">
                  <c:v>27.1</c:v>
                </c:pt>
                <c:pt idx="5">
                  <c:v>27.76</c:v>
                </c:pt>
                <c:pt idx="6">
                  <c:v>28.42</c:v>
                </c:pt>
                <c:pt idx="7">
                  <c:v>29.08</c:v>
                </c:pt>
                <c:pt idx="8">
                  <c:v>29.74</c:v>
                </c:pt>
                <c:pt idx="9">
                  <c:v>30.4</c:v>
                </c:pt>
                <c:pt idx="10">
                  <c:v>31.06</c:v>
                </c:pt>
                <c:pt idx="11">
                  <c:v>31.72</c:v>
                </c:pt>
                <c:pt idx="12">
                  <c:v>32.38</c:v>
                </c:pt>
                <c:pt idx="13">
                  <c:v>33.04</c:v>
                </c:pt>
                <c:pt idx="14">
                  <c:v>33.7</c:v>
                </c:pt>
                <c:pt idx="15">
                  <c:v>34.36</c:v>
                </c:pt>
                <c:pt idx="16">
                  <c:v>35.02</c:v>
                </c:pt>
                <c:pt idx="17">
                  <c:v>35.68</c:v>
                </c:pt>
                <c:pt idx="18">
                  <c:v>36.34</c:v>
                </c:pt>
                <c:pt idx="19">
                  <c:v>37</c:v>
                </c:pt>
                <c:pt idx="20">
                  <c:v>37.66</c:v>
                </c:pt>
              </c:numCache>
            </c:numRef>
          </c:cat>
          <c:val>
            <c:numRef>
              <c:f>{0,0,0,8,34,96,321,513,661,670,532,347,220,82,29,15,4,1,0,0,0}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34</c:v>
                </c:pt>
                <c:pt idx="5">
                  <c:v>96</c:v>
                </c:pt>
                <c:pt idx="6">
                  <c:v>321</c:v>
                </c:pt>
                <c:pt idx="7">
                  <c:v>513</c:v>
                </c:pt>
                <c:pt idx="8">
                  <c:v>661</c:v>
                </c:pt>
                <c:pt idx="9">
                  <c:v>670</c:v>
                </c:pt>
                <c:pt idx="10">
                  <c:v>532</c:v>
                </c:pt>
                <c:pt idx="11">
                  <c:v>347</c:v>
                </c:pt>
                <c:pt idx="12">
                  <c:v>220</c:v>
                </c:pt>
                <c:pt idx="13">
                  <c:v>82</c:v>
                </c:pt>
                <c:pt idx="14">
                  <c:v>29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917752"/>
        <c:axId val="-212991474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0.0000087014015735969,0.0000730455824053517,0.000481303626284081,0.00248922838681202,0.0101048713734125,0.0321971379174532,0.0805237848269971,0.158070754020067,0.243556264066542,0.294555757523322,0.279612229208326,0.208336441214084,0.121841364554471,0.0559299847141971,0.0201518573661187,0.00569909496897602,0.00126507752735167,0.000220418895366706,0.0000301440037842765,3.23573899819548E-06,0}</c:f>
              <c:numCache>
                <c:formatCode>General</c:formatCode>
                <c:ptCount val="21"/>
                <c:pt idx="0">
                  <c:v>8.7014015735969e-6</c:v>
                </c:pt>
                <c:pt idx="1">
                  <c:v>7.30455824053517e-5</c:v>
                </c:pt>
                <c:pt idx="2">
                  <c:v>0.000481303626284081</c:v>
                </c:pt>
                <c:pt idx="3">
                  <c:v>0.00248922838681202</c:v>
                </c:pt>
                <c:pt idx="4">
                  <c:v>0.0101048713734125</c:v>
                </c:pt>
                <c:pt idx="5">
                  <c:v>0.0321971379174532</c:v>
                </c:pt>
                <c:pt idx="6">
                  <c:v>0.0805237848269971</c:v>
                </c:pt>
                <c:pt idx="7">
                  <c:v>0.158070754020067</c:v>
                </c:pt>
                <c:pt idx="8">
                  <c:v>0.243556264066542</c:v>
                </c:pt>
                <c:pt idx="9">
                  <c:v>0.294555757523322</c:v>
                </c:pt>
                <c:pt idx="10">
                  <c:v>0.279612229208326</c:v>
                </c:pt>
                <c:pt idx="11">
                  <c:v>0.208336441214084</c:v>
                </c:pt>
                <c:pt idx="12">
                  <c:v>0.121841364554471</c:v>
                </c:pt>
                <c:pt idx="13">
                  <c:v>0.0559299847141971</c:v>
                </c:pt>
                <c:pt idx="14">
                  <c:v>0.0201518573661187</c:v>
                </c:pt>
                <c:pt idx="15">
                  <c:v>0.00569909496897602</c:v>
                </c:pt>
                <c:pt idx="16">
                  <c:v>0.00126507752735167</c:v>
                </c:pt>
                <c:pt idx="17">
                  <c:v>0.000220418895366706</c:v>
                </c:pt>
                <c:pt idx="18">
                  <c:v>3.01440037842765e-5</c:v>
                </c:pt>
                <c:pt idx="19">
                  <c:v>3.23573899819548e-6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08216"/>
        <c:axId val="-2129911272"/>
      </c:scatterChart>
      <c:catAx>
        <c:axId val="-212991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14744"/>
        <c:crosses val="autoZero"/>
        <c:auto val="1"/>
        <c:lblAlgn val="ctr"/>
        <c:lblOffset val="100"/>
        <c:noMultiLvlLbl val="0"/>
      </c:catAx>
      <c:valAx>
        <c:axId val="-21299147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17752"/>
        <c:crosses val="autoZero"/>
        <c:crossBetween val="between"/>
      </c:valAx>
      <c:valAx>
        <c:axId val="-2129908216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911272"/>
        <c:crosses val="autoZero"/>
        <c:crossBetween val="midCat"/>
      </c:valAx>
      <c:valAx>
        <c:axId val="-2129911272"/>
        <c:scaling>
          <c:orientation val="minMax"/>
          <c:max val="0.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08216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{34.83,35.49,36.15,36.81,37.47,38.13,38.79,39.45,40.11,40.77,41.43,42.09,42.75,43.41,44.07,44.73,45.39,46.05,46.71,47.37,48.03}</c:f>
              <c:numCache>
                <c:formatCode>General</c:formatCode>
                <c:ptCount val="21"/>
                <c:pt idx="0">
                  <c:v>34.83</c:v>
                </c:pt>
                <c:pt idx="1">
                  <c:v>35.49</c:v>
                </c:pt>
                <c:pt idx="2">
                  <c:v>36.15</c:v>
                </c:pt>
                <c:pt idx="3">
                  <c:v>36.81</c:v>
                </c:pt>
                <c:pt idx="4">
                  <c:v>37.47</c:v>
                </c:pt>
                <c:pt idx="5">
                  <c:v>38.13</c:v>
                </c:pt>
                <c:pt idx="6">
                  <c:v>38.79</c:v>
                </c:pt>
                <c:pt idx="7">
                  <c:v>39.45</c:v>
                </c:pt>
                <c:pt idx="8">
                  <c:v>40.11</c:v>
                </c:pt>
                <c:pt idx="9">
                  <c:v>40.77</c:v>
                </c:pt>
                <c:pt idx="10">
                  <c:v>41.43</c:v>
                </c:pt>
                <c:pt idx="11">
                  <c:v>42.09</c:v>
                </c:pt>
                <c:pt idx="12">
                  <c:v>42.75</c:v>
                </c:pt>
                <c:pt idx="13">
                  <c:v>43.41</c:v>
                </c:pt>
                <c:pt idx="14">
                  <c:v>44.07</c:v>
                </c:pt>
                <c:pt idx="15">
                  <c:v>44.73</c:v>
                </c:pt>
                <c:pt idx="16">
                  <c:v>45.39</c:v>
                </c:pt>
                <c:pt idx="17">
                  <c:v>46.05</c:v>
                </c:pt>
                <c:pt idx="18">
                  <c:v>46.71</c:v>
                </c:pt>
                <c:pt idx="19">
                  <c:v>47.37</c:v>
                </c:pt>
                <c:pt idx="20">
                  <c:v>48.03</c:v>
                </c:pt>
              </c:numCache>
            </c:numRef>
          </c:cat>
          <c:val>
            <c:numRef>
              <c:f>{0,0,0,3,6,10,26,99,269,553,727,735,538,350,151,52,8,5,1,0,0}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10</c:v>
                </c:pt>
                <c:pt idx="6">
                  <c:v>26</c:v>
                </c:pt>
                <c:pt idx="7">
                  <c:v>99</c:v>
                </c:pt>
                <c:pt idx="8">
                  <c:v>269</c:v>
                </c:pt>
                <c:pt idx="9">
                  <c:v>553</c:v>
                </c:pt>
                <c:pt idx="10">
                  <c:v>727</c:v>
                </c:pt>
                <c:pt idx="11">
                  <c:v>735</c:v>
                </c:pt>
                <c:pt idx="12">
                  <c:v>538</c:v>
                </c:pt>
                <c:pt idx="13">
                  <c:v>350</c:v>
                </c:pt>
                <c:pt idx="14">
                  <c:v>151</c:v>
                </c:pt>
                <c:pt idx="15">
                  <c:v>52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850920"/>
        <c:axId val="-212984791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5.27342645834743E-09,1.14695839960287E-07,1.86696342069251E-06,0.0000227435011921065,0.000207353898550741,0.00141481761618217,0.0072247376696954,0.0276106783426436,0.0789706005922365,0.169039101492798,0.270796022180199,0.324661473784156,0.291308127277981,0.195617550796308,0.0983097073188748,0.0369758664467058,0.010408153441237,0.00219261501117726,0.000345688116451255,0.0000407887022419318,0}</c:f>
              <c:numCache>
                <c:formatCode>General</c:formatCode>
                <c:ptCount val="21"/>
                <c:pt idx="0">
                  <c:v>5.27342645834743e-9</c:v>
                </c:pt>
                <c:pt idx="1">
                  <c:v>1.14695839960287e-7</c:v>
                </c:pt>
                <c:pt idx="2">
                  <c:v>1.86696342069251e-6</c:v>
                </c:pt>
                <c:pt idx="3">
                  <c:v>2.27435011921065e-5</c:v>
                </c:pt>
                <c:pt idx="4">
                  <c:v>0.000207353898550741</c:v>
                </c:pt>
                <c:pt idx="5">
                  <c:v>0.00141481761618217</c:v>
                </c:pt>
                <c:pt idx="6">
                  <c:v>0.0072247376696954</c:v>
                </c:pt>
                <c:pt idx="7">
                  <c:v>0.0276106783426436</c:v>
                </c:pt>
                <c:pt idx="8">
                  <c:v>0.0789706005922365</c:v>
                </c:pt>
                <c:pt idx="9">
                  <c:v>0.169039101492798</c:v>
                </c:pt>
                <c:pt idx="10">
                  <c:v>0.270796022180199</c:v>
                </c:pt>
                <c:pt idx="11">
                  <c:v>0.324661473784156</c:v>
                </c:pt>
                <c:pt idx="12">
                  <c:v>0.291308127277981</c:v>
                </c:pt>
                <c:pt idx="13">
                  <c:v>0.195617550796308</c:v>
                </c:pt>
                <c:pt idx="14">
                  <c:v>0.0983097073188748</c:v>
                </c:pt>
                <c:pt idx="15">
                  <c:v>0.0369758664467058</c:v>
                </c:pt>
                <c:pt idx="16">
                  <c:v>0.010408153441237</c:v>
                </c:pt>
                <c:pt idx="17">
                  <c:v>0.00219261501117726</c:v>
                </c:pt>
                <c:pt idx="18">
                  <c:v>0.000345688116451255</c:v>
                </c:pt>
                <c:pt idx="19">
                  <c:v>4.07887022419318e-5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41384"/>
        <c:axId val="-2129844440"/>
      </c:scatterChart>
      <c:catAx>
        <c:axId val="-212985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47912"/>
        <c:crosses val="autoZero"/>
        <c:auto val="1"/>
        <c:lblAlgn val="ctr"/>
        <c:lblOffset val="100"/>
        <c:noMultiLvlLbl val="0"/>
      </c:catAx>
      <c:valAx>
        <c:axId val="-21298479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50920"/>
        <c:crosses val="autoZero"/>
        <c:crossBetween val="between"/>
      </c:valAx>
      <c:valAx>
        <c:axId val="-212984138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844440"/>
        <c:crosses val="autoZero"/>
        <c:crossBetween val="midCat"/>
      </c:valAx>
      <c:valAx>
        <c:axId val="-2129844440"/>
        <c:scaling>
          <c:orientation val="minMax"/>
          <c:max val="0.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4138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{1.95,1.98,2.01,2.04,2.07,2.1,2.13,2.16,2.19,2.22,2.25,2.28,2.31,2.34,2.37,2.4,2.43,2.46,2.49,2.52,2.55}</c:f>
              <c:numCache>
                <c:formatCode>General</c:formatCode>
                <c:ptCount val="21"/>
                <c:pt idx="0">
                  <c:v>1.95</c:v>
                </c:pt>
                <c:pt idx="1">
                  <c:v>1.98</c:v>
                </c:pt>
                <c:pt idx="2">
                  <c:v>2.01</c:v>
                </c:pt>
                <c:pt idx="3">
                  <c:v>2.04</c:v>
                </c:pt>
                <c:pt idx="4">
                  <c:v>2.07</c:v>
                </c:pt>
                <c:pt idx="5">
                  <c:v>2.1</c:v>
                </c:pt>
                <c:pt idx="6">
                  <c:v>2.13</c:v>
                </c:pt>
                <c:pt idx="7">
                  <c:v>2.16</c:v>
                </c:pt>
                <c:pt idx="8">
                  <c:v>2.19</c:v>
                </c:pt>
                <c:pt idx="9">
                  <c:v>2.22</c:v>
                </c:pt>
                <c:pt idx="10">
                  <c:v>2.25</c:v>
                </c:pt>
                <c:pt idx="11">
                  <c:v>2.28</c:v>
                </c:pt>
                <c:pt idx="12">
                  <c:v>2.31</c:v>
                </c:pt>
                <c:pt idx="13">
                  <c:v>2.34</c:v>
                </c:pt>
                <c:pt idx="14">
                  <c:v>2.37</c:v>
                </c:pt>
                <c:pt idx="15">
                  <c:v>2.4</c:v>
                </c:pt>
                <c:pt idx="16">
                  <c:v>2.43</c:v>
                </c:pt>
                <c:pt idx="17">
                  <c:v>2.46</c:v>
                </c:pt>
                <c:pt idx="18">
                  <c:v>2.49</c:v>
                </c:pt>
                <c:pt idx="19">
                  <c:v>2.52</c:v>
                </c:pt>
                <c:pt idx="20">
                  <c:v>2.55</c:v>
                </c:pt>
              </c:numCache>
            </c:numRef>
          </c:cat>
          <c:val>
            <c:numRef>
              <c:f>{0,0,0,7,11,19,55,156,324,497,613,597,517,334,199,119,59,21,5,0,0}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11</c:v>
                </c:pt>
                <c:pt idx="5">
                  <c:v>19</c:v>
                </c:pt>
                <c:pt idx="6">
                  <c:v>55</c:v>
                </c:pt>
                <c:pt idx="7">
                  <c:v>156</c:v>
                </c:pt>
                <c:pt idx="8">
                  <c:v>324</c:v>
                </c:pt>
                <c:pt idx="9">
                  <c:v>497</c:v>
                </c:pt>
                <c:pt idx="10">
                  <c:v>613</c:v>
                </c:pt>
                <c:pt idx="11">
                  <c:v>597</c:v>
                </c:pt>
                <c:pt idx="12">
                  <c:v>517</c:v>
                </c:pt>
                <c:pt idx="13">
                  <c:v>334</c:v>
                </c:pt>
                <c:pt idx="14">
                  <c:v>199</c:v>
                </c:pt>
                <c:pt idx="15">
                  <c:v>119</c:v>
                </c:pt>
                <c:pt idx="16">
                  <c:v>59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783688"/>
        <c:axId val="-2129780680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0.0000382737971291567,0.000292708779656247,0.00185105953760742,0.00967955759572278,0.0418543869363167,0.149650065723109,0.442449181296888,1.08168370924661,2.18669187650547,3.65531916425065,5.05258262762382,5.77499955260553,5.45809253920637,4.26560113863909,2.75657619877636,1.47302517606956,0.650879729673499,0.237816362854214,0.0718511437341744,0.017950486021768,0}</c:f>
              <c:numCache>
                <c:formatCode>General</c:formatCode>
                <c:ptCount val="21"/>
                <c:pt idx="0">
                  <c:v>3.82737971291567e-5</c:v>
                </c:pt>
                <c:pt idx="1">
                  <c:v>0.000292708779656247</c:v>
                </c:pt>
                <c:pt idx="2">
                  <c:v>0.00185105953760742</c:v>
                </c:pt>
                <c:pt idx="3">
                  <c:v>0.00967955759572278</c:v>
                </c:pt>
                <c:pt idx="4">
                  <c:v>0.0418543869363167</c:v>
                </c:pt>
                <c:pt idx="5">
                  <c:v>0.149650065723109</c:v>
                </c:pt>
                <c:pt idx="6">
                  <c:v>0.442449181296888</c:v>
                </c:pt>
                <c:pt idx="7">
                  <c:v>1.08168370924661</c:v>
                </c:pt>
                <c:pt idx="8">
                  <c:v>2.18669187650547</c:v>
                </c:pt>
                <c:pt idx="9">
                  <c:v>3.65531916425065</c:v>
                </c:pt>
                <c:pt idx="10">
                  <c:v>5.05258262762382</c:v>
                </c:pt>
                <c:pt idx="11">
                  <c:v>5.77499955260553</c:v>
                </c:pt>
                <c:pt idx="12">
                  <c:v>5.45809253920637</c:v>
                </c:pt>
                <c:pt idx="13">
                  <c:v>4.26560113863909</c:v>
                </c:pt>
                <c:pt idx="14">
                  <c:v>2.75657619877636</c:v>
                </c:pt>
                <c:pt idx="15">
                  <c:v>1.47302517606956</c:v>
                </c:pt>
                <c:pt idx="16">
                  <c:v>0.650879729673499</c:v>
                </c:pt>
                <c:pt idx="17">
                  <c:v>0.237816362854214</c:v>
                </c:pt>
                <c:pt idx="18">
                  <c:v>0.0718511437341744</c:v>
                </c:pt>
                <c:pt idx="19">
                  <c:v>0.017950486021768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74152"/>
        <c:axId val="-2129777208"/>
      </c:scatterChart>
      <c:catAx>
        <c:axId val="-212978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80680"/>
        <c:crosses val="autoZero"/>
        <c:auto val="1"/>
        <c:lblAlgn val="ctr"/>
        <c:lblOffset val="100"/>
        <c:noMultiLvlLbl val="0"/>
      </c:catAx>
      <c:valAx>
        <c:axId val="-21297806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83688"/>
        <c:crosses val="autoZero"/>
        <c:crossBetween val="between"/>
      </c:valAx>
      <c:valAx>
        <c:axId val="-212977415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777208"/>
        <c:crosses val="autoZero"/>
        <c:crossBetween val="midCat"/>
      </c:valAx>
      <c:valAx>
        <c:axId val="-212977720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7415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{1.95,1.98,2.01,2.04,2.07,2.1,2.13,2.16,2.19,2.22,2.25,2.28,2.31,2.34,2.37,2.4,2.43,2.46,2.49,2.52,2.55}</c:f>
              <c:numCache>
                <c:formatCode>General</c:formatCode>
                <c:ptCount val="21"/>
                <c:pt idx="0">
                  <c:v>1.95</c:v>
                </c:pt>
                <c:pt idx="1">
                  <c:v>1.98</c:v>
                </c:pt>
                <c:pt idx="2">
                  <c:v>2.01</c:v>
                </c:pt>
                <c:pt idx="3">
                  <c:v>2.04</c:v>
                </c:pt>
                <c:pt idx="4">
                  <c:v>2.07</c:v>
                </c:pt>
                <c:pt idx="5">
                  <c:v>2.1</c:v>
                </c:pt>
                <c:pt idx="6">
                  <c:v>2.13</c:v>
                </c:pt>
                <c:pt idx="7">
                  <c:v>2.16</c:v>
                </c:pt>
                <c:pt idx="8">
                  <c:v>2.19</c:v>
                </c:pt>
                <c:pt idx="9">
                  <c:v>2.22</c:v>
                </c:pt>
                <c:pt idx="10">
                  <c:v>2.25</c:v>
                </c:pt>
                <c:pt idx="11">
                  <c:v>2.28</c:v>
                </c:pt>
                <c:pt idx="12">
                  <c:v>2.31</c:v>
                </c:pt>
                <c:pt idx="13">
                  <c:v>2.34</c:v>
                </c:pt>
                <c:pt idx="14">
                  <c:v>2.37</c:v>
                </c:pt>
                <c:pt idx="15">
                  <c:v>2.4</c:v>
                </c:pt>
                <c:pt idx="16">
                  <c:v>2.43</c:v>
                </c:pt>
                <c:pt idx="17">
                  <c:v>2.46</c:v>
                </c:pt>
                <c:pt idx="18">
                  <c:v>2.49</c:v>
                </c:pt>
                <c:pt idx="19">
                  <c:v>2.52</c:v>
                </c:pt>
                <c:pt idx="20">
                  <c:v>2.55</c:v>
                </c:pt>
              </c:numCache>
            </c:numRef>
          </c:cat>
          <c:val>
            <c:numRef>
              <c:f>{0,0,3,4,18,34,108,218,409,550,584,600,447,270,156,76,40,14,2,0,0}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18</c:v>
                </c:pt>
                <c:pt idx="5">
                  <c:v>34</c:v>
                </c:pt>
                <c:pt idx="6">
                  <c:v>108</c:v>
                </c:pt>
                <c:pt idx="7">
                  <c:v>218</c:v>
                </c:pt>
                <c:pt idx="8">
                  <c:v>409</c:v>
                </c:pt>
                <c:pt idx="9">
                  <c:v>550</c:v>
                </c:pt>
                <c:pt idx="10">
                  <c:v>584</c:v>
                </c:pt>
                <c:pt idx="11">
                  <c:v>600</c:v>
                </c:pt>
                <c:pt idx="12">
                  <c:v>447</c:v>
                </c:pt>
                <c:pt idx="13">
                  <c:v>270</c:v>
                </c:pt>
                <c:pt idx="14">
                  <c:v>156</c:v>
                </c:pt>
                <c:pt idx="15">
                  <c:v>76</c:v>
                </c:pt>
                <c:pt idx="16">
                  <c:v>40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716360"/>
        <c:axId val="-212971335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0.00010977409155336,0.00075596862944514,0.00431211791811764,0.0203732565829446,0.0797284158159451,0.258433469169305,0.693852918124396,1.54301085989917,2.8421922323368,4.33631492814613,5.47988046370083,5.73593546402844,4.97302141771241,3.57124220023634,2.12422825899916,1.0465644084052,0.427084334954998,0.144359119747088,0.0404164626260252,0.00937249979024852,0}</c:f>
              <c:numCache>
                <c:formatCode>General</c:formatCode>
                <c:ptCount val="21"/>
                <c:pt idx="0">
                  <c:v>0.00010977409155336</c:v>
                </c:pt>
                <c:pt idx="1">
                  <c:v>0.00075596862944514</c:v>
                </c:pt>
                <c:pt idx="2">
                  <c:v>0.00431211791811764</c:v>
                </c:pt>
                <c:pt idx="3">
                  <c:v>0.0203732565829446</c:v>
                </c:pt>
                <c:pt idx="4">
                  <c:v>0.0797284158159451</c:v>
                </c:pt>
                <c:pt idx="5">
                  <c:v>0.258433469169305</c:v>
                </c:pt>
                <c:pt idx="6">
                  <c:v>0.693852918124396</c:v>
                </c:pt>
                <c:pt idx="7">
                  <c:v>1.54301085989917</c:v>
                </c:pt>
                <c:pt idx="8">
                  <c:v>2.8421922323368</c:v>
                </c:pt>
                <c:pt idx="9">
                  <c:v>4.33631492814613</c:v>
                </c:pt>
                <c:pt idx="10">
                  <c:v>5.47988046370083</c:v>
                </c:pt>
                <c:pt idx="11">
                  <c:v>5.73593546402844</c:v>
                </c:pt>
                <c:pt idx="12">
                  <c:v>4.97302141771241</c:v>
                </c:pt>
                <c:pt idx="13">
                  <c:v>3.57124220023634</c:v>
                </c:pt>
                <c:pt idx="14">
                  <c:v>2.12422825899916</c:v>
                </c:pt>
                <c:pt idx="15">
                  <c:v>1.0465644084052</c:v>
                </c:pt>
                <c:pt idx="16">
                  <c:v>0.427084334954998</c:v>
                </c:pt>
                <c:pt idx="17">
                  <c:v>0.144359119747088</c:v>
                </c:pt>
                <c:pt idx="18">
                  <c:v>0.0404164626260252</c:v>
                </c:pt>
                <c:pt idx="19">
                  <c:v>0.00937249979024852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06824"/>
        <c:axId val="-2129709880"/>
      </c:scatterChart>
      <c:catAx>
        <c:axId val="-212971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13352"/>
        <c:crosses val="autoZero"/>
        <c:auto val="1"/>
        <c:lblAlgn val="ctr"/>
        <c:lblOffset val="100"/>
        <c:noMultiLvlLbl val="0"/>
      </c:catAx>
      <c:valAx>
        <c:axId val="-2129713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16360"/>
        <c:crosses val="autoZero"/>
        <c:crossBetween val="between"/>
      </c:valAx>
      <c:valAx>
        <c:axId val="-21297068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709880"/>
        <c:crosses val="autoZero"/>
        <c:crossBetween val="midCat"/>
      </c:valAx>
      <c:valAx>
        <c:axId val="-212970988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068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3" Type="http://schemas.openxmlformats.org/officeDocument/2006/relationships/image" Target="../media/image1.png"/><Relationship Id="rId22" Type="http://schemas.openxmlformats.org/officeDocument/2006/relationships/chart" Target="../charts/chart22.xml"/><Relationship Id="rId21" Type="http://schemas.openxmlformats.org/officeDocument/2006/relationships/chart" Target="../charts/chart21.xml"/><Relationship Id="rId20" Type="http://schemas.openxmlformats.org/officeDocument/2006/relationships/chart" Target="../charts/chart20.xml"/><Relationship Id="rId2" Type="http://schemas.openxmlformats.org/officeDocument/2006/relationships/chart" Target="../charts/chart2.xml"/><Relationship Id="rId19" Type="http://schemas.openxmlformats.org/officeDocument/2006/relationships/chart" Target="../charts/chart19.xml"/><Relationship Id="rId18" Type="http://schemas.openxmlformats.org/officeDocument/2006/relationships/chart" Target="../charts/chart18.xml"/><Relationship Id="rId17" Type="http://schemas.openxmlformats.org/officeDocument/2006/relationships/chart" Target="../charts/chart17.xml"/><Relationship Id="rId16" Type="http://schemas.openxmlformats.org/officeDocument/2006/relationships/chart" Target="../charts/chart16.xml"/><Relationship Id="rId15" Type="http://schemas.openxmlformats.org/officeDocument/2006/relationships/chart" Target="../charts/chart15.xml"/><Relationship Id="rId14" Type="http://schemas.openxmlformats.org/officeDocument/2006/relationships/chart" Target="../charts/chart14.xml"/><Relationship Id="rId13" Type="http://schemas.openxmlformats.org/officeDocument/2006/relationships/chart" Target="../charts/chart13.xml"/><Relationship Id="rId12" Type="http://schemas.openxmlformats.org/officeDocument/2006/relationships/chart" Target="../charts/chart12.xml"/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3</xdr:col>
          <xdr:colOff>1079500</xdr:colOff>
          <xdr:row>2</xdr:row>
          <xdr:rowOff>76200</xdr:rowOff>
        </xdr:to>
        <xdr:sp macro="[0]!updateNormForm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628650" y="292100"/>
              <a:ext cx="162369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Update Normality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1130300</xdr:colOff>
          <xdr:row>1</xdr:row>
          <xdr:rowOff>12700</xdr:rowOff>
        </xdr:from>
        <xdr:to>
          <xdr:col>5</xdr:col>
          <xdr:colOff>406400</xdr:colOff>
          <xdr:row>2</xdr:row>
          <xdr:rowOff>76200</xdr:rowOff>
        </xdr:to>
        <xdr:sp macro="[0]!showAddShtFrm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2303145" y="292100"/>
              <a:ext cx="2863850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Manage Data Tabs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1</xdr:row>
          <xdr:rowOff>12700</xdr:rowOff>
        </xdr:from>
        <xdr:to>
          <xdr:col>7</xdr:col>
          <xdr:colOff>330200</xdr:colOff>
          <xdr:row>2</xdr:row>
          <xdr:rowOff>76200</xdr:rowOff>
        </xdr:to>
        <xdr:sp macro="[0]!showExportFrm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5205095" y="292100"/>
              <a:ext cx="108267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Export Data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12700</xdr:rowOff>
        </xdr:from>
        <xdr:to>
          <xdr:col>9</xdr:col>
          <xdr:colOff>571500</xdr:colOff>
          <xdr:row>2</xdr:row>
          <xdr:rowOff>76200</xdr:rowOff>
        </xdr:to>
        <xdr:sp macro="[0]!showImport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6325870" y="292100"/>
              <a:ext cx="137350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Import Report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</xdr:row>
          <xdr:rowOff>12700</xdr:rowOff>
        </xdr:from>
        <xdr:to>
          <xdr:col>12</xdr:col>
          <xdr:colOff>292100</xdr:colOff>
          <xdr:row>2</xdr:row>
          <xdr:rowOff>63500</xdr:rowOff>
        </xdr:to>
        <xdr:sp macro="[0]!detectOutliers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7724775" y="292100"/>
              <a:ext cx="138049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Detect Outliers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[0]!showUF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256030" y="0"/>
              <a:ext cx="125603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Dim Blocks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[0]!updateCircle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125603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Circles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sp macro="[0]!showClear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3305175" y="0"/>
              <a:ext cx="171894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Drawing Tab Clean-up Options</a:t>
              </a:r>
              <a:endParaRPr lang="en-US" sz="8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635000</xdr:colOff>
      <xdr:row>2</xdr:row>
      <xdr:rowOff>127000</xdr:rowOff>
    </xdr:from>
    <xdr:to>
      <xdr:col>1</xdr:col>
      <xdr:colOff>215900</xdr:colOff>
      <xdr:row>3</xdr:row>
      <xdr:rowOff>127000</xdr:rowOff>
    </xdr:to>
    <xdr:grpSp>
      <xdr:nvGrpSpPr>
        <xdr:cNvPr id="1484" name="11CircleGroup"/>
        <xdr:cNvGrpSpPr/>
      </xdr:nvGrpSpPr>
      <xdr:grpSpPr>
        <a:xfrm>
          <a:off x="628015" y="641350"/>
          <a:ext cx="215900" cy="257175"/>
          <a:chOff x="635000" y="635000"/>
          <a:chExt cx="254000" cy="254000"/>
        </a:xfrm>
      </xdr:grpSpPr>
      <xdr:sp>
        <xdr:nvSpPr>
          <xdr:cNvPr id="1481" name="11Circle"/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C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82" name="11CircleCover"/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10</xdr:row>
      <xdr:rowOff>63500</xdr:rowOff>
    </xdr:from>
    <xdr:to>
      <xdr:col>1</xdr:col>
      <xdr:colOff>215900</xdr:colOff>
      <xdr:row>11</xdr:row>
      <xdr:rowOff>127000</xdr:rowOff>
    </xdr:to>
    <xdr:grpSp>
      <xdr:nvGrpSpPr>
        <xdr:cNvPr id="1488" name="12CircleGroup"/>
        <xdr:cNvGrpSpPr/>
      </xdr:nvGrpSpPr>
      <xdr:grpSpPr>
        <a:xfrm>
          <a:off x="628015" y="2399665"/>
          <a:ext cx="215900" cy="287020"/>
          <a:chOff x="635000" y="2159000"/>
          <a:chExt cx="254000" cy="254000"/>
        </a:xfrm>
      </xdr:grpSpPr>
      <xdr:sp>
        <xdr:nvSpPr>
          <xdr:cNvPr id="1485" name="12Circle"/>
          <xdr:cNvSpPr/>
        </xdr:nvSpPr>
        <xdr:spPr>
          <a:xfrm>
            <a:off x="63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D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86" name="12CircleCover"/>
          <xdr:cNvSpPr/>
        </xdr:nvSpPr>
        <xdr:spPr>
          <a:xfrm>
            <a:off x="63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18</xdr:row>
      <xdr:rowOff>63500</xdr:rowOff>
    </xdr:from>
    <xdr:to>
      <xdr:col>1</xdr:col>
      <xdr:colOff>215900</xdr:colOff>
      <xdr:row>19</xdr:row>
      <xdr:rowOff>127000</xdr:rowOff>
    </xdr:to>
    <xdr:grpSp>
      <xdr:nvGrpSpPr>
        <xdr:cNvPr id="1492" name="13CircleGroup"/>
        <xdr:cNvGrpSpPr/>
      </xdr:nvGrpSpPr>
      <xdr:grpSpPr>
        <a:xfrm>
          <a:off x="628015" y="4187825"/>
          <a:ext cx="215900" cy="287020"/>
          <a:chOff x="635000" y="3683000"/>
          <a:chExt cx="254000" cy="254000"/>
        </a:xfrm>
      </xdr:grpSpPr>
      <xdr:sp>
        <xdr:nvSpPr>
          <xdr:cNvPr id="1489" name="13Circle"/>
          <xdr:cNvSpPr/>
        </xdr:nvSpPr>
        <xdr:spPr>
          <a:xfrm>
            <a:off x="63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E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0" name="13CircleCover"/>
          <xdr:cNvSpPr/>
        </xdr:nvSpPr>
        <xdr:spPr>
          <a:xfrm>
            <a:off x="63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26</xdr:row>
      <xdr:rowOff>63500</xdr:rowOff>
    </xdr:from>
    <xdr:to>
      <xdr:col>1</xdr:col>
      <xdr:colOff>215900</xdr:colOff>
      <xdr:row>27</xdr:row>
      <xdr:rowOff>127000</xdr:rowOff>
    </xdr:to>
    <xdr:grpSp>
      <xdr:nvGrpSpPr>
        <xdr:cNvPr id="1496" name="14CircleGroup"/>
        <xdr:cNvGrpSpPr/>
      </xdr:nvGrpSpPr>
      <xdr:grpSpPr>
        <a:xfrm>
          <a:off x="628015" y="5975985"/>
          <a:ext cx="215900" cy="287020"/>
          <a:chOff x="635000" y="5207000"/>
          <a:chExt cx="254000" cy="254000"/>
        </a:xfrm>
      </xdr:grpSpPr>
      <xdr:sp>
        <xdr:nvSpPr>
          <xdr:cNvPr id="1493" name="14Circle"/>
          <xdr:cNvSpPr/>
        </xdr:nvSpPr>
        <xdr:spPr>
          <a:xfrm>
            <a:off x="63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F-1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4" name="14CircleCover"/>
          <xdr:cNvSpPr/>
        </xdr:nvSpPr>
        <xdr:spPr>
          <a:xfrm>
            <a:off x="63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34</xdr:row>
      <xdr:rowOff>63500</xdr:rowOff>
    </xdr:from>
    <xdr:to>
      <xdr:col>1</xdr:col>
      <xdr:colOff>215900</xdr:colOff>
      <xdr:row>35</xdr:row>
      <xdr:rowOff>127000</xdr:rowOff>
    </xdr:to>
    <xdr:grpSp>
      <xdr:nvGrpSpPr>
        <xdr:cNvPr id="1500" name="15CircleGroup"/>
        <xdr:cNvGrpSpPr/>
      </xdr:nvGrpSpPr>
      <xdr:grpSpPr>
        <a:xfrm>
          <a:off x="628015" y="7764145"/>
          <a:ext cx="215900" cy="287020"/>
          <a:chOff x="635000" y="6731000"/>
          <a:chExt cx="254000" cy="254000"/>
        </a:xfrm>
      </xdr:grpSpPr>
      <xdr:sp>
        <xdr:nvSpPr>
          <xdr:cNvPr id="1497" name="15Circle"/>
          <xdr:cNvSpPr/>
        </xdr:nvSpPr>
        <xdr:spPr>
          <a:xfrm>
            <a:off x="63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F-2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8" name="15CircleCover"/>
          <xdr:cNvSpPr/>
        </xdr:nvSpPr>
        <xdr:spPr>
          <a:xfrm>
            <a:off x="63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42</xdr:row>
      <xdr:rowOff>63500</xdr:rowOff>
    </xdr:from>
    <xdr:to>
      <xdr:col>1</xdr:col>
      <xdr:colOff>215900</xdr:colOff>
      <xdr:row>43</xdr:row>
      <xdr:rowOff>127000</xdr:rowOff>
    </xdr:to>
    <xdr:grpSp>
      <xdr:nvGrpSpPr>
        <xdr:cNvPr id="1504" name="16CircleGroup"/>
        <xdr:cNvGrpSpPr/>
      </xdr:nvGrpSpPr>
      <xdr:grpSpPr>
        <a:xfrm>
          <a:off x="628015" y="9552305"/>
          <a:ext cx="215900" cy="287020"/>
          <a:chOff x="635000" y="8255000"/>
          <a:chExt cx="254000" cy="254000"/>
        </a:xfrm>
      </xdr:grpSpPr>
      <xdr:sp>
        <xdr:nvSpPr>
          <xdr:cNvPr id="1501" name="16Circle"/>
          <xdr:cNvSpPr/>
        </xdr:nvSpPr>
        <xdr:spPr>
          <a:xfrm>
            <a:off x="63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G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02" name="16CircleCover"/>
          <xdr:cNvSpPr/>
        </xdr:nvSpPr>
        <xdr:spPr>
          <a:xfrm>
            <a:off x="63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50</xdr:row>
      <xdr:rowOff>63500</xdr:rowOff>
    </xdr:from>
    <xdr:to>
      <xdr:col>1</xdr:col>
      <xdr:colOff>215900</xdr:colOff>
      <xdr:row>51</xdr:row>
      <xdr:rowOff>127000</xdr:rowOff>
    </xdr:to>
    <xdr:grpSp>
      <xdr:nvGrpSpPr>
        <xdr:cNvPr id="1508" name="17CircleGroup"/>
        <xdr:cNvGrpSpPr/>
      </xdr:nvGrpSpPr>
      <xdr:grpSpPr>
        <a:xfrm>
          <a:off x="628015" y="11340465"/>
          <a:ext cx="215900" cy="287020"/>
          <a:chOff x="635000" y="9779000"/>
          <a:chExt cx="254000" cy="254000"/>
        </a:xfrm>
      </xdr:grpSpPr>
      <xdr:sp>
        <xdr:nvSpPr>
          <xdr:cNvPr id="1505" name="17Circle"/>
          <xdr:cNvSpPr/>
        </xdr:nvSpPr>
        <xdr:spPr>
          <a:xfrm>
            <a:off x="63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L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06" name="17CircleCover"/>
          <xdr:cNvSpPr/>
        </xdr:nvSpPr>
        <xdr:spPr>
          <a:xfrm>
            <a:off x="63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58</xdr:row>
      <xdr:rowOff>63500</xdr:rowOff>
    </xdr:from>
    <xdr:to>
      <xdr:col>1</xdr:col>
      <xdr:colOff>215900</xdr:colOff>
      <xdr:row>59</xdr:row>
      <xdr:rowOff>127000</xdr:rowOff>
    </xdr:to>
    <xdr:grpSp>
      <xdr:nvGrpSpPr>
        <xdr:cNvPr id="1512" name="18CircleGroup"/>
        <xdr:cNvGrpSpPr/>
      </xdr:nvGrpSpPr>
      <xdr:grpSpPr>
        <a:xfrm>
          <a:off x="628015" y="13128625"/>
          <a:ext cx="215900" cy="287020"/>
          <a:chOff x="635000" y="11303000"/>
          <a:chExt cx="254000" cy="254000"/>
        </a:xfrm>
      </xdr:grpSpPr>
      <xdr:sp>
        <xdr:nvSpPr>
          <xdr:cNvPr id="1509" name="18Circle"/>
          <xdr:cNvSpPr/>
        </xdr:nvSpPr>
        <xdr:spPr>
          <a:xfrm>
            <a:off x="63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M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0" name="18CircleCover"/>
          <xdr:cNvSpPr/>
        </xdr:nvSpPr>
        <xdr:spPr>
          <a:xfrm>
            <a:off x="63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66</xdr:row>
      <xdr:rowOff>63500</xdr:rowOff>
    </xdr:from>
    <xdr:to>
      <xdr:col>1</xdr:col>
      <xdr:colOff>215900</xdr:colOff>
      <xdr:row>67</xdr:row>
      <xdr:rowOff>127000</xdr:rowOff>
    </xdr:to>
    <xdr:grpSp>
      <xdr:nvGrpSpPr>
        <xdr:cNvPr id="1516" name="19CircleGroup"/>
        <xdr:cNvGrpSpPr/>
      </xdr:nvGrpSpPr>
      <xdr:grpSpPr>
        <a:xfrm>
          <a:off x="628015" y="14916785"/>
          <a:ext cx="215900" cy="287020"/>
          <a:chOff x="635000" y="12827000"/>
          <a:chExt cx="254000" cy="254000"/>
        </a:xfrm>
      </xdr:grpSpPr>
      <xdr:sp>
        <xdr:nvSpPr>
          <xdr:cNvPr id="1513" name="19Circle"/>
          <xdr:cNvSpPr/>
        </xdr:nvSpPr>
        <xdr:spPr>
          <a:xfrm>
            <a:off x="63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4" name="19CircleCover"/>
          <xdr:cNvSpPr/>
        </xdr:nvSpPr>
        <xdr:spPr>
          <a:xfrm>
            <a:off x="63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74</xdr:row>
      <xdr:rowOff>63500</xdr:rowOff>
    </xdr:from>
    <xdr:to>
      <xdr:col>1</xdr:col>
      <xdr:colOff>215900</xdr:colOff>
      <xdr:row>75</xdr:row>
      <xdr:rowOff>127000</xdr:rowOff>
    </xdr:to>
    <xdr:grpSp>
      <xdr:nvGrpSpPr>
        <xdr:cNvPr id="1520" name="20CircleGroup"/>
        <xdr:cNvGrpSpPr/>
      </xdr:nvGrpSpPr>
      <xdr:grpSpPr>
        <a:xfrm>
          <a:off x="628015" y="16704945"/>
          <a:ext cx="215900" cy="287020"/>
          <a:chOff x="635000" y="14351000"/>
          <a:chExt cx="254000" cy="254000"/>
        </a:xfrm>
      </xdr:grpSpPr>
      <xdr:sp>
        <xdr:nvSpPr>
          <xdr:cNvPr id="1517" name="20Circle"/>
          <xdr:cNvSpPr/>
        </xdr:nvSpPr>
        <xdr:spPr>
          <a:xfrm>
            <a:off x="63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8" name="20CircleCover"/>
          <xdr:cNvSpPr/>
        </xdr:nvSpPr>
        <xdr:spPr>
          <a:xfrm>
            <a:off x="63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2</xdr:row>
      <xdr:rowOff>127000</xdr:rowOff>
    </xdr:from>
    <xdr:to>
      <xdr:col>5</xdr:col>
      <xdr:colOff>63500</xdr:colOff>
      <xdr:row>3</xdr:row>
      <xdr:rowOff>127000</xdr:rowOff>
    </xdr:to>
    <xdr:grpSp>
      <xdr:nvGrpSpPr>
        <xdr:cNvPr id="1524" name="21CircleGroup"/>
        <xdr:cNvGrpSpPr/>
      </xdr:nvGrpSpPr>
      <xdr:grpSpPr>
        <a:xfrm>
          <a:off x="2994660" y="641350"/>
          <a:ext cx="208915" cy="257175"/>
          <a:chOff x="3175000" y="635000"/>
          <a:chExt cx="254000" cy="254000"/>
        </a:xfrm>
      </xdr:grpSpPr>
      <xdr:sp>
        <xdr:nvSpPr>
          <xdr:cNvPr id="1521" name="21Circle"/>
          <xdr:cNvSpPr/>
        </xdr:nvSpPr>
        <xdr:spPr>
          <a:xfrm>
            <a:off x="317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N-3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22" name="21CircleCover"/>
          <xdr:cNvSpPr/>
        </xdr:nvSpPr>
        <xdr:spPr>
          <a:xfrm>
            <a:off x="317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10</xdr:row>
      <xdr:rowOff>63500</xdr:rowOff>
    </xdr:from>
    <xdr:to>
      <xdr:col>5</xdr:col>
      <xdr:colOff>63500</xdr:colOff>
      <xdr:row>11</xdr:row>
      <xdr:rowOff>127000</xdr:rowOff>
    </xdr:to>
    <xdr:grpSp>
      <xdr:nvGrpSpPr>
        <xdr:cNvPr id="1528" name="22CircleGroup"/>
        <xdr:cNvGrpSpPr/>
      </xdr:nvGrpSpPr>
      <xdr:grpSpPr>
        <a:xfrm>
          <a:off x="2994660" y="2399665"/>
          <a:ext cx="208915" cy="287020"/>
          <a:chOff x="3175000" y="2159000"/>
          <a:chExt cx="254000" cy="254000"/>
        </a:xfrm>
      </xdr:grpSpPr>
      <xdr:sp>
        <xdr:nvSpPr>
          <xdr:cNvPr id="1525" name="22Circle"/>
          <xdr:cNvSpPr/>
        </xdr:nvSpPr>
        <xdr:spPr>
          <a:xfrm>
            <a:off x="317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N-4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26" name="22CircleCover"/>
          <xdr:cNvSpPr/>
        </xdr:nvSpPr>
        <xdr:spPr>
          <a:xfrm>
            <a:off x="317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18</xdr:row>
      <xdr:rowOff>63500</xdr:rowOff>
    </xdr:from>
    <xdr:to>
      <xdr:col>5</xdr:col>
      <xdr:colOff>63500</xdr:colOff>
      <xdr:row>19</xdr:row>
      <xdr:rowOff>127000</xdr:rowOff>
    </xdr:to>
    <xdr:grpSp>
      <xdr:nvGrpSpPr>
        <xdr:cNvPr id="1532" name="23CircleGroup"/>
        <xdr:cNvGrpSpPr/>
      </xdr:nvGrpSpPr>
      <xdr:grpSpPr>
        <a:xfrm>
          <a:off x="2994660" y="4187825"/>
          <a:ext cx="208915" cy="287020"/>
          <a:chOff x="3175000" y="3683000"/>
          <a:chExt cx="254000" cy="254000"/>
        </a:xfrm>
      </xdr:grpSpPr>
      <xdr:sp>
        <xdr:nvSpPr>
          <xdr:cNvPr id="1529" name="23Circle"/>
          <xdr:cNvSpPr/>
        </xdr:nvSpPr>
        <xdr:spPr>
          <a:xfrm>
            <a:off x="317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N-5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0" name="23CircleCover"/>
          <xdr:cNvSpPr/>
        </xdr:nvSpPr>
        <xdr:spPr>
          <a:xfrm>
            <a:off x="317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26</xdr:row>
      <xdr:rowOff>63500</xdr:rowOff>
    </xdr:from>
    <xdr:to>
      <xdr:col>5</xdr:col>
      <xdr:colOff>63500</xdr:colOff>
      <xdr:row>27</xdr:row>
      <xdr:rowOff>127000</xdr:rowOff>
    </xdr:to>
    <xdr:grpSp>
      <xdr:nvGrpSpPr>
        <xdr:cNvPr id="1536" name="24CircleGroup"/>
        <xdr:cNvGrpSpPr/>
      </xdr:nvGrpSpPr>
      <xdr:grpSpPr>
        <a:xfrm>
          <a:off x="2994660" y="5975985"/>
          <a:ext cx="208915" cy="287020"/>
          <a:chOff x="3175000" y="5207000"/>
          <a:chExt cx="254000" cy="254000"/>
        </a:xfrm>
      </xdr:grpSpPr>
      <xdr:sp>
        <xdr:nvSpPr>
          <xdr:cNvPr id="1533" name="24Circle"/>
          <xdr:cNvSpPr/>
        </xdr:nvSpPr>
        <xdr:spPr>
          <a:xfrm>
            <a:off x="317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4" name="24CircleCover"/>
          <xdr:cNvSpPr/>
        </xdr:nvSpPr>
        <xdr:spPr>
          <a:xfrm>
            <a:off x="317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34</xdr:row>
      <xdr:rowOff>63500</xdr:rowOff>
    </xdr:from>
    <xdr:to>
      <xdr:col>5</xdr:col>
      <xdr:colOff>63500</xdr:colOff>
      <xdr:row>35</xdr:row>
      <xdr:rowOff>127000</xdr:rowOff>
    </xdr:to>
    <xdr:grpSp>
      <xdr:nvGrpSpPr>
        <xdr:cNvPr id="1540" name="25CircleGroup"/>
        <xdr:cNvGrpSpPr/>
      </xdr:nvGrpSpPr>
      <xdr:grpSpPr>
        <a:xfrm>
          <a:off x="2994660" y="7764145"/>
          <a:ext cx="208915" cy="287020"/>
          <a:chOff x="3175000" y="6731000"/>
          <a:chExt cx="254000" cy="254000"/>
        </a:xfrm>
      </xdr:grpSpPr>
      <xdr:sp>
        <xdr:nvSpPr>
          <xdr:cNvPr id="1537" name="25Circle"/>
          <xdr:cNvSpPr/>
        </xdr:nvSpPr>
        <xdr:spPr>
          <a:xfrm>
            <a:off x="317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8" name="25CircleCover"/>
          <xdr:cNvSpPr/>
        </xdr:nvSpPr>
        <xdr:spPr>
          <a:xfrm>
            <a:off x="317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42</xdr:row>
      <xdr:rowOff>63500</xdr:rowOff>
    </xdr:from>
    <xdr:to>
      <xdr:col>5</xdr:col>
      <xdr:colOff>63500</xdr:colOff>
      <xdr:row>43</xdr:row>
      <xdr:rowOff>127000</xdr:rowOff>
    </xdr:to>
    <xdr:grpSp>
      <xdr:nvGrpSpPr>
        <xdr:cNvPr id="1544" name="26CircleGroup"/>
        <xdr:cNvGrpSpPr/>
      </xdr:nvGrpSpPr>
      <xdr:grpSpPr>
        <a:xfrm>
          <a:off x="2994660" y="9552305"/>
          <a:ext cx="208915" cy="287020"/>
          <a:chOff x="3175000" y="8255000"/>
          <a:chExt cx="254000" cy="254000"/>
        </a:xfrm>
      </xdr:grpSpPr>
      <xdr:sp>
        <xdr:nvSpPr>
          <xdr:cNvPr id="1541" name="26Circle"/>
          <xdr:cNvSpPr/>
        </xdr:nvSpPr>
        <xdr:spPr>
          <a:xfrm>
            <a:off x="317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O-3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42" name="26CircleCover"/>
          <xdr:cNvSpPr/>
        </xdr:nvSpPr>
        <xdr:spPr>
          <a:xfrm>
            <a:off x="317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50</xdr:row>
      <xdr:rowOff>63500</xdr:rowOff>
    </xdr:from>
    <xdr:to>
      <xdr:col>5</xdr:col>
      <xdr:colOff>63500</xdr:colOff>
      <xdr:row>51</xdr:row>
      <xdr:rowOff>127000</xdr:rowOff>
    </xdr:to>
    <xdr:grpSp>
      <xdr:nvGrpSpPr>
        <xdr:cNvPr id="1548" name="27CircleGroup"/>
        <xdr:cNvGrpSpPr/>
      </xdr:nvGrpSpPr>
      <xdr:grpSpPr>
        <a:xfrm>
          <a:off x="2994660" y="11340465"/>
          <a:ext cx="208915" cy="287020"/>
          <a:chOff x="3175000" y="9779000"/>
          <a:chExt cx="254000" cy="254000"/>
        </a:xfrm>
      </xdr:grpSpPr>
      <xdr:sp>
        <xdr:nvSpPr>
          <xdr:cNvPr id="1545" name="27Circle"/>
          <xdr:cNvSpPr/>
        </xdr:nvSpPr>
        <xdr:spPr>
          <a:xfrm>
            <a:off x="317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O-4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46" name="27CircleCover"/>
          <xdr:cNvSpPr/>
        </xdr:nvSpPr>
        <xdr:spPr>
          <a:xfrm>
            <a:off x="317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58</xdr:row>
      <xdr:rowOff>63500</xdr:rowOff>
    </xdr:from>
    <xdr:to>
      <xdr:col>5</xdr:col>
      <xdr:colOff>63500</xdr:colOff>
      <xdr:row>59</xdr:row>
      <xdr:rowOff>127000</xdr:rowOff>
    </xdr:to>
    <xdr:grpSp>
      <xdr:nvGrpSpPr>
        <xdr:cNvPr id="1552" name="28CircleGroup"/>
        <xdr:cNvGrpSpPr/>
      </xdr:nvGrpSpPr>
      <xdr:grpSpPr>
        <a:xfrm>
          <a:off x="2994660" y="13128625"/>
          <a:ext cx="208915" cy="287020"/>
          <a:chOff x="3175000" y="11303000"/>
          <a:chExt cx="254000" cy="254000"/>
        </a:xfrm>
      </xdr:grpSpPr>
      <xdr:sp>
        <xdr:nvSpPr>
          <xdr:cNvPr id="1549" name="28Circle"/>
          <xdr:cNvSpPr/>
        </xdr:nvSpPr>
        <xdr:spPr>
          <a:xfrm>
            <a:off x="317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O-5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0" name="28CircleCover"/>
          <xdr:cNvSpPr/>
        </xdr:nvSpPr>
        <xdr:spPr>
          <a:xfrm>
            <a:off x="317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66</xdr:row>
      <xdr:rowOff>63500</xdr:rowOff>
    </xdr:from>
    <xdr:to>
      <xdr:col>5</xdr:col>
      <xdr:colOff>63500</xdr:colOff>
      <xdr:row>67</xdr:row>
      <xdr:rowOff>127000</xdr:rowOff>
    </xdr:to>
    <xdr:grpSp>
      <xdr:nvGrpSpPr>
        <xdr:cNvPr id="1556" name="29CircleGroup"/>
        <xdr:cNvGrpSpPr/>
      </xdr:nvGrpSpPr>
      <xdr:grpSpPr>
        <a:xfrm>
          <a:off x="2994660" y="14916785"/>
          <a:ext cx="208915" cy="287020"/>
          <a:chOff x="3175000" y="12827000"/>
          <a:chExt cx="254000" cy="254000"/>
        </a:xfrm>
      </xdr:grpSpPr>
      <xdr:sp>
        <xdr:nvSpPr>
          <xdr:cNvPr id="1553" name="29Circle"/>
          <xdr:cNvSpPr/>
        </xdr:nvSpPr>
        <xdr:spPr>
          <a:xfrm>
            <a:off x="317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P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4" name="29CircleCover"/>
          <xdr:cNvSpPr/>
        </xdr:nvSpPr>
        <xdr:spPr>
          <a:xfrm>
            <a:off x="317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74</xdr:row>
      <xdr:rowOff>63500</xdr:rowOff>
    </xdr:from>
    <xdr:to>
      <xdr:col>5</xdr:col>
      <xdr:colOff>63500</xdr:colOff>
      <xdr:row>75</xdr:row>
      <xdr:rowOff>127000</xdr:rowOff>
    </xdr:to>
    <xdr:grpSp>
      <xdr:nvGrpSpPr>
        <xdr:cNvPr id="1560" name="30CircleGroup"/>
        <xdr:cNvGrpSpPr/>
      </xdr:nvGrpSpPr>
      <xdr:grpSpPr>
        <a:xfrm>
          <a:off x="2994660" y="16704945"/>
          <a:ext cx="208915" cy="287020"/>
          <a:chOff x="3175000" y="14351000"/>
          <a:chExt cx="254000" cy="254000"/>
        </a:xfrm>
      </xdr:grpSpPr>
      <xdr:sp>
        <xdr:nvSpPr>
          <xdr:cNvPr id="1557" name="30Circle"/>
          <xdr:cNvSpPr/>
        </xdr:nvSpPr>
        <xdr:spPr>
          <a:xfrm>
            <a:off x="317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Q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8" name="30CircleCover"/>
          <xdr:cNvSpPr/>
        </xdr:nvSpPr>
        <xdr:spPr>
          <a:xfrm>
            <a:off x="317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330200</xdr:colOff>
      <xdr:row>2</xdr:row>
      <xdr:rowOff>127000</xdr:rowOff>
    </xdr:from>
    <xdr:to>
      <xdr:col>8</xdr:col>
      <xdr:colOff>584200</xdr:colOff>
      <xdr:row>3</xdr:row>
      <xdr:rowOff>127000</xdr:rowOff>
    </xdr:to>
    <xdr:grpSp>
      <xdr:nvGrpSpPr>
        <xdr:cNvPr id="1564" name="31CircleGroup"/>
        <xdr:cNvGrpSpPr/>
      </xdr:nvGrpSpPr>
      <xdr:grpSpPr>
        <a:xfrm>
          <a:off x="5354320" y="641350"/>
          <a:ext cx="254000" cy="257175"/>
          <a:chOff x="5715000" y="635000"/>
          <a:chExt cx="254000" cy="254000"/>
        </a:xfrm>
      </xdr:grpSpPr>
      <xdr:sp>
        <xdr:nvSpPr>
          <xdr:cNvPr id="1561" name="31Circle"/>
          <xdr:cNvSpPr/>
        </xdr:nvSpPr>
        <xdr:spPr>
          <a:xfrm>
            <a:off x="571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R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62" name="31CircleCover"/>
          <xdr:cNvSpPr/>
        </xdr:nvSpPr>
        <xdr:spPr>
          <a:xfrm>
            <a:off x="571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330200</xdr:colOff>
      <xdr:row>10</xdr:row>
      <xdr:rowOff>63500</xdr:rowOff>
    </xdr:from>
    <xdr:to>
      <xdr:col>8</xdr:col>
      <xdr:colOff>584200</xdr:colOff>
      <xdr:row>11</xdr:row>
      <xdr:rowOff>127000</xdr:rowOff>
    </xdr:to>
    <xdr:grpSp>
      <xdr:nvGrpSpPr>
        <xdr:cNvPr id="1568" name="32CircleGroup"/>
        <xdr:cNvGrpSpPr/>
      </xdr:nvGrpSpPr>
      <xdr:grpSpPr>
        <a:xfrm>
          <a:off x="5354320" y="2399665"/>
          <a:ext cx="254000" cy="287020"/>
          <a:chOff x="5715000" y="2159000"/>
          <a:chExt cx="254000" cy="254000"/>
        </a:xfrm>
      </xdr:grpSpPr>
      <xdr:sp>
        <xdr:nvSpPr>
          <xdr:cNvPr id="1565" name="32Circle"/>
          <xdr:cNvSpPr/>
        </xdr:nvSpPr>
        <xdr:spPr>
          <a:xfrm>
            <a:off x="571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S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66" name="32CircleCover"/>
          <xdr:cNvSpPr/>
        </xdr:nvSpPr>
        <xdr:spPr>
          <a:xfrm>
            <a:off x="571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2</xdr:row>
      <xdr:rowOff>63500</xdr:rowOff>
    </xdr:from>
    <xdr:to>
      <xdr:col>4</xdr:col>
      <xdr:colOff>228600</xdr:colOff>
      <xdr:row>9</xdr:row>
      <xdr:rowOff>63500</xdr:rowOff>
    </xdr:to>
    <xdr:grpSp>
      <xdr:nvGrpSpPr>
        <xdr:cNvPr id="1575" name="11BlockGroup"/>
        <xdr:cNvGrpSpPr/>
      </xdr:nvGrpSpPr>
      <xdr:grpSpPr>
        <a:xfrm>
          <a:off x="843915" y="577850"/>
          <a:ext cx="1896745" cy="1598295"/>
          <a:chOff x="889000" y="571500"/>
          <a:chExt cx="2032000" cy="1397000"/>
        </a:xfrm>
      </xdr:grpSpPr>
      <xdr:sp>
        <xdr:nvSpPr>
          <xdr:cNvPr id="1569" name="11TITLE"/>
          <xdr:cNvSpPr txBox="1"/>
        </xdr:nvSpPr>
        <xdr:spPr>
          <a:xfrm>
            <a:off x="88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C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Min 13.3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0" name="11CP"/>
          <xdr:cNvSpPr txBox="1"/>
        </xdr:nvSpPr>
        <xdr:spPr>
          <a:xfrm>
            <a:off x="139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1.312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1" name="11CPK"/>
          <xdr:cNvSpPr txBox="1"/>
        </xdr:nvSpPr>
        <xdr:spPr>
          <a:xfrm>
            <a:off x="215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1.312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72" name="Chart 1571"/>
          <xdr:cNvGraphicFramePr/>
        </xdr:nvGraphicFramePr>
        <xdr:xfrm>
          <a:off x="139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>
        <xdr:nvSpPr>
          <xdr:cNvPr id="1573" name="11BlockCover"/>
          <xdr:cNvSpPr/>
        </xdr:nvSpPr>
        <xdr:spPr>
          <a:xfrm>
            <a:off x="88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10</xdr:row>
      <xdr:rowOff>0</xdr:rowOff>
    </xdr:from>
    <xdr:to>
      <xdr:col>4</xdr:col>
      <xdr:colOff>228600</xdr:colOff>
      <xdr:row>17</xdr:row>
      <xdr:rowOff>63500</xdr:rowOff>
    </xdr:to>
    <xdr:grpSp>
      <xdr:nvGrpSpPr>
        <xdr:cNvPr id="1582" name="12BlockGroup"/>
        <xdr:cNvGrpSpPr/>
      </xdr:nvGrpSpPr>
      <xdr:grpSpPr>
        <a:xfrm>
          <a:off x="843915" y="2336165"/>
          <a:ext cx="1896745" cy="1628140"/>
          <a:chOff x="889000" y="2095500"/>
          <a:chExt cx="2032000" cy="1397000"/>
        </a:xfrm>
      </xdr:grpSpPr>
      <xdr:sp>
        <xdr:nvSpPr>
          <xdr:cNvPr id="1576" name="12TITLE"/>
          <xdr:cNvSpPr txBox="1"/>
        </xdr:nvSpPr>
        <xdr:spPr>
          <a:xfrm>
            <a:off x="88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D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19.8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7" name="12CP"/>
          <xdr:cNvSpPr txBox="1"/>
        </xdr:nvSpPr>
        <xdr:spPr>
          <a:xfrm>
            <a:off x="139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8" name="12CPK"/>
          <xdr:cNvSpPr txBox="1"/>
        </xdr:nvSpPr>
        <xdr:spPr>
          <a:xfrm>
            <a:off x="215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79" name="Chart 1578"/>
          <xdr:cNvGraphicFramePr/>
        </xdr:nvGraphicFramePr>
        <xdr:xfrm>
          <a:off x="139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>
        <xdr:nvSpPr>
          <xdr:cNvPr id="1580" name="12BlockCover"/>
          <xdr:cNvSpPr/>
        </xdr:nvSpPr>
        <xdr:spPr>
          <a:xfrm>
            <a:off x="88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18</xdr:row>
      <xdr:rowOff>0</xdr:rowOff>
    </xdr:from>
    <xdr:to>
      <xdr:col>4</xdr:col>
      <xdr:colOff>228600</xdr:colOff>
      <xdr:row>25</xdr:row>
      <xdr:rowOff>63500</xdr:rowOff>
    </xdr:to>
    <xdr:grpSp>
      <xdr:nvGrpSpPr>
        <xdr:cNvPr id="1589" name="13BlockGroup"/>
        <xdr:cNvGrpSpPr/>
      </xdr:nvGrpSpPr>
      <xdr:grpSpPr>
        <a:xfrm>
          <a:off x="843915" y="4124325"/>
          <a:ext cx="1896745" cy="1628140"/>
          <a:chOff x="889000" y="3619500"/>
          <a:chExt cx="2032000" cy="1397000"/>
        </a:xfrm>
      </xdr:grpSpPr>
      <xdr:sp>
        <xdr:nvSpPr>
          <xdr:cNvPr id="1583" name="13TITLE"/>
          <xdr:cNvSpPr txBox="1"/>
        </xdr:nvSpPr>
        <xdr:spPr>
          <a:xfrm>
            <a:off x="889000" y="361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E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15.67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16.07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84" name="13CP"/>
          <xdr:cNvSpPr txBox="1"/>
        </xdr:nvSpPr>
        <xdr:spPr>
          <a:xfrm>
            <a:off x="1397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1.634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85" name="13CPK"/>
          <xdr:cNvSpPr txBox="1"/>
        </xdr:nvSpPr>
        <xdr:spPr>
          <a:xfrm>
            <a:off x="2159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1.423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86" name="Chart 1585"/>
          <xdr:cNvGraphicFramePr/>
        </xdr:nvGraphicFramePr>
        <xdr:xfrm>
          <a:off x="1397000" y="387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>
        <xdr:nvSpPr>
          <xdr:cNvPr id="1587" name="13BlockCover"/>
          <xdr:cNvSpPr/>
        </xdr:nvSpPr>
        <xdr:spPr>
          <a:xfrm>
            <a:off x="889000" y="361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26</xdr:row>
      <xdr:rowOff>0</xdr:rowOff>
    </xdr:from>
    <xdr:to>
      <xdr:col>4</xdr:col>
      <xdr:colOff>228600</xdr:colOff>
      <xdr:row>33</xdr:row>
      <xdr:rowOff>63500</xdr:rowOff>
    </xdr:to>
    <xdr:grpSp>
      <xdr:nvGrpSpPr>
        <xdr:cNvPr id="1596" name="14BlockGroup"/>
        <xdr:cNvGrpSpPr/>
      </xdr:nvGrpSpPr>
      <xdr:grpSpPr>
        <a:xfrm>
          <a:off x="843915" y="5912485"/>
          <a:ext cx="1896745" cy="1628140"/>
          <a:chOff x="889000" y="5143500"/>
          <a:chExt cx="2032000" cy="1397000"/>
        </a:xfrm>
      </xdr:grpSpPr>
      <xdr:sp>
        <xdr:nvSpPr>
          <xdr:cNvPr id="1590" name="14TITLE"/>
          <xdr:cNvSpPr txBox="1"/>
        </xdr:nvSpPr>
        <xdr:spPr>
          <a:xfrm>
            <a:off x="889000" y="514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F-1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38.6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44.6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1" name="14CP"/>
          <xdr:cNvSpPr txBox="1"/>
        </xdr:nvSpPr>
        <xdr:spPr>
          <a:xfrm>
            <a:off x="1397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2" name="14CPK"/>
          <xdr:cNvSpPr txBox="1"/>
        </xdr:nvSpPr>
        <xdr:spPr>
          <a:xfrm>
            <a:off x="2159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0.942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93" name="Chart 1592"/>
          <xdr:cNvGraphicFramePr/>
        </xdr:nvGraphicFramePr>
        <xdr:xfrm>
          <a:off x="1397000" y="539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>
        <xdr:nvSpPr>
          <xdr:cNvPr id="1594" name="14BlockCover"/>
          <xdr:cNvSpPr/>
        </xdr:nvSpPr>
        <xdr:spPr>
          <a:xfrm>
            <a:off x="889000" y="514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34</xdr:row>
      <xdr:rowOff>0</xdr:rowOff>
    </xdr:from>
    <xdr:to>
      <xdr:col>4</xdr:col>
      <xdr:colOff>228600</xdr:colOff>
      <xdr:row>41</xdr:row>
      <xdr:rowOff>63500</xdr:rowOff>
    </xdr:to>
    <xdr:grpSp>
      <xdr:nvGrpSpPr>
        <xdr:cNvPr id="1603" name="15BlockGroup"/>
        <xdr:cNvGrpSpPr/>
      </xdr:nvGrpSpPr>
      <xdr:grpSpPr>
        <a:xfrm>
          <a:off x="843915" y="7700645"/>
          <a:ext cx="1896745" cy="1628140"/>
          <a:chOff x="889000" y="6667500"/>
          <a:chExt cx="2032000" cy="1397000"/>
        </a:xfrm>
      </xdr:grpSpPr>
      <xdr:sp>
        <xdr:nvSpPr>
          <xdr:cNvPr id="1597" name="15TITLE"/>
          <xdr:cNvSpPr txBox="1"/>
        </xdr:nvSpPr>
        <xdr:spPr>
          <a:xfrm>
            <a:off x="889000" y="666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F-2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38.6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44.6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8" name="15CP"/>
          <xdr:cNvSpPr txBox="1"/>
        </xdr:nvSpPr>
        <xdr:spPr>
          <a:xfrm>
            <a:off x="1397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1.349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9" name="15CPK"/>
          <xdr:cNvSpPr txBox="1"/>
        </xdr:nvSpPr>
        <xdr:spPr>
          <a:xfrm>
            <a:off x="2159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00" name="Chart 1599"/>
          <xdr:cNvGraphicFramePr/>
        </xdr:nvGraphicFramePr>
        <xdr:xfrm>
          <a:off x="1397000" y="692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>
        <xdr:nvSpPr>
          <xdr:cNvPr id="1601" name="15BlockCover"/>
          <xdr:cNvSpPr/>
        </xdr:nvSpPr>
        <xdr:spPr>
          <a:xfrm>
            <a:off x="889000" y="666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42</xdr:row>
      <xdr:rowOff>0</xdr:rowOff>
    </xdr:from>
    <xdr:to>
      <xdr:col>4</xdr:col>
      <xdr:colOff>228600</xdr:colOff>
      <xdr:row>49</xdr:row>
      <xdr:rowOff>63500</xdr:rowOff>
    </xdr:to>
    <xdr:grpSp>
      <xdr:nvGrpSpPr>
        <xdr:cNvPr id="1610" name="16BlockGroup"/>
        <xdr:cNvGrpSpPr/>
      </xdr:nvGrpSpPr>
      <xdr:grpSpPr>
        <a:xfrm>
          <a:off x="843915" y="9488805"/>
          <a:ext cx="1896745" cy="1628140"/>
          <a:chOff x="889000" y="8191500"/>
          <a:chExt cx="2032000" cy="1397000"/>
        </a:xfrm>
      </xdr:grpSpPr>
      <xdr:sp>
        <xdr:nvSpPr>
          <xdr:cNvPr id="1604" name="16TITLE"/>
          <xdr:cNvSpPr txBox="1"/>
        </xdr:nvSpPr>
        <xdr:spPr>
          <a:xfrm>
            <a:off x="889000" y="819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G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8.93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9.23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05" name="16CP"/>
          <xdr:cNvSpPr txBox="1"/>
        </xdr:nvSpPr>
        <xdr:spPr>
          <a:xfrm>
            <a:off x="1397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1.883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06" name="16CPK"/>
          <xdr:cNvSpPr txBox="1"/>
        </xdr:nvSpPr>
        <xdr:spPr>
          <a:xfrm>
            <a:off x="2159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1.404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07" name="Chart 1606"/>
          <xdr:cNvGraphicFramePr/>
        </xdr:nvGraphicFramePr>
        <xdr:xfrm>
          <a:off x="1397000" y="844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>
        <xdr:nvSpPr>
          <xdr:cNvPr id="1608" name="16BlockCover"/>
          <xdr:cNvSpPr/>
        </xdr:nvSpPr>
        <xdr:spPr>
          <a:xfrm>
            <a:off x="889000" y="819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50</xdr:row>
      <xdr:rowOff>0</xdr:rowOff>
    </xdr:from>
    <xdr:to>
      <xdr:col>4</xdr:col>
      <xdr:colOff>228600</xdr:colOff>
      <xdr:row>57</xdr:row>
      <xdr:rowOff>63500</xdr:rowOff>
    </xdr:to>
    <xdr:grpSp>
      <xdr:nvGrpSpPr>
        <xdr:cNvPr id="1617" name="17BlockGroup"/>
        <xdr:cNvGrpSpPr/>
      </xdr:nvGrpSpPr>
      <xdr:grpSpPr>
        <a:xfrm>
          <a:off x="843915" y="11276965"/>
          <a:ext cx="1896745" cy="1628140"/>
          <a:chOff x="889000" y="9715500"/>
          <a:chExt cx="2032000" cy="1397000"/>
        </a:xfrm>
      </xdr:grpSpPr>
      <xdr:sp>
        <xdr:nvSpPr>
          <xdr:cNvPr id="1611" name="17TITLE"/>
          <xdr:cNvSpPr txBox="1"/>
        </xdr:nvSpPr>
        <xdr:spPr>
          <a:xfrm>
            <a:off x="889000" y="971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L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2" name="17CP"/>
          <xdr:cNvSpPr txBox="1"/>
        </xdr:nvSpPr>
        <xdr:spPr>
          <a:xfrm>
            <a:off x="1397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1.309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3" name="17CPK"/>
          <xdr:cNvSpPr txBox="1"/>
        </xdr:nvSpPr>
        <xdr:spPr>
          <a:xfrm>
            <a:off x="2159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1.225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14" name="Chart 1613"/>
          <xdr:cNvGraphicFramePr/>
        </xdr:nvGraphicFramePr>
        <xdr:xfrm>
          <a:off x="1397000" y="996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>
        <xdr:nvSpPr>
          <xdr:cNvPr id="1615" name="17BlockCover"/>
          <xdr:cNvSpPr/>
        </xdr:nvSpPr>
        <xdr:spPr>
          <a:xfrm>
            <a:off x="889000" y="971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58</xdr:row>
      <xdr:rowOff>0</xdr:rowOff>
    </xdr:from>
    <xdr:to>
      <xdr:col>4</xdr:col>
      <xdr:colOff>228600</xdr:colOff>
      <xdr:row>65</xdr:row>
      <xdr:rowOff>63500</xdr:rowOff>
    </xdr:to>
    <xdr:grpSp>
      <xdr:nvGrpSpPr>
        <xdr:cNvPr id="1624" name="18BlockGroup"/>
        <xdr:cNvGrpSpPr/>
      </xdr:nvGrpSpPr>
      <xdr:grpSpPr>
        <a:xfrm>
          <a:off x="843915" y="13065125"/>
          <a:ext cx="1896745" cy="1628140"/>
          <a:chOff x="889000" y="11239500"/>
          <a:chExt cx="2032000" cy="1397000"/>
        </a:xfrm>
      </xdr:grpSpPr>
      <xdr:sp>
        <xdr:nvSpPr>
          <xdr:cNvPr id="1618" name="18TITLE"/>
          <xdr:cNvSpPr txBox="1"/>
        </xdr:nvSpPr>
        <xdr:spPr>
          <a:xfrm>
            <a:off x="889000" y="1123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M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2.45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3.15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9" name="18CP"/>
          <xdr:cNvSpPr txBox="1"/>
        </xdr:nvSpPr>
        <xdr:spPr>
          <a:xfrm>
            <a:off x="1397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1.054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0" name="18CPK"/>
          <xdr:cNvSpPr txBox="1"/>
        </xdr:nvSpPr>
        <xdr:spPr>
          <a:xfrm>
            <a:off x="2159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1.052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21" name="Chart 1620"/>
          <xdr:cNvGraphicFramePr/>
        </xdr:nvGraphicFramePr>
        <xdr:xfrm>
          <a:off x="1397000" y="1149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>
        <xdr:nvSpPr>
          <xdr:cNvPr id="1622" name="18BlockCover"/>
          <xdr:cNvSpPr/>
        </xdr:nvSpPr>
        <xdr:spPr>
          <a:xfrm>
            <a:off x="889000" y="1123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66</xdr:row>
      <xdr:rowOff>0</xdr:rowOff>
    </xdr:from>
    <xdr:to>
      <xdr:col>4</xdr:col>
      <xdr:colOff>228600</xdr:colOff>
      <xdr:row>73</xdr:row>
      <xdr:rowOff>63500</xdr:rowOff>
    </xdr:to>
    <xdr:grpSp>
      <xdr:nvGrpSpPr>
        <xdr:cNvPr id="1631" name="19BlockGroup"/>
        <xdr:cNvGrpSpPr/>
      </xdr:nvGrpSpPr>
      <xdr:grpSpPr>
        <a:xfrm>
          <a:off x="843915" y="14853285"/>
          <a:ext cx="1896745" cy="1628140"/>
          <a:chOff x="889000" y="12763500"/>
          <a:chExt cx="2032000" cy="1397000"/>
        </a:xfrm>
      </xdr:grpSpPr>
      <xdr:sp>
        <xdr:nvSpPr>
          <xdr:cNvPr id="1625" name="19TITLE"/>
          <xdr:cNvSpPr txBox="1"/>
        </xdr:nvSpPr>
        <xdr:spPr>
          <a:xfrm>
            <a:off x="889000" y="1276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6" name="19CP"/>
          <xdr:cNvSpPr txBox="1"/>
        </xdr:nvSpPr>
        <xdr:spPr>
          <a:xfrm>
            <a:off x="1397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1.695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7" name="19CPK"/>
          <xdr:cNvSpPr txBox="1"/>
        </xdr:nvSpPr>
        <xdr:spPr>
          <a:xfrm>
            <a:off x="2159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1.695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28" name="Chart 1627"/>
          <xdr:cNvGraphicFramePr/>
        </xdr:nvGraphicFramePr>
        <xdr:xfrm>
          <a:off x="1397000" y="1301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>
        <xdr:nvSpPr>
          <xdr:cNvPr id="1629" name="19BlockCover"/>
          <xdr:cNvSpPr/>
        </xdr:nvSpPr>
        <xdr:spPr>
          <a:xfrm>
            <a:off x="889000" y="1276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74</xdr:row>
      <xdr:rowOff>0</xdr:rowOff>
    </xdr:from>
    <xdr:to>
      <xdr:col>4</xdr:col>
      <xdr:colOff>228600</xdr:colOff>
      <xdr:row>81</xdr:row>
      <xdr:rowOff>63500</xdr:rowOff>
    </xdr:to>
    <xdr:grpSp>
      <xdr:nvGrpSpPr>
        <xdr:cNvPr id="1638" name="20BlockGroup"/>
        <xdr:cNvGrpSpPr/>
      </xdr:nvGrpSpPr>
      <xdr:grpSpPr>
        <a:xfrm>
          <a:off x="843915" y="16641445"/>
          <a:ext cx="1896745" cy="1628140"/>
          <a:chOff x="889000" y="14287500"/>
          <a:chExt cx="2032000" cy="1397000"/>
        </a:xfrm>
      </xdr:grpSpPr>
      <xdr:sp>
        <xdr:nvSpPr>
          <xdr:cNvPr id="1632" name="20TITLE"/>
          <xdr:cNvSpPr txBox="1"/>
        </xdr:nvSpPr>
        <xdr:spPr>
          <a:xfrm>
            <a:off x="889000" y="1428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33" name="20CP"/>
          <xdr:cNvSpPr txBox="1"/>
        </xdr:nvSpPr>
        <xdr:spPr>
          <a:xfrm>
            <a:off x="1397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1.661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34" name="20CPK"/>
          <xdr:cNvSpPr txBox="1"/>
        </xdr:nvSpPr>
        <xdr:spPr>
          <a:xfrm>
            <a:off x="2159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1.661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35" name="Chart 1634"/>
          <xdr:cNvGraphicFramePr/>
        </xdr:nvGraphicFramePr>
        <xdr:xfrm>
          <a:off x="1397000" y="1454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>
        <xdr:nvSpPr>
          <xdr:cNvPr id="1636" name="20BlockCover"/>
          <xdr:cNvSpPr/>
        </xdr:nvSpPr>
        <xdr:spPr>
          <a:xfrm>
            <a:off x="889000" y="1428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2</xdr:row>
      <xdr:rowOff>63500</xdr:rowOff>
    </xdr:from>
    <xdr:to>
      <xdr:col>8</xdr:col>
      <xdr:colOff>76200</xdr:colOff>
      <xdr:row>9</xdr:row>
      <xdr:rowOff>63500</xdr:rowOff>
    </xdr:to>
    <xdr:grpSp>
      <xdr:nvGrpSpPr>
        <xdr:cNvPr id="1645" name="21BlockGroup"/>
        <xdr:cNvGrpSpPr/>
      </xdr:nvGrpSpPr>
      <xdr:grpSpPr>
        <a:xfrm>
          <a:off x="3203575" y="577850"/>
          <a:ext cx="1896745" cy="1598295"/>
          <a:chOff x="3429000" y="571500"/>
          <a:chExt cx="2032000" cy="1397000"/>
        </a:xfrm>
      </xdr:grpSpPr>
      <xdr:sp>
        <xdr:nvSpPr>
          <xdr:cNvPr id="1639" name="21TITLE"/>
          <xdr:cNvSpPr txBox="1"/>
        </xdr:nvSpPr>
        <xdr:spPr>
          <a:xfrm>
            <a:off x="342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N-3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0" name="21CP"/>
          <xdr:cNvSpPr txBox="1"/>
        </xdr:nvSpPr>
        <xdr:spPr>
          <a:xfrm>
            <a:off x="393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1" name="21CPK"/>
          <xdr:cNvSpPr txBox="1"/>
        </xdr:nvSpPr>
        <xdr:spPr>
          <a:xfrm>
            <a:off x="469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1.606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42" name="Chart 1641"/>
          <xdr:cNvGraphicFramePr/>
        </xdr:nvGraphicFramePr>
        <xdr:xfrm>
          <a:off x="393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>
        <xdr:nvSpPr>
          <xdr:cNvPr id="1643" name="21BlockCover"/>
          <xdr:cNvSpPr/>
        </xdr:nvSpPr>
        <xdr:spPr>
          <a:xfrm>
            <a:off x="342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10</xdr:row>
      <xdr:rowOff>0</xdr:rowOff>
    </xdr:from>
    <xdr:to>
      <xdr:col>8</xdr:col>
      <xdr:colOff>76200</xdr:colOff>
      <xdr:row>17</xdr:row>
      <xdr:rowOff>63500</xdr:rowOff>
    </xdr:to>
    <xdr:grpSp>
      <xdr:nvGrpSpPr>
        <xdr:cNvPr id="1652" name="22BlockGroup"/>
        <xdr:cNvGrpSpPr/>
      </xdr:nvGrpSpPr>
      <xdr:grpSpPr>
        <a:xfrm>
          <a:off x="3203575" y="2336165"/>
          <a:ext cx="1896745" cy="1628140"/>
          <a:chOff x="3429000" y="2095500"/>
          <a:chExt cx="2032000" cy="1397000"/>
        </a:xfrm>
      </xdr:grpSpPr>
      <xdr:sp>
        <xdr:nvSpPr>
          <xdr:cNvPr id="1646" name="22TITLE"/>
          <xdr:cNvSpPr txBox="1"/>
        </xdr:nvSpPr>
        <xdr:spPr>
          <a:xfrm>
            <a:off x="342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N-4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7" name="22CP"/>
          <xdr:cNvSpPr txBox="1"/>
        </xdr:nvSpPr>
        <xdr:spPr>
          <a:xfrm>
            <a:off x="393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8" name="22CPK"/>
          <xdr:cNvSpPr txBox="1"/>
        </xdr:nvSpPr>
        <xdr:spPr>
          <a:xfrm>
            <a:off x="469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49" name="Chart 1648"/>
          <xdr:cNvGraphicFramePr/>
        </xdr:nvGraphicFramePr>
        <xdr:xfrm>
          <a:off x="393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>
        <xdr:nvSpPr>
          <xdr:cNvPr id="1650" name="22BlockCover"/>
          <xdr:cNvSpPr/>
        </xdr:nvSpPr>
        <xdr:spPr>
          <a:xfrm>
            <a:off x="342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18</xdr:row>
      <xdr:rowOff>0</xdr:rowOff>
    </xdr:from>
    <xdr:to>
      <xdr:col>8</xdr:col>
      <xdr:colOff>76200</xdr:colOff>
      <xdr:row>25</xdr:row>
      <xdr:rowOff>63500</xdr:rowOff>
    </xdr:to>
    <xdr:grpSp>
      <xdr:nvGrpSpPr>
        <xdr:cNvPr id="1659" name="23BlockGroup"/>
        <xdr:cNvGrpSpPr/>
      </xdr:nvGrpSpPr>
      <xdr:grpSpPr>
        <a:xfrm>
          <a:off x="3203575" y="4124325"/>
          <a:ext cx="1896745" cy="1628140"/>
          <a:chOff x="3429000" y="3619500"/>
          <a:chExt cx="2032000" cy="1397000"/>
        </a:xfrm>
      </xdr:grpSpPr>
      <xdr:sp>
        <xdr:nvSpPr>
          <xdr:cNvPr id="1653" name="23TITLE"/>
          <xdr:cNvSpPr txBox="1"/>
        </xdr:nvSpPr>
        <xdr:spPr>
          <a:xfrm>
            <a:off x="3429000" y="361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N-5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54" name="23CP"/>
          <xdr:cNvSpPr txBox="1"/>
        </xdr:nvSpPr>
        <xdr:spPr>
          <a:xfrm>
            <a:off x="3937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1.582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55" name="23CPK"/>
          <xdr:cNvSpPr txBox="1"/>
        </xdr:nvSpPr>
        <xdr:spPr>
          <a:xfrm>
            <a:off x="4699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1.582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56" name="Chart 1655"/>
          <xdr:cNvGraphicFramePr/>
        </xdr:nvGraphicFramePr>
        <xdr:xfrm>
          <a:off x="3937000" y="387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>
        <xdr:nvSpPr>
          <xdr:cNvPr id="1657" name="23BlockCover"/>
          <xdr:cNvSpPr/>
        </xdr:nvSpPr>
        <xdr:spPr>
          <a:xfrm>
            <a:off x="3429000" y="361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26</xdr:row>
      <xdr:rowOff>0</xdr:rowOff>
    </xdr:from>
    <xdr:to>
      <xdr:col>8</xdr:col>
      <xdr:colOff>76200</xdr:colOff>
      <xdr:row>33</xdr:row>
      <xdr:rowOff>63500</xdr:rowOff>
    </xdr:to>
    <xdr:grpSp>
      <xdr:nvGrpSpPr>
        <xdr:cNvPr id="1666" name="24BlockGroup"/>
        <xdr:cNvGrpSpPr/>
      </xdr:nvGrpSpPr>
      <xdr:grpSpPr>
        <a:xfrm>
          <a:off x="3203575" y="5912485"/>
          <a:ext cx="1896745" cy="1628140"/>
          <a:chOff x="3429000" y="5143500"/>
          <a:chExt cx="2032000" cy="1397000"/>
        </a:xfrm>
      </xdr:grpSpPr>
      <xdr:sp>
        <xdr:nvSpPr>
          <xdr:cNvPr id="1660" name="24TITLE"/>
          <xdr:cNvSpPr txBox="1"/>
        </xdr:nvSpPr>
        <xdr:spPr>
          <a:xfrm>
            <a:off x="3429000" y="514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1" name="24CP"/>
          <xdr:cNvSpPr txBox="1"/>
        </xdr:nvSpPr>
        <xdr:spPr>
          <a:xfrm>
            <a:off x="3937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3.72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2" name="24CPK"/>
          <xdr:cNvSpPr txBox="1"/>
        </xdr:nvSpPr>
        <xdr:spPr>
          <a:xfrm>
            <a:off x="4699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3.72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63" name="Chart 1662"/>
          <xdr:cNvGraphicFramePr/>
        </xdr:nvGraphicFramePr>
        <xdr:xfrm>
          <a:off x="3937000" y="539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>
        <xdr:nvSpPr>
          <xdr:cNvPr id="1664" name="24BlockCover"/>
          <xdr:cNvSpPr/>
        </xdr:nvSpPr>
        <xdr:spPr>
          <a:xfrm>
            <a:off x="3429000" y="514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34</xdr:row>
      <xdr:rowOff>0</xdr:rowOff>
    </xdr:from>
    <xdr:to>
      <xdr:col>8</xdr:col>
      <xdr:colOff>76200</xdr:colOff>
      <xdr:row>41</xdr:row>
      <xdr:rowOff>63500</xdr:rowOff>
    </xdr:to>
    <xdr:grpSp>
      <xdr:nvGrpSpPr>
        <xdr:cNvPr id="1673" name="25BlockGroup"/>
        <xdr:cNvGrpSpPr/>
      </xdr:nvGrpSpPr>
      <xdr:grpSpPr>
        <a:xfrm>
          <a:off x="3203575" y="7700645"/>
          <a:ext cx="1896745" cy="1628140"/>
          <a:chOff x="3429000" y="6667500"/>
          <a:chExt cx="2032000" cy="1397000"/>
        </a:xfrm>
      </xdr:grpSpPr>
      <xdr:sp>
        <xdr:nvSpPr>
          <xdr:cNvPr id="1667" name="25TITLE"/>
          <xdr:cNvSpPr txBox="1"/>
        </xdr:nvSpPr>
        <xdr:spPr>
          <a:xfrm>
            <a:off x="3429000" y="666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8" name="25CP"/>
          <xdr:cNvSpPr txBox="1"/>
        </xdr:nvSpPr>
        <xdr:spPr>
          <a:xfrm>
            <a:off x="3937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9" name="25CPK"/>
          <xdr:cNvSpPr txBox="1"/>
        </xdr:nvSpPr>
        <xdr:spPr>
          <a:xfrm>
            <a:off x="4699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3.437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70" name="Chart 1669"/>
          <xdr:cNvGraphicFramePr/>
        </xdr:nvGraphicFramePr>
        <xdr:xfrm>
          <a:off x="3937000" y="692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>
        <xdr:nvSpPr>
          <xdr:cNvPr id="1671" name="25BlockCover"/>
          <xdr:cNvSpPr/>
        </xdr:nvSpPr>
        <xdr:spPr>
          <a:xfrm>
            <a:off x="3429000" y="666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42</xdr:row>
      <xdr:rowOff>0</xdr:rowOff>
    </xdr:from>
    <xdr:to>
      <xdr:col>8</xdr:col>
      <xdr:colOff>76200</xdr:colOff>
      <xdr:row>49</xdr:row>
      <xdr:rowOff>63500</xdr:rowOff>
    </xdr:to>
    <xdr:grpSp>
      <xdr:nvGrpSpPr>
        <xdr:cNvPr id="1680" name="26BlockGroup"/>
        <xdr:cNvGrpSpPr/>
      </xdr:nvGrpSpPr>
      <xdr:grpSpPr>
        <a:xfrm>
          <a:off x="3203575" y="9488805"/>
          <a:ext cx="1896745" cy="1628140"/>
          <a:chOff x="3429000" y="8191500"/>
          <a:chExt cx="2032000" cy="1397000"/>
        </a:xfrm>
      </xdr:grpSpPr>
      <xdr:sp>
        <xdr:nvSpPr>
          <xdr:cNvPr id="1674" name="26TITLE"/>
          <xdr:cNvSpPr txBox="1"/>
        </xdr:nvSpPr>
        <xdr:spPr>
          <a:xfrm>
            <a:off x="3429000" y="819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O-3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75" name="26CP"/>
          <xdr:cNvSpPr txBox="1"/>
        </xdr:nvSpPr>
        <xdr:spPr>
          <a:xfrm>
            <a:off x="3937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76" name="26CPK"/>
          <xdr:cNvSpPr txBox="1"/>
        </xdr:nvSpPr>
        <xdr:spPr>
          <a:xfrm>
            <a:off x="4699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77" name="Chart 1676"/>
          <xdr:cNvGraphicFramePr/>
        </xdr:nvGraphicFramePr>
        <xdr:xfrm>
          <a:off x="3937000" y="844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>
        <xdr:nvSpPr>
          <xdr:cNvPr id="1678" name="26BlockCover"/>
          <xdr:cNvSpPr/>
        </xdr:nvSpPr>
        <xdr:spPr>
          <a:xfrm>
            <a:off x="3429000" y="819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50</xdr:row>
      <xdr:rowOff>0</xdr:rowOff>
    </xdr:from>
    <xdr:to>
      <xdr:col>8</xdr:col>
      <xdr:colOff>76200</xdr:colOff>
      <xdr:row>57</xdr:row>
      <xdr:rowOff>63500</xdr:rowOff>
    </xdr:to>
    <xdr:grpSp>
      <xdr:nvGrpSpPr>
        <xdr:cNvPr id="1687" name="27BlockGroup"/>
        <xdr:cNvGrpSpPr/>
      </xdr:nvGrpSpPr>
      <xdr:grpSpPr>
        <a:xfrm>
          <a:off x="3203575" y="11276965"/>
          <a:ext cx="1896745" cy="1628140"/>
          <a:chOff x="3429000" y="9715500"/>
          <a:chExt cx="2032000" cy="1397000"/>
        </a:xfrm>
      </xdr:grpSpPr>
      <xdr:sp>
        <xdr:nvSpPr>
          <xdr:cNvPr id="1681" name="27TITLE"/>
          <xdr:cNvSpPr txBox="1"/>
        </xdr:nvSpPr>
        <xdr:spPr>
          <a:xfrm>
            <a:off x="3429000" y="971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O-4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2" name="27CP"/>
          <xdr:cNvSpPr txBox="1"/>
        </xdr:nvSpPr>
        <xdr:spPr>
          <a:xfrm>
            <a:off x="3937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3.563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3" name="27CPK"/>
          <xdr:cNvSpPr txBox="1"/>
        </xdr:nvSpPr>
        <xdr:spPr>
          <a:xfrm>
            <a:off x="4699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3.563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84" name="Chart 1683"/>
          <xdr:cNvGraphicFramePr/>
        </xdr:nvGraphicFramePr>
        <xdr:xfrm>
          <a:off x="3937000" y="996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>
        <xdr:nvSpPr>
          <xdr:cNvPr id="1685" name="27BlockCover"/>
          <xdr:cNvSpPr/>
        </xdr:nvSpPr>
        <xdr:spPr>
          <a:xfrm>
            <a:off x="3429000" y="971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58</xdr:row>
      <xdr:rowOff>0</xdr:rowOff>
    </xdr:from>
    <xdr:to>
      <xdr:col>8</xdr:col>
      <xdr:colOff>76200</xdr:colOff>
      <xdr:row>65</xdr:row>
      <xdr:rowOff>63500</xdr:rowOff>
    </xdr:to>
    <xdr:grpSp>
      <xdr:nvGrpSpPr>
        <xdr:cNvPr id="1694" name="28BlockGroup"/>
        <xdr:cNvGrpSpPr/>
      </xdr:nvGrpSpPr>
      <xdr:grpSpPr>
        <a:xfrm>
          <a:off x="3203575" y="13065125"/>
          <a:ext cx="1896745" cy="1628140"/>
          <a:chOff x="3429000" y="11239500"/>
          <a:chExt cx="2032000" cy="1397000"/>
        </a:xfrm>
      </xdr:grpSpPr>
      <xdr:sp>
        <xdr:nvSpPr>
          <xdr:cNvPr id="1688" name="28TITLE"/>
          <xdr:cNvSpPr txBox="1"/>
        </xdr:nvSpPr>
        <xdr:spPr>
          <a:xfrm>
            <a:off x="3429000" y="1123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O-5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9" name="28CP"/>
          <xdr:cNvSpPr txBox="1"/>
        </xdr:nvSpPr>
        <xdr:spPr>
          <a:xfrm>
            <a:off x="3937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0" name="28CPK"/>
          <xdr:cNvSpPr txBox="1"/>
        </xdr:nvSpPr>
        <xdr:spPr>
          <a:xfrm>
            <a:off x="4699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91" name="Chart 1690"/>
          <xdr:cNvGraphicFramePr/>
        </xdr:nvGraphicFramePr>
        <xdr:xfrm>
          <a:off x="3937000" y="1149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>
        <xdr:nvSpPr>
          <xdr:cNvPr id="1692" name="28BlockCover"/>
          <xdr:cNvSpPr/>
        </xdr:nvSpPr>
        <xdr:spPr>
          <a:xfrm>
            <a:off x="3429000" y="1123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66</xdr:row>
      <xdr:rowOff>0</xdr:rowOff>
    </xdr:from>
    <xdr:to>
      <xdr:col>8</xdr:col>
      <xdr:colOff>76200</xdr:colOff>
      <xdr:row>73</xdr:row>
      <xdr:rowOff>63500</xdr:rowOff>
    </xdr:to>
    <xdr:grpSp>
      <xdr:nvGrpSpPr>
        <xdr:cNvPr id="1701" name="29BlockGroup"/>
        <xdr:cNvGrpSpPr/>
      </xdr:nvGrpSpPr>
      <xdr:grpSpPr>
        <a:xfrm>
          <a:off x="3203575" y="14853285"/>
          <a:ext cx="1896745" cy="1628140"/>
          <a:chOff x="3429000" y="12763500"/>
          <a:chExt cx="2032000" cy="1397000"/>
        </a:xfrm>
      </xdr:grpSpPr>
      <xdr:sp>
        <xdr:nvSpPr>
          <xdr:cNvPr id="1695" name="29TITLE"/>
          <xdr:cNvSpPr txBox="1"/>
        </xdr:nvSpPr>
        <xdr:spPr>
          <a:xfrm>
            <a:off x="3429000" y="1276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25.56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36.56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6" name="29CP"/>
          <xdr:cNvSpPr txBox="1"/>
        </xdr:nvSpPr>
        <xdr:spPr>
          <a:xfrm>
            <a:off x="3937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1.367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7" name="29CPK"/>
          <xdr:cNvSpPr txBox="1"/>
        </xdr:nvSpPr>
        <xdr:spPr>
          <a:xfrm>
            <a:off x="4699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98" name="Chart 1697"/>
          <xdr:cNvGraphicFramePr/>
        </xdr:nvGraphicFramePr>
        <xdr:xfrm>
          <a:off x="3937000" y="1301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>
        <xdr:nvSpPr>
          <xdr:cNvPr id="1699" name="29BlockCover"/>
          <xdr:cNvSpPr/>
        </xdr:nvSpPr>
        <xdr:spPr>
          <a:xfrm>
            <a:off x="3429000" y="1276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74</xdr:row>
      <xdr:rowOff>0</xdr:rowOff>
    </xdr:from>
    <xdr:to>
      <xdr:col>8</xdr:col>
      <xdr:colOff>76200</xdr:colOff>
      <xdr:row>81</xdr:row>
      <xdr:rowOff>63500</xdr:rowOff>
    </xdr:to>
    <xdr:grpSp>
      <xdr:nvGrpSpPr>
        <xdr:cNvPr id="1708" name="30BlockGroup"/>
        <xdr:cNvGrpSpPr/>
      </xdr:nvGrpSpPr>
      <xdr:grpSpPr>
        <a:xfrm>
          <a:off x="3203575" y="16641445"/>
          <a:ext cx="1896745" cy="1628140"/>
          <a:chOff x="3429000" y="14287500"/>
          <a:chExt cx="2032000" cy="1397000"/>
        </a:xfrm>
      </xdr:grpSpPr>
      <xdr:sp>
        <xdr:nvSpPr>
          <xdr:cNvPr id="1702" name="30TITLE"/>
          <xdr:cNvSpPr txBox="1"/>
        </xdr:nvSpPr>
        <xdr:spPr>
          <a:xfrm>
            <a:off x="3429000" y="1428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Q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35.93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46.93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03" name="30CP"/>
          <xdr:cNvSpPr txBox="1"/>
        </xdr:nvSpPr>
        <xdr:spPr>
          <a:xfrm>
            <a:off x="3937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1.495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04" name="30CPK"/>
          <xdr:cNvSpPr txBox="1"/>
        </xdr:nvSpPr>
        <xdr:spPr>
          <a:xfrm>
            <a:off x="4699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1.293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05" name="Chart 1704"/>
          <xdr:cNvGraphicFramePr/>
        </xdr:nvGraphicFramePr>
        <xdr:xfrm>
          <a:off x="3937000" y="1454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>
        <xdr:nvSpPr>
          <xdr:cNvPr id="1706" name="30BlockCover"/>
          <xdr:cNvSpPr/>
        </xdr:nvSpPr>
        <xdr:spPr>
          <a:xfrm>
            <a:off x="3429000" y="1428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584200</xdr:colOff>
      <xdr:row>2</xdr:row>
      <xdr:rowOff>63500</xdr:rowOff>
    </xdr:from>
    <xdr:to>
      <xdr:col>11</xdr:col>
      <xdr:colOff>596900</xdr:colOff>
      <xdr:row>9</xdr:row>
      <xdr:rowOff>63500</xdr:rowOff>
    </xdr:to>
    <xdr:grpSp>
      <xdr:nvGrpSpPr>
        <xdr:cNvPr id="1715" name="31BlockGroup"/>
        <xdr:cNvGrpSpPr/>
      </xdr:nvGrpSpPr>
      <xdr:grpSpPr>
        <a:xfrm>
          <a:off x="5608320" y="577850"/>
          <a:ext cx="1896745" cy="1598295"/>
          <a:chOff x="5969000" y="571500"/>
          <a:chExt cx="2032000" cy="1397000"/>
        </a:xfrm>
      </xdr:grpSpPr>
      <xdr:sp>
        <xdr:nvSpPr>
          <xdr:cNvPr id="1709" name="31TITLE"/>
          <xdr:cNvSpPr txBox="1"/>
        </xdr:nvSpPr>
        <xdr:spPr>
          <a:xfrm>
            <a:off x="596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R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0" name="31CP"/>
          <xdr:cNvSpPr txBox="1"/>
        </xdr:nvSpPr>
        <xdr:spPr>
          <a:xfrm>
            <a:off x="647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1.211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1" name="31CPK"/>
          <xdr:cNvSpPr txBox="1"/>
        </xdr:nvSpPr>
        <xdr:spPr>
          <a:xfrm>
            <a:off x="723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1.036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12" name="Chart 1711"/>
          <xdr:cNvGraphicFramePr/>
        </xdr:nvGraphicFramePr>
        <xdr:xfrm>
          <a:off x="647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>
        <xdr:nvSpPr>
          <xdr:cNvPr id="1713" name="31BlockCover"/>
          <xdr:cNvSpPr/>
        </xdr:nvSpPr>
        <xdr:spPr>
          <a:xfrm>
            <a:off x="596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584200</xdr:colOff>
      <xdr:row>10</xdr:row>
      <xdr:rowOff>0</xdr:rowOff>
    </xdr:from>
    <xdr:to>
      <xdr:col>11</xdr:col>
      <xdr:colOff>596900</xdr:colOff>
      <xdr:row>17</xdr:row>
      <xdr:rowOff>63500</xdr:rowOff>
    </xdr:to>
    <xdr:grpSp>
      <xdr:nvGrpSpPr>
        <xdr:cNvPr id="1722" name="32BlockGroup"/>
        <xdr:cNvGrpSpPr/>
      </xdr:nvGrpSpPr>
      <xdr:grpSpPr>
        <a:xfrm>
          <a:off x="5608320" y="2336165"/>
          <a:ext cx="1896745" cy="1628140"/>
          <a:chOff x="5969000" y="2095500"/>
          <a:chExt cx="2032000" cy="1397000"/>
        </a:xfrm>
      </xdr:grpSpPr>
      <xdr:sp>
        <xdr:nvSpPr>
          <xdr:cNvPr id="1716" name="32TITLE"/>
          <xdr:cNvSpPr txBox="1"/>
        </xdr:nvSpPr>
        <xdr:spPr>
          <a:xfrm>
            <a:off x="596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S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7" name="32CP"/>
          <xdr:cNvSpPr txBox="1"/>
        </xdr:nvSpPr>
        <xdr:spPr>
          <a:xfrm>
            <a:off x="647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8" name="32CPK"/>
          <xdr:cNvSpPr txBox="1"/>
        </xdr:nvSpPr>
        <xdr:spPr>
          <a:xfrm>
            <a:off x="723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1.098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19" name="Chart 1718"/>
          <xdr:cNvGraphicFramePr/>
        </xdr:nvGraphicFramePr>
        <xdr:xfrm>
          <a:off x="647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>
        <xdr:nvSpPr>
          <xdr:cNvPr id="1720" name="32BlockCover"/>
          <xdr:cNvSpPr/>
        </xdr:nvSpPr>
        <xdr:spPr>
          <a:xfrm>
            <a:off x="596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13</xdr:col>
      <xdr:colOff>455930</xdr:colOff>
      <xdr:row>1</xdr:row>
      <xdr:rowOff>47625</xdr:rowOff>
    </xdr:from>
    <xdr:to>
      <xdr:col>34</xdr:col>
      <xdr:colOff>323215</xdr:colOff>
      <xdr:row>38</xdr:row>
      <xdr:rowOff>142875</xdr:rowOff>
    </xdr:to>
    <xdr:pic>
      <xdr:nvPicPr>
        <xdr:cNvPr id="2" name="图片 1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8620125" y="304800"/>
          <a:ext cx="13055600" cy="84328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GC138"/>
  <sheetViews>
    <sheetView showGridLines="0" tabSelected="1" zoomScale="65" zoomScaleNormal="65" zoomScalePageLayoutView="125" workbookViewId="0">
      <pane xSplit="14" ySplit="10" topLeftCell="O31" activePane="bottomRight" state="frozen"/>
      <selection/>
      <selection pane="topRight"/>
      <selection pane="bottomLeft"/>
      <selection pane="bottomRight" activeCell="A27" sqref="$A27:$XFD27"/>
    </sheetView>
  </sheetViews>
  <sheetFormatPr defaultColWidth="8.83035714285714" defaultRowHeight="17.6"/>
  <cols>
    <col min="1" max="1" width="0.830357142857143" customWidth="1"/>
    <col min="2" max="3" width="7.83035714285714" customWidth="1"/>
    <col min="4" max="4" width="42.7857142857143" customWidth="1"/>
    <col min="5" max="5" width="7.66071428571429" customWidth="1"/>
    <col min="6" max="6" width="9" customWidth="1"/>
    <col min="7" max="7" width="7.83035714285714" customWidth="1"/>
    <col min="8" max="9" width="8.33035714285714" customWidth="1"/>
    <col min="10" max="13" width="7.83035714285714" customWidth="1"/>
    <col min="14" max="14" width="0.830357142857143" customWidth="1"/>
    <col min="15" max="25" width="7.83035714285714" customWidth="1"/>
    <col min="26" max="26" width="10" customWidth="1"/>
    <col min="27" max="29" width="9.66071428571429" customWidth="1"/>
    <col min="30" max="30" width="7.83035714285714" customWidth="1"/>
    <col min="31" max="31" width="9" customWidth="1"/>
    <col min="32" max="32" width="22" customWidth="1"/>
    <col min="33" max="35" width="9" hidden="1" customWidth="1"/>
    <col min="36" max="36" width="0.830357142857143" customWidth="1"/>
    <col min="37" max="136" width="7.83035714285714" customWidth="1"/>
  </cols>
  <sheetData>
    <row r="1" s="13" customFormat="1" ht="22" customHeight="1" spans="1:36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98"/>
    </row>
    <row r="2" s="14" customFormat="1" ht="14" customHeight="1" spans="2:36">
      <c r="B2" s="18" t="s">
        <v>1</v>
      </c>
      <c r="C2" s="18"/>
      <c r="D2" s="19"/>
      <c r="E2" s="19"/>
      <c r="F2" s="19"/>
      <c r="I2" s="19"/>
      <c r="J2" s="19"/>
      <c r="K2" s="19"/>
      <c r="L2" s="20"/>
      <c r="M2" s="20"/>
      <c r="O2" s="20"/>
      <c r="P2" s="20"/>
      <c r="Q2" s="19"/>
      <c r="R2" s="19"/>
      <c r="S2" s="11"/>
      <c r="T2" s="11"/>
      <c r="U2" s="11"/>
      <c r="V2" s="82" t="s">
        <v>2</v>
      </c>
      <c r="W2" s="82"/>
      <c r="X2" s="11"/>
      <c r="AB2" s="20"/>
      <c r="AE2" s="19"/>
      <c r="AF2" s="19"/>
      <c r="AG2" s="19"/>
      <c r="AH2" s="19"/>
      <c r="AI2" s="19"/>
      <c r="AJ2" s="20"/>
    </row>
    <row r="3" s="14" customFormat="1" ht="9" customHeight="1" spans="2:36">
      <c r="B3" s="19"/>
      <c r="C3" s="19"/>
      <c r="D3" s="20"/>
      <c r="E3" s="20"/>
      <c r="F3" s="19"/>
      <c r="G3" s="19"/>
      <c r="H3" s="19"/>
      <c r="I3" s="19"/>
      <c r="J3" s="19"/>
      <c r="K3" s="19"/>
      <c r="L3" s="20"/>
      <c r="M3" s="20"/>
      <c r="O3" s="20"/>
      <c r="P3" s="20"/>
      <c r="Q3" s="19"/>
      <c r="R3" s="19"/>
      <c r="S3" s="19"/>
      <c r="T3" s="19"/>
      <c r="U3" s="19"/>
      <c r="V3" s="19"/>
      <c r="W3" s="19"/>
      <c r="X3" s="20"/>
      <c r="Y3" s="20"/>
      <c r="Z3" s="20"/>
      <c r="AA3" s="20"/>
      <c r="AB3" s="20"/>
      <c r="AC3" s="20"/>
      <c r="AD3" s="19"/>
      <c r="AE3" s="19"/>
      <c r="AF3" s="19"/>
      <c r="AG3" s="19"/>
      <c r="AH3" s="19"/>
      <c r="AI3" s="19"/>
      <c r="AJ3" s="20"/>
    </row>
    <row r="4" s="14" customFormat="1" ht="18.75" customHeight="1" spans="2:36">
      <c r="B4" s="21" t="s">
        <v>3</v>
      </c>
      <c r="C4" s="22"/>
      <c r="D4" s="23" t="s">
        <v>4</v>
      </c>
      <c r="E4" s="41"/>
      <c r="F4" s="42" t="s">
        <v>5</v>
      </c>
      <c r="G4" s="43"/>
      <c r="H4" s="44" t="s">
        <v>6</v>
      </c>
      <c r="I4" s="54"/>
      <c r="J4" s="54"/>
      <c r="K4" s="54"/>
      <c r="L4" s="54"/>
      <c r="M4" s="62"/>
      <c r="N4" s="63"/>
      <c r="O4" s="21" t="s">
        <v>7</v>
      </c>
      <c r="P4" s="64"/>
      <c r="Q4" s="22"/>
      <c r="R4" s="73" t="s">
        <v>8</v>
      </c>
      <c r="S4" s="74"/>
      <c r="T4" s="74"/>
      <c r="U4" s="74"/>
      <c r="V4" s="74"/>
      <c r="W4" s="83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="14" customFormat="1" ht="18.75" customHeight="1" spans="2:36">
      <c r="B5" s="21" t="s">
        <v>9</v>
      </c>
      <c r="C5" s="22"/>
      <c r="D5" s="23" t="s">
        <v>10</v>
      </c>
      <c r="E5" s="41"/>
      <c r="F5" s="42" t="s">
        <v>11</v>
      </c>
      <c r="G5" s="43"/>
      <c r="H5" s="44" t="s">
        <v>12</v>
      </c>
      <c r="I5" s="54"/>
      <c r="J5" s="54"/>
      <c r="K5" s="54"/>
      <c r="L5" s="54"/>
      <c r="M5" s="62"/>
      <c r="N5" s="63"/>
      <c r="O5" s="21" t="s">
        <v>13</v>
      </c>
      <c r="P5" s="64"/>
      <c r="Q5" s="22"/>
      <c r="R5" s="73"/>
      <c r="S5" s="74"/>
      <c r="T5" s="74"/>
      <c r="U5" s="74"/>
      <c r="V5" s="74"/>
      <c r="W5" s="83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="14" customFormat="1" ht="18.75" customHeight="1" spans="2:36">
      <c r="B6" s="21" t="s">
        <v>14</v>
      </c>
      <c r="C6" s="22"/>
      <c r="D6" s="24" t="s">
        <v>15</v>
      </c>
      <c r="E6" s="41"/>
      <c r="F6" s="42" t="s">
        <v>16</v>
      </c>
      <c r="G6" s="43"/>
      <c r="H6" s="44">
        <v>45832</v>
      </c>
      <c r="I6" s="54"/>
      <c r="J6" s="54"/>
      <c r="K6" s="54"/>
      <c r="L6" s="54"/>
      <c r="M6" s="62"/>
      <c r="N6" s="63"/>
      <c r="O6" s="21" t="s">
        <v>17</v>
      </c>
      <c r="P6" s="64"/>
      <c r="Q6" s="22"/>
      <c r="R6" s="73" t="s">
        <v>18</v>
      </c>
      <c r="S6" s="74"/>
      <c r="T6" s="74"/>
      <c r="U6" s="74"/>
      <c r="V6" s="74"/>
      <c r="W6" s="83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="14" customFormat="1" ht="9" customHeight="1" spans="2:37">
      <c r="B7" s="25"/>
      <c r="C7" s="26"/>
      <c r="D7" s="25"/>
      <c r="E7" s="25"/>
      <c r="F7" s="26"/>
      <c r="G7" s="25"/>
      <c r="H7" s="26"/>
      <c r="I7" s="25"/>
      <c r="J7" s="26"/>
      <c r="K7" s="26"/>
      <c r="L7" s="25"/>
      <c r="M7" s="26"/>
      <c r="O7" s="25"/>
      <c r="P7" s="26"/>
      <c r="Q7" s="25"/>
      <c r="R7" s="25"/>
      <c r="S7" s="25"/>
      <c r="T7" s="25"/>
      <c r="U7" s="25"/>
      <c r="V7" s="26"/>
      <c r="W7" s="25"/>
      <c r="X7" s="26"/>
      <c r="Y7" s="25"/>
      <c r="Z7" s="25"/>
      <c r="AA7" s="25"/>
      <c r="AB7" s="25"/>
      <c r="AC7" s="25"/>
      <c r="AD7" s="26"/>
      <c r="AE7" s="25"/>
      <c r="AF7" s="25"/>
      <c r="AG7" s="25"/>
      <c r="AH7" s="25"/>
      <c r="AI7" s="25"/>
      <c r="AJ7" s="26"/>
      <c r="AK7" s="20"/>
    </row>
    <row r="8" s="15" customFormat="1" ht="15" customHeight="1" spans="1:68">
      <c r="A8" s="27"/>
      <c r="B8" s="28" t="s">
        <v>19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65"/>
      <c r="N8" s="27"/>
      <c r="O8" s="28" t="s">
        <v>20</v>
      </c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65"/>
      <c r="AG8" s="99" t="s">
        <v>21</v>
      </c>
      <c r="AH8" s="99"/>
      <c r="AI8" s="99"/>
      <c r="AJ8" s="27"/>
      <c r="AK8" s="108" t="s">
        <v>22</v>
      </c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15"/>
    </row>
    <row r="9" s="15" customFormat="1" ht="25" customHeight="1" spans="1:68">
      <c r="A9" s="30"/>
      <c r="B9" s="31"/>
      <c r="C9" s="31"/>
      <c r="D9" s="31"/>
      <c r="E9" s="31"/>
      <c r="F9" s="31"/>
      <c r="G9" s="45"/>
      <c r="H9" s="129" t="s">
        <v>23</v>
      </c>
      <c r="I9" s="129" t="s">
        <v>24</v>
      </c>
      <c r="J9" s="55"/>
      <c r="K9" s="55"/>
      <c r="L9" s="56"/>
      <c r="M9" s="56"/>
      <c r="N9" s="30"/>
      <c r="O9" s="66"/>
      <c r="P9" s="66"/>
      <c r="Q9" s="75"/>
      <c r="R9" s="66"/>
      <c r="S9" s="76"/>
      <c r="T9" s="76"/>
      <c r="U9" s="76"/>
      <c r="V9" s="76"/>
      <c r="W9" s="76"/>
      <c r="X9" s="76"/>
      <c r="Y9" s="76"/>
      <c r="Z9" s="84" t="s">
        <v>25</v>
      </c>
      <c r="AA9" s="85"/>
      <c r="AB9" s="84" t="s">
        <v>26</v>
      </c>
      <c r="AC9" s="90">
        <v>1.5</v>
      </c>
      <c r="AD9" s="91"/>
      <c r="AE9" s="91"/>
      <c r="AF9" s="92"/>
      <c r="AG9" s="100"/>
      <c r="AH9" s="100"/>
      <c r="AI9" s="101"/>
      <c r="AJ9" s="102"/>
      <c r="AK9" s="110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  <c r="BA9" s="111"/>
      <c r="BB9" s="111"/>
      <c r="BC9" s="111"/>
      <c r="BD9" s="111"/>
      <c r="BE9" s="111"/>
      <c r="BF9" s="111"/>
      <c r="BG9" s="111"/>
      <c r="BH9" s="111"/>
      <c r="BI9" s="111"/>
      <c r="BJ9" s="111"/>
      <c r="BK9" s="111"/>
      <c r="BL9" s="111"/>
      <c r="BM9" s="111"/>
      <c r="BN9" s="111"/>
      <c r="BO9" s="111"/>
      <c r="BP9" s="116"/>
    </row>
    <row r="10" s="16" customFormat="1" ht="28" spans="1:136">
      <c r="A10" s="32"/>
      <c r="B10" s="33" t="s">
        <v>27</v>
      </c>
      <c r="C10" s="33" t="s">
        <v>28</v>
      </c>
      <c r="D10" s="33" t="s">
        <v>29</v>
      </c>
      <c r="E10" s="33" t="s">
        <v>30</v>
      </c>
      <c r="F10" s="33" t="s">
        <v>31</v>
      </c>
      <c r="G10" s="47" t="s">
        <v>32</v>
      </c>
      <c r="H10" s="130" t="s">
        <v>33</v>
      </c>
      <c r="I10" s="130" t="s">
        <v>34</v>
      </c>
      <c r="J10" s="57" t="s">
        <v>35</v>
      </c>
      <c r="K10" s="57" t="s">
        <v>36</v>
      </c>
      <c r="L10" s="58" t="s">
        <v>37</v>
      </c>
      <c r="M10" s="58" t="s">
        <v>38</v>
      </c>
      <c r="N10" s="32"/>
      <c r="O10" s="67" t="s">
        <v>39</v>
      </c>
      <c r="P10" s="67" t="s">
        <v>40</v>
      </c>
      <c r="Q10" s="77" t="s">
        <v>41</v>
      </c>
      <c r="R10" s="67" t="s">
        <v>42</v>
      </c>
      <c r="S10" s="78" t="s">
        <v>43</v>
      </c>
      <c r="T10" s="78" t="s">
        <v>44</v>
      </c>
      <c r="U10" s="78" t="s">
        <v>45</v>
      </c>
      <c r="V10" s="78" t="s">
        <v>46</v>
      </c>
      <c r="W10" s="78" t="s">
        <v>47</v>
      </c>
      <c r="X10" s="78" t="s">
        <v>48</v>
      </c>
      <c r="Y10" s="78" t="s">
        <v>49</v>
      </c>
      <c r="Z10" s="131" t="s">
        <v>50</v>
      </c>
      <c r="AA10" s="131" t="s">
        <v>51</v>
      </c>
      <c r="AB10" s="132" t="s">
        <v>52</v>
      </c>
      <c r="AC10" s="133" t="s">
        <v>53</v>
      </c>
      <c r="AD10" s="94" t="s">
        <v>54</v>
      </c>
      <c r="AE10" s="94" t="s">
        <v>55</v>
      </c>
      <c r="AF10" s="94" t="s">
        <v>56</v>
      </c>
      <c r="AG10" s="100"/>
      <c r="AH10" s="100"/>
      <c r="AI10" s="101"/>
      <c r="AJ10" s="103"/>
      <c r="AK10" s="112">
        <v>1</v>
      </c>
      <c r="AL10" s="112">
        <v>2</v>
      </c>
      <c r="AM10" s="112">
        <v>3</v>
      </c>
      <c r="AN10" s="112">
        <v>4</v>
      </c>
      <c r="AO10" s="112">
        <v>5</v>
      </c>
      <c r="AP10" s="112">
        <v>6</v>
      </c>
      <c r="AQ10" s="112">
        <v>7</v>
      </c>
      <c r="AR10" s="112">
        <v>8</v>
      </c>
      <c r="AS10" s="112">
        <v>9</v>
      </c>
      <c r="AT10" s="112">
        <v>10</v>
      </c>
      <c r="AU10" s="112">
        <v>11</v>
      </c>
      <c r="AV10" s="112">
        <v>12</v>
      </c>
      <c r="AW10" s="112">
        <v>13</v>
      </c>
      <c r="AX10" s="112">
        <v>14</v>
      </c>
      <c r="AY10" s="112">
        <v>15</v>
      </c>
      <c r="AZ10" s="112">
        <v>16</v>
      </c>
      <c r="BA10" s="112">
        <v>17</v>
      </c>
      <c r="BB10" s="112">
        <v>18</v>
      </c>
      <c r="BC10" s="112">
        <v>19</v>
      </c>
      <c r="BD10" s="112">
        <v>20</v>
      </c>
      <c r="BE10" s="112">
        <v>21</v>
      </c>
      <c r="BF10" s="112">
        <v>22</v>
      </c>
      <c r="BG10" s="112">
        <v>23</v>
      </c>
      <c r="BH10" s="112">
        <v>24</v>
      </c>
      <c r="BI10" s="112">
        <v>25</v>
      </c>
      <c r="BJ10" s="112">
        <v>26</v>
      </c>
      <c r="BK10" s="112">
        <v>27</v>
      </c>
      <c r="BL10" s="112">
        <v>28</v>
      </c>
      <c r="BM10" s="112">
        <v>29</v>
      </c>
      <c r="BN10" s="112">
        <v>30</v>
      </c>
      <c r="BO10" s="112">
        <v>31</v>
      </c>
      <c r="BP10" s="117">
        <v>32</v>
      </c>
      <c r="BQ10" s="119">
        <v>33</v>
      </c>
      <c r="BR10" s="112">
        <v>34</v>
      </c>
      <c r="BS10" s="112">
        <v>35</v>
      </c>
      <c r="BT10" s="112">
        <v>36</v>
      </c>
      <c r="BU10" s="112">
        <v>37</v>
      </c>
      <c r="BV10" s="112">
        <v>38</v>
      </c>
      <c r="BW10" s="112">
        <v>39</v>
      </c>
      <c r="BX10" s="112">
        <v>40</v>
      </c>
      <c r="BY10" s="112">
        <v>41</v>
      </c>
      <c r="BZ10" s="112">
        <v>42</v>
      </c>
      <c r="CA10" s="112">
        <v>43</v>
      </c>
      <c r="CB10" s="112">
        <v>44</v>
      </c>
      <c r="CC10" s="112">
        <v>45</v>
      </c>
      <c r="CD10" s="112">
        <v>46</v>
      </c>
      <c r="CE10" s="112">
        <v>47</v>
      </c>
      <c r="CF10" s="112">
        <v>48</v>
      </c>
      <c r="CG10" s="112">
        <v>49</v>
      </c>
      <c r="CH10" s="112">
        <v>50</v>
      </c>
      <c r="CI10" s="112">
        <v>51</v>
      </c>
      <c r="CJ10" s="112">
        <v>52</v>
      </c>
      <c r="CK10" s="112">
        <v>53</v>
      </c>
      <c r="CL10" s="112">
        <v>54</v>
      </c>
      <c r="CM10" s="112">
        <v>55</v>
      </c>
      <c r="CN10" s="112">
        <v>56</v>
      </c>
      <c r="CO10" s="112">
        <v>57</v>
      </c>
      <c r="CP10" s="112">
        <v>58</v>
      </c>
      <c r="CQ10" s="112">
        <v>59</v>
      </c>
      <c r="CR10" s="112">
        <v>60</v>
      </c>
      <c r="CS10" s="112">
        <v>61</v>
      </c>
      <c r="CT10" s="112">
        <v>62</v>
      </c>
      <c r="CU10" s="112">
        <v>63</v>
      </c>
      <c r="CV10" s="112">
        <v>64</v>
      </c>
      <c r="CW10" s="112">
        <v>65</v>
      </c>
      <c r="CX10" s="112">
        <v>66</v>
      </c>
      <c r="CY10" s="112">
        <v>67</v>
      </c>
      <c r="CZ10" s="112">
        <v>68</v>
      </c>
      <c r="DA10" s="112">
        <v>69</v>
      </c>
      <c r="DB10" s="112">
        <v>70</v>
      </c>
      <c r="DC10" s="112">
        <v>71</v>
      </c>
      <c r="DD10" s="112">
        <v>72</v>
      </c>
      <c r="DE10" s="112">
        <v>73</v>
      </c>
      <c r="DF10" s="112">
        <v>74</v>
      </c>
      <c r="DG10" s="112">
        <v>75</v>
      </c>
      <c r="DH10" s="112">
        <v>76</v>
      </c>
      <c r="DI10" s="112">
        <v>77</v>
      </c>
      <c r="DJ10" s="112">
        <v>78</v>
      </c>
      <c r="DK10" s="112">
        <v>79</v>
      </c>
      <c r="DL10" s="112">
        <v>80</v>
      </c>
      <c r="DM10" s="112">
        <v>81</v>
      </c>
      <c r="DN10" s="112">
        <v>82</v>
      </c>
      <c r="DO10" s="112">
        <v>83</v>
      </c>
      <c r="DP10" s="112">
        <v>84</v>
      </c>
      <c r="DQ10" s="112">
        <v>85</v>
      </c>
      <c r="DR10" s="112">
        <v>86</v>
      </c>
      <c r="DS10" s="112">
        <v>87</v>
      </c>
      <c r="DT10" s="112">
        <v>88</v>
      </c>
      <c r="DU10" s="112">
        <v>89</v>
      </c>
      <c r="DV10" s="112">
        <v>90</v>
      </c>
      <c r="DW10" s="112">
        <v>91</v>
      </c>
      <c r="DX10" s="112">
        <v>92</v>
      </c>
      <c r="DY10" s="112">
        <v>93</v>
      </c>
      <c r="DZ10" s="112">
        <v>94</v>
      </c>
      <c r="EA10" s="112">
        <v>95</v>
      </c>
      <c r="EB10" s="112">
        <v>96</v>
      </c>
      <c r="EC10" s="112">
        <v>97</v>
      </c>
      <c r="ED10" s="112">
        <v>98</v>
      </c>
      <c r="EE10" s="112">
        <v>99</v>
      </c>
      <c r="EF10" s="112">
        <v>100</v>
      </c>
    </row>
    <row r="11" ht="15" customHeight="1" spans="1:3556">
      <c r="A11" s="34">
        <v>1</v>
      </c>
      <c r="B11" s="35" t="s">
        <v>57</v>
      </c>
      <c r="C11" s="36" t="s">
        <v>58</v>
      </c>
      <c r="D11" s="36" t="s">
        <v>59</v>
      </c>
      <c r="E11" s="49">
        <v>1.33</v>
      </c>
      <c r="F11" s="50" t="s">
        <v>60</v>
      </c>
      <c r="G11" s="51">
        <v>0.96</v>
      </c>
      <c r="H11" s="52">
        <v>0.1</v>
      </c>
      <c r="I11" s="52">
        <v>-0.1</v>
      </c>
      <c r="J11" s="59" t="s">
        <v>61</v>
      </c>
      <c r="K11" s="60" t="s">
        <v>62</v>
      </c>
      <c r="L11" s="61">
        <f>IF(AND(G11="",H11=""),"",IF(G11="",H11,G11+H11))</f>
        <v>1.06</v>
      </c>
      <c r="M11" s="61">
        <f>IF(AND(G11="",I11=""),"",IF(G11="",I11,G11+I11))</f>
        <v>0.86</v>
      </c>
      <c r="N11" s="68"/>
      <c r="O11" s="69">
        <f t="shared" ref="O11" si="0">IF(OR($AK11="",ISNUMBER($AK11)=FALSE),"",MAX(AK11:EF11))</f>
        <v>0.99431</v>
      </c>
      <c r="P11" s="69">
        <f t="shared" ref="P11" si="1">IF(OR($AK11="",ISNUMBER($AK11)=FALSE),"",MIN(AK11:EF11))</f>
        <v>0.94408</v>
      </c>
      <c r="Q11" s="69">
        <f t="shared" ref="Q11" si="2">IF(OR($AK11="",ISNUMBER($AK11)=FALSE),"",AVERAGE(AK11:EF11))</f>
        <v>0.974063125</v>
      </c>
      <c r="R11" s="79">
        <f t="shared" ref="R11" si="3">IF(OR($AK11="",ISNUMBER($AK11)=FALSE),"",STDEV(AK11:EF11))</f>
        <v>0.0101588542145073</v>
      </c>
      <c r="S11" s="80">
        <f>IF(OR($AK11="",ISNUMBER($AK11)=FALSE),"",IF(AND(G11=0,I11=0),V11,IF(AND(G11="",H11=""),W11,(H11+ABS(I11))/(6*R11))))</f>
        <v>3.28120993071559</v>
      </c>
      <c r="T11" s="81">
        <f>IF(OR($AK11="",ISNUMBER($AK11)=FALSE),"",IF(AND($F11="Tolerance",$G11&lt;&gt;""),($Q11-$G11)/(($L11-$M11)/2),IF(AND($F11="GD&amp;T",$H11&lt;&gt;""),$Q11/$H11,"")))</f>
        <v>0.140631249999999</v>
      </c>
      <c r="U11" s="81" t="str">
        <f>IF($T11="","",IF(ABS($T11)&lt;=0.125,"Level A",IF(AND(ABS($T11)&gt;0.125,ABS($T11)&lt;=0.25),"Level B",IF(AND(ABS($T11)&gt;0.25,ABS($T11)&lt;=0.5),"Level C",IF(ABS($T11)&gt;0.5,"Level D")))))</f>
        <v>Level B</v>
      </c>
      <c r="V11" s="80">
        <f t="shared" ref="V11:V24" si="4">IF(OR($AK11="",ISNUMBER($AK11)=FALSE),"",IF(H11="","",(L11-Q11)/(3*R11)))</f>
        <v>2.81976927664665</v>
      </c>
      <c r="W11" s="80">
        <f t="shared" ref="W11:W30" si="5">IF(OR($AK11="",ISNUMBER($AK11)=FALSE),"",IF(I11="","",(Q11-M11)/(3*R11)))</f>
        <v>3.74265058478454</v>
      </c>
      <c r="X11" s="80">
        <f t="shared" ref="X11" si="6">IF(OR($AK11="",ISNUMBER($AK11)=FALSE),"",IF(AND(G11=0,I11=0),((H11)-(Q11))/(3*R11),MIN(V11:W11)))</f>
        <v>2.81976927664665</v>
      </c>
      <c r="Y11" s="87">
        <f t="shared" ref="Y11:Y23" si="7">IF(OR($AK11="",ISNUMBER($AK11)=FALSE),"",IF(AND(G11=0,I11=0),NORMSDIST(3*X11),NORMSDIST(3*X11)+NORMSDIST(6*S11-3*X11)-1))</f>
        <v>1</v>
      </c>
      <c r="Z11" s="88" t="str">
        <f>IF($Q11="","",IF(F11="Tolerance",IF(($E11*3*R11+Q11)-G11&lt;H11,"",($E11*3*R11+Q11)-G11),IF(OR(F11="GD&amp;T",F11="MAX"),IF(($E11*3*R11+Q11)&lt;H11,"",($E11*3*R11+Q11)),"")))</f>
        <v/>
      </c>
      <c r="AA11" s="88" t="str">
        <f>IF(Q11="","",IF(F11="Tolerance",IF(-(($E11*3*R11)-Q11)-G11&gt;I11,"",-(($E11*3*R11)-Q11)-G11),IF(F11="MIN",IF(-(($E11*3*R11)-Q11)&gt;I11,"",-(($E11*3*R11)-Q11)),"")))</f>
        <v/>
      </c>
      <c r="AB11" s="88">
        <f>IF(OR(G11="",Q11=""),"",(L11+M11)/2-Q11)</f>
        <v>-0.014063125</v>
      </c>
      <c r="AC11" s="88" t="str">
        <f t="shared" ref="AC11:AC74" si="8">IF(OR($S11&gt;$AC$9,$R11=""),"",$AC$9*6*$R11)</f>
        <v/>
      </c>
      <c r="AD11" s="95"/>
      <c r="AE11" s="96" t="str">
        <f>IF(AD11="","",IF(AD11&gt;=0.966,"Normal","Not Normal"))</f>
        <v/>
      </c>
      <c r="AF11" s="97"/>
      <c r="AG11" s="104"/>
      <c r="AH11" s="104"/>
      <c r="AI11" s="105"/>
      <c r="AJ11" s="106"/>
      <c r="AK11" s="113">
        <v>0.96331</v>
      </c>
      <c r="AL11" s="113">
        <v>0.97704</v>
      </c>
      <c r="AM11" s="113">
        <v>0.96587</v>
      </c>
      <c r="AN11" s="113">
        <v>0.96853</v>
      </c>
      <c r="AO11" s="113">
        <v>0.97505</v>
      </c>
      <c r="AP11" s="113">
        <v>0.98397</v>
      </c>
      <c r="AQ11" s="113">
        <v>0.97989</v>
      </c>
      <c r="AR11" s="113">
        <v>0.97256</v>
      </c>
      <c r="AS11" s="113">
        <v>0.97754</v>
      </c>
      <c r="AT11" s="113">
        <v>0.97349</v>
      </c>
      <c r="AU11" s="113">
        <v>0.98244</v>
      </c>
      <c r="AV11" s="113">
        <v>0.96954</v>
      </c>
      <c r="AW11" s="113">
        <v>0.97123</v>
      </c>
      <c r="AX11" s="113">
        <v>0.9757</v>
      </c>
      <c r="AY11" s="113">
        <v>0.98734</v>
      </c>
      <c r="AZ11" s="113">
        <v>0.96638</v>
      </c>
      <c r="BA11" s="113">
        <v>0.97972</v>
      </c>
      <c r="BB11" s="113">
        <v>0.96365</v>
      </c>
      <c r="BC11" s="113">
        <v>0.98351</v>
      </c>
      <c r="BD11" s="113">
        <v>0.96379</v>
      </c>
      <c r="BE11" s="113">
        <v>0.97446</v>
      </c>
      <c r="BF11" s="113">
        <v>0.98409</v>
      </c>
      <c r="BG11" s="113">
        <v>0.94408</v>
      </c>
      <c r="BH11" s="113">
        <v>0.96686</v>
      </c>
      <c r="BI11" s="113">
        <v>0.98263</v>
      </c>
      <c r="BJ11" s="113">
        <v>0.99431</v>
      </c>
      <c r="BK11" s="113">
        <v>0.98525</v>
      </c>
      <c r="BL11" s="113">
        <v>0.98512</v>
      </c>
      <c r="BM11" s="113">
        <v>0.97307</v>
      </c>
      <c r="BN11" s="113">
        <v>0.95487</v>
      </c>
      <c r="BO11" s="113">
        <v>0.97231</v>
      </c>
      <c r="BP11" s="113">
        <v>0.97242</v>
      </c>
      <c r="BQ11" s="120"/>
      <c r="BR11" s="121"/>
      <c r="BS11" s="121"/>
      <c r="BT11" s="121"/>
      <c r="BU11" s="121"/>
      <c r="BV11" s="121"/>
      <c r="BW11" s="121"/>
      <c r="BX11" s="121"/>
      <c r="BY11" s="121"/>
      <c r="BZ11" s="121"/>
      <c r="CA11" s="121"/>
      <c r="CB11" s="121"/>
      <c r="CC11" s="121"/>
      <c r="CD11" s="121"/>
      <c r="CE11" s="121"/>
      <c r="CF11" s="121"/>
      <c r="CG11" s="121"/>
      <c r="CH11" s="121"/>
      <c r="CI11" s="121"/>
      <c r="CJ11" s="121"/>
      <c r="CK11" s="121"/>
      <c r="CL11" s="121"/>
      <c r="CM11" s="121"/>
      <c r="CN11" s="121"/>
      <c r="CO11" s="121"/>
      <c r="CP11" s="121"/>
      <c r="CQ11" s="121"/>
      <c r="CR11" s="121"/>
      <c r="CS11" s="121"/>
      <c r="CT11" s="121"/>
      <c r="CU11" s="121"/>
      <c r="CV11" s="121"/>
      <c r="CW11" s="121"/>
      <c r="CX11" s="121"/>
      <c r="CY11" s="121"/>
      <c r="CZ11" s="121"/>
      <c r="DA11" s="121"/>
      <c r="DB11" s="121"/>
      <c r="DC11" s="121"/>
      <c r="DD11" s="121"/>
      <c r="DE11" s="121"/>
      <c r="DF11" s="121"/>
      <c r="DG11" s="121"/>
      <c r="DH11" s="121"/>
      <c r="DI11" s="121"/>
      <c r="DJ11" s="121"/>
      <c r="DK11" s="121"/>
      <c r="DL11" s="121"/>
      <c r="DM11" s="121"/>
      <c r="DN11" s="121"/>
      <c r="DO11" s="121"/>
      <c r="DP11" s="121"/>
      <c r="DQ11" s="121"/>
      <c r="DR11" s="121"/>
      <c r="DS11" s="121"/>
      <c r="DT11" s="121"/>
      <c r="DU11" s="121"/>
      <c r="DV11" s="121"/>
      <c r="DW11" s="121"/>
      <c r="DX11" s="121"/>
      <c r="DY11" s="121"/>
      <c r="DZ11" s="121"/>
      <c r="EA11" s="121"/>
      <c r="EB11" s="121"/>
      <c r="EC11" s="121"/>
      <c r="ED11" s="121"/>
      <c r="EE11" s="121"/>
      <c r="EF11" s="121"/>
      <c r="PU11" s="124"/>
      <c r="VN11" s="124"/>
      <c r="WJ11" s="124"/>
      <c r="AMH11" s="124"/>
      <c r="ANN11" s="124"/>
      <c r="BAA11" s="124"/>
      <c r="BAS11" s="124"/>
      <c r="BEW11" s="124"/>
      <c r="BGS11" s="124"/>
      <c r="CMU11" s="124"/>
      <c r="CSV11" s="124"/>
      <c r="DMN11" s="124"/>
      <c r="DRX11" s="124"/>
      <c r="EEP11" s="124"/>
      <c r="EFT11" s="124"/>
    </row>
    <row r="12" ht="15" customHeight="1" spans="1:3508">
      <c r="A12" s="34">
        <v>2</v>
      </c>
      <c r="B12" s="35" t="s">
        <v>63</v>
      </c>
      <c r="C12" s="36" t="s">
        <v>64</v>
      </c>
      <c r="D12" s="36" t="s">
        <v>59</v>
      </c>
      <c r="E12" s="49">
        <v>1.33</v>
      </c>
      <c r="F12" s="50" t="s">
        <v>60</v>
      </c>
      <c r="G12" s="51">
        <v>0.93</v>
      </c>
      <c r="H12" s="52">
        <v>0.1</v>
      </c>
      <c r="I12" s="52">
        <v>-0.1</v>
      </c>
      <c r="J12" s="59" t="s">
        <v>61</v>
      </c>
      <c r="K12" s="60" t="s">
        <v>62</v>
      </c>
      <c r="L12" s="61">
        <f t="shared" ref="L12:L58" si="9">IF(AND(G12="",H12=""),"",IF(G12="",H12,G12+H12))</f>
        <v>1.03</v>
      </c>
      <c r="M12" s="70">
        <f t="shared" ref="M12:M58" si="10">IF(AND(G12="",I12=""),"",IF(G12="",I12,G12+I12))</f>
        <v>0.83</v>
      </c>
      <c r="N12" s="68"/>
      <c r="O12" s="69">
        <f t="shared" ref="O12:O34" si="11">IF(OR($AK12="",ISNUMBER($AK12)=FALSE),"",MAX(AK12:EF12))</f>
        <v>0.97024</v>
      </c>
      <c r="P12" s="69">
        <f t="shared" ref="P12:P32" si="12">IF(OR($AK12="",ISNUMBER($AK12)=FALSE),"",MIN(AK12:EF12))</f>
        <v>0.91882</v>
      </c>
      <c r="Q12" s="69">
        <f t="shared" ref="Q12:Q32" si="13">IF(OR($AK12="",ISNUMBER($AK12)=FALSE),"",AVERAGE(AK12:EF12))</f>
        <v>0.94854375</v>
      </c>
      <c r="R12" s="79">
        <f t="shared" ref="R12:R32" si="14">IF(OR($AK12="",ISNUMBER($AK12)=FALSE),"",STDEV(AK12:EF12))</f>
        <v>0.0103257716262476</v>
      </c>
      <c r="S12" s="80">
        <f t="shared" ref="S12:S24" si="15">IF(OR($AK12="",ISNUMBER($AK12)=FALSE),"",IF(AND(G12=0,I12=0),V12,IF(AND(G12="",H12=""),W12,(H12+ABS(I12))/(6*R12))))</f>
        <v>3.22816875482717</v>
      </c>
      <c r="T12" s="81">
        <f t="shared" ref="T12:T75" si="16">IF(OR($AK12="",ISNUMBER($AK12)=FALSE),"",IF(AND($F12="Tolerance",$G12&lt;&gt;""),($Q12-$G12)/(($L12-$M12)/2),IF(AND($F12="GD&amp;T",$H12&lt;&gt;""),$Q12/$H12,"")))</f>
        <v>0.185437500000001</v>
      </c>
      <c r="U12" s="81" t="str">
        <f t="shared" ref="U12:U75" si="17">IF($T12="","",IF(ABS($T12)&lt;=0.125,"Level A",IF(AND(ABS($T12)&gt;0.125,ABS($T12)&lt;=0.25),"Level B",IF(AND(ABS($T12)&gt;0.25,ABS($T12)&lt;=0.5),"Level C",IF(ABS($T12)&gt;0.5,"Level D")))))</f>
        <v>Level B</v>
      </c>
      <c r="V12" s="80">
        <f t="shared" si="4"/>
        <v>2.6295452113539</v>
      </c>
      <c r="W12" s="80">
        <f t="shared" ref="W12:W24" si="18">IF(OR($AK12="",ISNUMBER($AK12)=FALSE),"",IF(I12="","",(Q12-M12)/(3*R12)))</f>
        <v>3.82679229830043</v>
      </c>
      <c r="X12" s="80">
        <f t="shared" ref="X12:X24" si="19">IF(OR($AK12="",ISNUMBER($AK12)=FALSE),"",IF(AND(G12=0,I12=0),((H12)-(Q12))/(3*R12),MIN(V12:W12)))</f>
        <v>2.6295452113539</v>
      </c>
      <c r="Y12" s="87">
        <f t="shared" si="7"/>
        <v>0.999999999999998</v>
      </c>
      <c r="Z12" s="88" t="str">
        <f t="shared" ref="Z12:Z58" si="20">IF($Q12="","",IF(F12="Tolerance",IF(($E12*3*R12+Q12)-G12&lt;H12,"",($E12*3*R12+Q12)-G12),IF(OR(F12="GD&amp;T",F12="MAX"),IF(($E12*3*R12+Q12)&lt;H12,"",($E12*3*R12+Q12)),"")))</f>
        <v/>
      </c>
      <c r="AA12" s="88" t="str">
        <f t="shared" ref="AA12:AA58" si="21">IF(Q12="","",IF(F12="Tolerance",IF(-(($E12*3*R12)-Q12)-G12&gt;I12,"",-(($E12*3*R12)-Q12)-G12),IF(F12="MIN",IF(-(($E12*3*R12)-Q12)&gt;I12,"",-(($E12*3*R12)-Q12)),"")))</f>
        <v/>
      </c>
      <c r="AB12" s="88">
        <f t="shared" ref="AB12:AB58" si="22">IF(OR(G12="",Q12=""),"",(L12+M12)/2-Q12)</f>
        <v>-0.0185437500000001</v>
      </c>
      <c r="AC12" s="88" t="str">
        <f t="shared" si="8"/>
        <v/>
      </c>
      <c r="AD12" s="95"/>
      <c r="AE12" s="96" t="str">
        <f t="shared" ref="AE12:AE32" si="23">IF(AD12="","",IF(AD12&gt;=0.966,"Normal","Not Normal"))</f>
        <v/>
      </c>
      <c r="AF12" s="97"/>
      <c r="AG12" s="104"/>
      <c r="AH12" s="104"/>
      <c r="AI12" s="105"/>
      <c r="AJ12" s="106"/>
      <c r="AK12" s="113">
        <v>0.93732</v>
      </c>
      <c r="AL12" s="113">
        <v>0.95228</v>
      </c>
      <c r="AM12" s="113">
        <v>0.94167</v>
      </c>
      <c r="AN12" s="113">
        <v>0.94066</v>
      </c>
      <c r="AO12" s="113">
        <v>0.94894</v>
      </c>
      <c r="AP12" s="113">
        <v>0.9556</v>
      </c>
      <c r="AQ12" s="113">
        <v>0.95425</v>
      </c>
      <c r="AR12" s="113">
        <v>0.94733</v>
      </c>
      <c r="AS12" s="113">
        <v>0.95198</v>
      </c>
      <c r="AT12" s="113">
        <v>0.94841</v>
      </c>
      <c r="AU12" s="113">
        <v>0.95561</v>
      </c>
      <c r="AV12" s="113">
        <v>0.94316</v>
      </c>
      <c r="AW12" s="113">
        <v>0.94446</v>
      </c>
      <c r="AX12" s="113">
        <v>0.94871</v>
      </c>
      <c r="AY12" s="113">
        <v>0.96246</v>
      </c>
      <c r="AZ12" s="113">
        <v>0.941</v>
      </c>
      <c r="BA12" s="113">
        <v>0.95534</v>
      </c>
      <c r="BB12" s="113">
        <v>0.93841</v>
      </c>
      <c r="BC12" s="113">
        <v>0.95831</v>
      </c>
      <c r="BD12" s="113">
        <v>0.93865</v>
      </c>
      <c r="BE12" s="113">
        <v>0.94798</v>
      </c>
      <c r="BF12" s="113">
        <v>0.96332</v>
      </c>
      <c r="BG12" s="113">
        <v>0.91882</v>
      </c>
      <c r="BH12" s="113">
        <v>0.94394</v>
      </c>
      <c r="BI12" s="113">
        <v>0.95894</v>
      </c>
      <c r="BJ12" s="113">
        <v>0.97024</v>
      </c>
      <c r="BK12" s="113">
        <v>0.95925</v>
      </c>
      <c r="BL12" s="113">
        <v>0.95808</v>
      </c>
      <c r="BM12" s="113">
        <v>0.94372</v>
      </c>
      <c r="BN12" s="113">
        <v>0.93062</v>
      </c>
      <c r="BO12" s="113">
        <v>0.94427</v>
      </c>
      <c r="BP12" s="118">
        <v>0.94967</v>
      </c>
      <c r="BQ12" s="120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IM12" s="124"/>
      <c r="JU12" s="124"/>
      <c r="MO12" s="124"/>
      <c r="QI12" s="124"/>
      <c r="VN12" s="124"/>
      <c r="ANN12" s="124"/>
      <c r="ARK12" s="124"/>
      <c r="AVL12" s="124"/>
      <c r="BAI12" s="124"/>
      <c r="BLX12" s="124"/>
      <c r="BOW12" s="124"/>
      <c r="BRO12" s="124"/>
      <c r="BSW12" s="124"/>
      <c r="BSY12" s="124"/>
      <c r="BWM12" s="124"/>
      <c r="BWT12" s="124"/>
      <c r="BXN12" s="124"/>
      <c r="CCY12" s="124"/>
      <c r="CRF12" s="124"/>
      <c r="CRI12" s="124"/>
      <c r="CRL12" s="124"/>
      <c r="CYE12" s="124"/>
      <c r="DCG12" s="124"/>
      <c r="DCO12" s="124"/>
      <c r="DKP12" s="124"/>
      <c r="DLW12" s="124"/>
      <c r="DOX12" s="124"/>
      <c r="DVT12" s="124"/>
      <c r="DVX12" s="124"/>
      <c r="DWZ12" s="124"/>
      <c r="EBJ12" s="124"/>
      <c r="EDX12" s="124"/>
    </row>
    <row r="13" ht="15" customHeight="1" spans="1:3533">
      <c r="A13" s="34">
        <v>3</v>
      </c>
      <c r="B13" s="35" t="s">
        <v>65</v>
      </c>
      <c r="C13" s="36" t="s">
        <v>66</v>
      </c>
      <c r="D13" s="36" t="s">
        <v>59</v>
      </c>
      <c r="E13" s="49">
        <v>1.33</v>
      </c>
      <c r="F13" s="50" t="s">
        <v>60</v>
      </c>
      <c r="G13" s="51">
        <v>0.9</v>
      </c>
      <c r="H13" s="52">
        <v>0.1</v>
      </c>
      <c r="I13" s="52">
        <v>-0.1</v>
      </c>
      <c r="J13" s="59" t="s">
        <v>61</v>
      </c>
      <c r="K13" s="60" t="s">
        <v>62</v>
      </c>
      <c r="L13" s="61">
        <f t="shared" si="9"/>
        <v>1</v>
      </c>
      <c r="M13" s="70">
        <f t="shared" si="10"/>
        <v>0.8</v>
      </c>
      <c r="N13" s="68"/>
      <c r="O13" s="69">
        <f t="shared" si="11"/>
        <v>0.94763</v>
      </c>
      <c r="P13" s="69">
        <f t="shared" si="12"/>
        <v>0.90019</v>
      </c>
      <c r="Q13" s="69">
        <f t="shared" si="13"/>
        <v>0.9259646875</v>
      </c>
      <c r="R13" s="79">
        <f t="shared" si="14"/>
        <v>0.00981287731450445</v>
      </c>
      <c r="S13" s="80">
        <f t="shared" si="15"/>
        <v>3.3968969818937</v>
      </c>
      <c r="T13" s="81">
        <f t="shared" si="16"/>
        <v>0.259646874999998</v>
      </c>
      <c r="U13" s="81" t="str">
        <f t="shared" si="17"/>
        <v>Level C</v>
      </c>
      <c r="V13" s="80">
        <f t="shared" si="4"/>
        <v>2.51490329584808</v>
      </c>
      <c r="W13" s="80">
        <f t="shared" si="18"/>
        <v>4.27889066793933</v>
      </c>
      <c r="X13" s="80">
        <f t="shared" si="19"/>
        <v>2.51490329584808</v>
      </c>
      <c r="Y13" s="87">
        <f t="shared" si="7"/>
        <v>0.999999999999977</v>
      </c>
      <c r="Z13" s="88" t="str">
        <f t="shared" si="20"/>
        <v/>
      </c>
      <c r="AA13" s="88" t="str">
        <f t="shared" si="21"/>
        <v/>
      </c>
      <c r="AB13" s="88">
        <f t="shared" si="22"/>
        <v>-0.0259646874999998</v>
      </c>
      <c r="AC13" s="88" t="str">
        <f t="shared" si="8"/>
        <v/>
      </c>
      <c r="AD13" s="95"/>
      <c r="AE13" s="96" t="str">
        <f t="shared" si="23"/>
        <v/>
      </c>
      <c r="AF13" s="97"/>
      <c r="AG13" s="104"/>
      <c r="AH13" s="104"/>
      <c r="AI13" s="105"/>
      <c r="AJ13" s="106"/>
      <c r="AK13" s="113">
        <v>0.9155</v>
      </c>
      <c r="AL13" s="113">
        <v>0.93071</v>
      </c>
      <c r="AM13" s="113">
        <v>0.92124</v>
      </c>
      <c r="AN13" s="113">
        <v>0.91741</v>
      </c>
      <c r="AO13" s="113">
        <v>0.92536</v>
      </c>
      <c r="AP13" s="113">
        <v>0.93341</v>
      </c>
      <c r="AQ13" s="113">
        <v>0.93218</v>
      </c>
      <c r="AR13" s="113">
        <v>0.92424</v>
      </c>
      <c r="AS13" s="113">
        <v>0.93084</v>
      </c>
      <c r="AT13" s="113">
        <v>0.92498</v>
      </c>
      <c r="AU13" s="113">
        <v>0.93475</v>
      </c>
      <c r="AV13" s="113">
        <v>0.9254</v>
      </c>
      <c r="AW13" s="113">
        <v>0.91976</v>
      </c>
      <c r="AX13" s="113">
        <v>0.92445</v>
      </c>
      <c r="AY13" s="113">
        <v>0.94224</v>
      </c>
      <c r="AZ13" s="113">
        <v>0.91879</v>
      </c>
      <c r="BA13" s="113">
        <v>0.9323</v>
      </c>
      <c r="BB13" s="113">
        <v>0.91341</v>
      </c>
      <c r="BC13" s="113">
        <v>0.93461</v>
      </c>
      <c r="BD13" s="113">
        <v>0.91572</v>
      </c>
      <c r="BE13" s="113">
        <v>0.92561</v>
      </c>
      <c r="BF13" s="113">
        <v>0.9397</v>
      </c>
      <c r="BG13" s="113">
        <v>0.90019</v>
      </c>
      <c r="BH13" s="113">
        <v>0.92148</v>
      </c>
      <c r="BI13" s="113">
        <v>0.93304</v>
      </c>
      <c r="BJ13" s="113">
        <v>0.94763</v>
      </c>
      <c r="BK13" s="113">
        <v>0.93187</v>
      </c>
      <c r="BL13" s="113">
        <v>0.93167</v>
      </c>
      <c r="BM13" s="113">
        <v>0.92246</v>
      </c>
      <c r="BN13" s="113">
        <v>0.90772</v>
      </c>
      <c r="BO13" s="113">
        <v>0.9231</v>
      </c>
      <c r="BP13" s="118">
        <v>0.9291</v>
      </c>
      <c r="BQ13" s="120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1"/>
      <c r="CF13" s="121"/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1"/>
      <c r="CZ13" s="121"/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1"/>
      <c r="DR13" s="121"/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IN13" s="124"/>
      <c r="MO13" s="124"/>
      <c r="AIY13" s="124"/>
      <c r="BII13" s="124"/>
      <c r="BMY13" s="124"/>
      <c r="BSB13" s="124"/>
      <c r="BSW13" s="124"/>
      <c r="BUW13" s="124"/>
      <c r="BVC13" s="124"/>
      <c r="BXN13" s="124"/>
      <c r="BZB13" s="124"/>
      <c r="BZJ13" s="124"/>
      <c r="CCD13" s="124"/>
      <c r="CCY13" s="124"/>
      <c r="DKS13" s="124"/>
      <c r="DLW13" s="124"/>
      <c r="DRY13" s="124"/>
      <c r="EEW13" s="124"/>
    </row>
    <row r="14" ht="15" customHeight="1" spans="1:3527">
      <c r="A14" s="34">
        <v>4</v>
      </c>
      <c r="B14" s="35" t="s">
        <v>67</v>
      </c>
      <c r="C14" s="36" t="s">
        <v>68</v>
      </c>
      <c r="D14" s="36" t="s">
        <v>59</v>
      </c>
      <c r="E14" s="49">
        <v>1.33</v>
      </c>
      <c r="F14" s="50" t="s">
        <v>60</v>
      </c>
      <c r="G14" s="51">
        <v>0.88</v>
      </c>
      <c r="H14" s="52">
        <v>0.1</v>
      </c>
      <c r="I14" s="52">
        <v>-0.1</v>
      </c>
      <c r="J14" s="59" t="s">
        <v>61</v>
      </c>
      <c r="K14" s="60" t="s">
        <v>62</v>
      </c>
      <c r="L14" s="61">
        <f t="shared" si="9"/>
        <v>0.98</v>
      </c>
      <c r="M14" s="70">
        <f t="shared" si="10"/>
        <v>0.78</v>
      </c>
      <c r="N14" s="68"/>
      <c r="O14" s="69">
        <f t="shared" si="11"/>
        <v>0.91905</v>
      </c>
      <c r="P14" s="69">
        <f t="shared" si="12"/>
        <v>0.86577</v>
      </c>
      <c r="Q14" s="69">
        <f t="shared" si="13"/>
        <v>0.897395</v>
      </c>
      <c r="R14" s="79">
        <f t="shared" si="14"/>
        <v>0.010495886444606</v>
      </c>
      <c r="S14" s="80">
        <f t="shared" si="15"/>
        <v>3.17584736737161</v>
      </c>
      <c r="T14" s="81">
        <f t="shared" si="16"/>
        <v>0.173949999999999</v>
      </c>
      <c r="U14" s="81" t="str">
        <f t="shared" si="17"/>
        <v>Level B</v>
      </c>
      <c r="V14" s="80">
        <f t="shared" si="4"/>
        <v>2.62340871781732</v>
      </c>
      <c r="W14" s="80">
        <f t="shared" si="18"/>
        <v>3.72828601692589</v>
      </c>
      <c r="X14" s="80">
        <f t="shared" si="19"/>
        <v>2.62340871781732</v>
      </c>
      <c r="Y14" s="87">
        <f t="shared" si="7"/>
        <v>0.999999999999998</v>
      </c>
      <c r="Z14" s="88" t="str">
        <f t="shared" si="20"/>
        <v/>
      </c>
      <c r="AA14" s="88" t="str">
        <f t="shared" si="21"/>
        <v/>
      </c>
      <c r="AB14" s="88">
        <f t="shared" si="22"/>
        <v>-0.0173949999999999</v>
      </c>
      <c r="AC14" s="88" t="str">
        <f t="shared" si="8"/>
        <v/>
      </c>
      <c r="AD14" s="95"/>
      <c r="AE14" s="96" t="str">
        <f t="shared" si="23"/>
        <v/>
      </c>
      <c r="AF14" s="97"/>
      <c r="AG14" s="104"/>
      <c r="AH14" s="104"/>
      <c r="AI14" s="105"/>
      <c r="AJ14" s="106"/>
      <c r="AK14" s="113">
        <v>0.8905</v>
      </c>
      <c r="AL14" s="113">
        <v>0.89838</v>
      </c>
      <c r="AM14" s="113">
        <v>0.89522</v>
      </c>
      <c r="AN14" s="113">
        <v>0.88831</v>
      </c>
      <c r="AO14" s="113">
        <v>0.90124</v>
      </c>
      <c r="AP14" s="113">
        <v>0.904</v>
      </c>
      <c r="AQ14" s="113">
        <v>0.90484</v>
      </c>
      <c r="AR14" s="113">
        <v>0.89429</v>
      </c>
      <c r="AS14" s="113">
        <v>0.89907</v>
      </c>
      <c r="AT14" s="113">
        <v>0.89467</v>
      </c>
      <c r="AU14" s="113">
        <v>0.90386</v>
      </c>
      <c r="AV14" s="113">
        <v>0.89157</v>
      </c>
      <c r="AW14" s="113">
        <v>0.88887</v>
      </c>
      <c r="AX14" s="113">
        <v>0.89417</v>
      </c>
      <c r="AY14" s="113">
        <v>0.91485</v>
      </c>
      <c r="AZ14" s="113">
        <v>0.89601</v>
      </c>
      <c r="BA14" s="113">
        <v>0.89909</v>
      </c>
      <c r="BB14" s="113">
        <v>0.87843</v>
      </c>
      <c r="BC14" s="113">
        <v>0.91038</v>
      </c>
      <c r="BD14" s="113">
        <v>0.89261</v>
      </c>
      <c r="BE14" s="113">
        <v>0.89597</v>
      </c>
      <c r="BF14" s="113">
        <v>0.91087</v>
      </c>
      <c r="BG14" s="113">
        <v>0.86577</v>
      </c>
      <c r="BH14" s="113">
        <v>0.89628</v>
      </c>
      <c r="BI14" s="113">
        <v>0.91196</v>
      </c>
      <c r="BJ14" s="113">
        <v>0.91905</v>
      </c>
      <c r="BK14" s="113">
        <v>0.90377</v>
      </c>
      <c r="BL14" s="113">
        <v>0.8948</v>
      </c>
      <c r="BM14" s="113">
        <v>0.89313</v>
      </c>
      <c r="BN14" s="113">
        <v>0.8878</v>
      </c>
      <c r="BO14" s="113">
        <v>0.89136</v>
      </c>
      <c r="BP14" s="118">
        <v>0.90552</v>
      </c>
      <c r="BQ14" s="120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1"/>
      <c r="CF14" s="121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  <c r="CV14" s="121"/>
      <c r="CW14" s="121"/>
      <c r="CX14" s="121"/>
      <c r="CY14" s="121"/>
      <c r="CZ14" s="121"/>
      <c r="DA14" s="121"/>
      <c r="DB14" s="121"/>
      <c r="DC14" s="121"/>
      <c r="DD14" s="121"/>
      <c r="DE14" s="121"/>
      <c r="DF14" s="121"/>
      <c r="DG14" s="121"/>
      <c r="DH14" s="121"/>
      <c r="DI14" s="121"/>
      <c r="DJ14" s="121"/>
      <c r="DK14" s="121"/>
      <c r="DL14" s="121"/>
      <c r="DM14" s="121"/>
      <c r="DN14" s="121"/>
      <c r="DO14" s="121"/>
      <c r="DP14" s="121"/>
      <c r="DQ14" s="121"/>
      <c r="DR14" s="121"/>
      <c r="DS14" s="121"/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1"/>
      <c r="EO14" s="124"/>
      <c r="HS14" s="124"/>
      <c r="NW14" s="124"/>
      <c r="TL14" s="124"/>
      <c r="WK14" s="124"/>
      <c r="AED14" s="124"/>
      <c r="AER14" s="124"/>
      <c r="APA14" s="124"/>
      <c r="AQA14" s="124"/>
      <c r="ATJ14" s="124"/>
      <c r="AUO14" s="124"/>
      <c r="AYD14" s="124"/>
      <c r="BDJ14" s="124"/>
      <c r="BDT14" s="124"/>
      <c r="BJV14" s="124"/>
      <c r="BMJ14" s="124"/>
      <c r="BRU14" s="124"/>
      <c r="BVN14" s="124"/>
      <c r="BWC14" s="124"/>
      <c r="BYR14" s="124"/>
      <c r="BYW14" s="124"/>
      <c r="BZG14" s="124"/>
      <c r="CAW14" s="124"/>
      <c r="CFW14" s="124"/>
      <c r="CHT14" s="124"/>
      <c r="CIL14" s="124"/>
      <c r="CIM14" s="124"/>
      <c r="CNI14" s="124"/>
      <c r="CPJ14" s="124"/>
      <c r="CRG14" s="124"/>
      <c r="CSW14" s="124"/>
      <c r="CTZ14" s="124"/>
      <c r="CUU14" s="124"/>
      <c r="CWN14" s="124"/>
      <c r="DCK14" s="124"/>
      <c r="DGD14" s="124"/>
      <c r="DHO14" s="124"/>
      <c r="DKY14" s="124"/>
      <c r="DLH14" s="124"/>
      <c r="DPP14" s="124"/>
      <c r="DVP14" s="124"/>
      <c r="DVQ14" s="124"/>
      <c r="DYG14" s="124"/>
      <c r="EEQ14" s="124"/>
    </row>
    <row r="15" ht="15" customHeight="1" spans="1:3329">
      <c r="A15" s="34">
        <v>5</v>
      </c>
      <c r="B15" s="35" t="s">
        <v>69</v>
      </c>
      <c r="C15" s="36" t="s">
        <v>70</v>
      </c>
      <c r="D15" s="36" t="s">
        <v>59</v>
      </c>
      <c r="E15" s="49">
        <v>1.33</v>
      </c>
      <c r="F15" s="50" t="s">
        <v>60</v>
      </c>
      <c r="G15" s="51">
        <v>0.87</v>
      </c>
      <c r="H15" s="52">
        <v>0.1</v>
      </c>
      <c r="I15" s="52">
        <v>-0.1</v>
      </c>
      <c r="J15" s="59" t="s">
        <v>61</v>
      </c>
      <c r="K15" s="60" t="s">
        <v>62</v>
      </c>
      <c r="L15" s="61">
        <f t="shared" si="9"/>
        <v>0.97</v>
      </c>
      <c r="M15" s="70">
        <f t="shared" si="10"/>
        <v>0.77</v>
      </c>
      <c r="N15" s="68"/>
      <c r="O15" s="69">
        <f t="shared" si="11"/>
        <v>0.9071</v>
      </c>
      <c r="P15" s="69">
        <f t="shared" si="12"/>
        <v>0.85131</v>
      </c>
      <c r="Q15" s="69">
        <f t="shared" si="13"/>
        <v>0.885023125</v>
      </c>
      <c r="R15" s="79">
        <f t="shared" si="14"/>
        <v>0.0107414234166673</v>
      </c>
      <c r="S15" s="80">
        <f t="shared" si="15"/>
        <v>3.10325103483124</v>
      </c>
      <c r="T15" s="81">
        <f t="shared" si="16"/>
        <v>0.150231249999998</v>
      </c>
      <c r="U15" s="81" t="str">
        <f t="shared" si="17"/>
        <v>Level B</v>
      </c>
      <c r="V15" s="80">
        <f t="shared" si="4"/>
        <v>2.63704575280475</v>
      </c>
      <c r="W15" s="80">
        <f t="shared" si="18"/>
        <v>3.56945631685772</v>
      </c>
      <c r="X15" s="80">
        <f t="shared" si="19"/>
        <v>2.63704575280475</v>
      </c>
      <c r="Y15" s="87">
        <f t="shared" si="7"/>
        <v>0.999999999999999</v>
      </c>
      <c r="Z15" s="88" t="str">
        <f t="shared" si="20"/>
        <v/>
      </c>
      <c r="AA15" s="88" t="str">
        <f t="shared" si="21"/>
        <v/>
      </c>
      <c r="AB15" s="88">
        <f t="shared" si="22"/>
        <v>-0.0150231249999998</v>
      </c>
      <c r="AC15" s="88" t="str">
        <f t="shared" si="8"/>
        <v/>
      </c>
      <c r="AD15" s="95"/>
      <c r="AE15" s="96" t="str">
        <f t="shared" si="23"/>
        <v/>
      </c>
      <c r="AF15" s="97"/>
      <c r="AG15" s="104"/>
      <c r="AH15" s="104"/>
      <c r="AI15" s="105"/>
      <c r="AJ15" s="106"/>
      <c r="AK15" s="113">
        <v>0.87619</v>
      </c>
      <c r="AL15" s="113">
        <v>0.89008</v>
      </c>
      <c r="AM15" s="113">
        <v>0.87919</v>
      </c>
      <c r="AN15" s="113">
        <v>0.87813</v>
      </c>
      <c r="AO15" s="113">
        <v>0.88984</v>
      </c>
      <c r="AP15" s="113">
        <v>0.89144</v>
      </c>
      <c r="AQ15" s="113">
        <v>0.89221</v>
      </c>
      <c r="AR15" s="113">
        <v>0.88891</v>
      </c>
      <c r="AS15" s="113">
        <v>0.8854</v>
      </c>
      <c r="AT15" s="113">
        <v>0.88405</v>
      </c>
      <c r="AU15" s="113">
        <v>0.89399</v>
      </c>
      <c r="AV15" s="113">
        <v>0.87397</v>
      </c>
      <c r="AW15" s="113">
        <v>0.87415</v>
      </c>
      <c r="AX15" s="113">
        <v>0.88149</v>
      </c>
      <c r="AY15" s="113">
        <v>0.90032</v>
      </c>
      <c r="AZ15" s="113">
        <v>0.88215</v>
      </c>
      <c r="BA15" s="113">
        <v>0.88328</v>
      </c>
      <c r="BB15" s="113">
        <v>0.87062</v>
      </c>
      <c r="BC15" s="113">
        <v>0.8993</v>
      </c>
      <c r="BD15" s="113">
        <v>0.88009</v>
      </c>
      <c r="BE15" s="113">
        <v>0.88403</v>
      </c>
      <c r="BF15" s="113">
        <v>0.89602</v>
      </c>
      <c r="BG15" s="113">
        <v>0.85131</v>
      </c>
      <c r="BH15" s="113">
        <v>0.88578</v>
      </c>
      <c r="BI15" s="113">
        <v>0.89848</v>
      </c>
      <c r="BJ15" s="113">
        <v>0.9071</v>
      </c>
      <c r="BK15" s="113">
        <v>0.89267</v>
      </c>
      <c r="BL15" s="113">
        <v>0.8771</v>
      </c>
      <c r="BM15" s="113">
        <v>0.88229</v>
      </c>
      <c r="BN15" s="113">
        <v>0.87701</v>
      </c>
      <c r="BO15" s="113">
        <v>0.87945</v>
      </c>
      <c r="BP15" s="118">
        <v>0.8947</v>
      </c>
      <c r="BQ15" s="120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1"/>
      <c r="CZ15" s="121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1"/>
      <c r="DR15" s="121"/>
      <c r="DS15" s="121"/>
      <c r="DT15" s="121"/>
      <c r="DU15" s="121"/>
      <c r="DV15" s="123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GJ15" s="124"/>
      <c r="GP15" s="124"/>
      <c r="HS15" s="124"/>
      <c r="HZ15" s="124"/>
      <c r="IK15" s="124"/>
      <c r="IW15" s="124"/>
      <c r="XH15" s="124"/>
      <c r="AAM15" s="124"/>
      <c r="ABN15" s="124"/>
      <c r="AED15" s="124"/>
      <c r="ANV15" s="124"/>
      <c r="BMJ15" s="124"/>
      <c r="BNJ15" s="124"/>
      <c r="BPX15" s="124"/>
      <c r="BRW15" s="124"/>
      <c r="BRZ15" s="124"/>
      <c r="BSG15" s="124"/>
      <c r="BWC15" s="124"/>
      <c r="BYW15" s="124"/>
      <c r="CBD15" s="124"/>
      <c r="CIM15" s="124"/>
      <c r="CNM15" s="124"/>
      <c r="CRC15" s="124"/>
      <c r="CRG15" s="124"/>
      <c r="CST15" s="124"/>
      <c r="CTD15" s="124"/>
      <c r="CTO15" s="124"/>
      <c r="DAQ15" s="124"/>
      <c r="DCK15" s="124"/>
      <c r="DGD15" s="124"/>
      <c r="DJH15" s="124"/>
      <c r="DJU15" s="124"/>
      <c r="DJV15" s="124"/>
      <c r="DKS15" s="124"/>
      <c r="DLJ15" s="124"/>
      <c r="DVQ15" s="124"/>
      <c r="DXA15" s="124"/>
    </row>
    <row r="16" ht="15" customHeight="1" spans="1:3300">
      <c r="A16" s="34">
        <v>6</v>
      </c>
      <c r="B16" s="35" t="s">
        <v>71</v>
      </c>
      <c r="C16" s="36" t="s">
        <v>72</v>
      </c>
      <c r="D16" s="36" t="s">
        <v>59</v>
      </c>
      <c r="E16" s="49">
        <v>1.33</v>
      </c>
      <c r="F16" s="50" t="s">
        <v>60</v>
      </c>
      <c r="G16" s="51">
        <v>0.86</v>
      </c>
      <c r="H16" s="52">
        <v>0.1</v>
      </c>
      <c r="I16" s="52">
        <v>-0.1</v>
      </c>
      <c r="J16" s="59" t="s">
        <v>61</v>
      </c>
      <c r="K16" s="60" t="s">
        <v>62</v>
      </c>
      <c r="L16" s="61">
        <f t="shared" si="9"/>
        <v>0.96</v>
      </c>
      <c r="M16" s="70">
        <f t="shared" si="10"/>
        <v>0.76</v>
      </c>
      <c r="N16" s="68"/>
      <c r="O16" s="69">
        <f t="shared" si="11"/>
        <v>0.89544</v>
      </c>
      <c r="P16" s="69">
        <f t="shared" si="12"/>
        <v>0.8351</v>
      </c>
      <c r="Q16" s="69">
        <f t="shared" si="13"/>
        <v>0.8720140625</v>
      </c>
      <c r="R16" s="79">
        <f t="shared" si="14"/>
        <v>0.0113960872910116</v>
      </c>
      <c r="S16" s="80">
        <f t="shared" si="15"/>
        <v>2.92498052025491</v>
      </c>
      <c r="T16" s="81">
        <f t="shared" si="16"/>
        <v>0.120140625</v>
      </c>
      <c r="U16" s="81" t="str">
        <f t="shared" si="17"/>
        <v>Level A</v>
      </c>
      <c r="V16" s="80">
        <f t="shared" si="4"/>
        <v>2.57357153243866</v>
      </c>
      <c r="W16" s="80">
        <f t="shared" si="18"/>
        <v>3.27638950807116</v>
      </c>
      <c r="X16" s="80">
        <f t="shared" si="19"/>
        <v>2.57357153243866</v>
      </c>
      <c r="Y16" s="87">
        <f t="shared" si="7"/>
        <v>0.999999999999994</v>
      </c>
      <c r="Z16" s="88" t="str">
        <f t="shared" si="20"/>
        <v/>
      </c>
      <c r="AA16" s="88" t="str">
        <f t="shared" si="21"/>
        <v/>
      </c>
      <c r="AB16" s="88">
        <f t="shared" si="22"/>
        <v>-0.0120140625</v>
      </c>
      <c r="AC16" s="88" t="str">
        <f t="shared" si="8"/>
        <v/>
      </c>
      <c r="AD16" s="95"/>
      <c r="AE16" s="96" t="str">
        <f t="shared" si="23"/>
        <v/>
      </c>
      <c r="AF16" s="97"/>
      <c r="AG16" s="104"/>
      <c r="AH16" s="104"/>
      <c r="AI16" s="105"/>
      <c r="AJ16" s="106"/>
      <c r="AK16" s="113">
        <v>0.86355</v>
      </c>
      <c r="AL16" s="113">
        <v>0.87521</v>
      </c>
      <c r="AM16" s="113">
        <v>0.86371</v>
      </c>
      <c r="AN16" s="113">
        <v>0.86361</v>
      </c>
      <c r="AO16" s="113">
        <v>0.8768</v>
      </c>
      <c r="AP16" s="113">
        <v>0.8798</v>
      </c>
      <c r="AQ16" s="113">
        <v>0.87888</v>
      </c>
      <c r="AR16" s="113">
        <v>0.87759</v>
      </c>
      <c r="AS16" s="113">
        <v>0.87279</v>
      </c>
      <c r="AT16" s="113">
        <v>0.87251</v>
      </c>
      <c r="AU16" s="113">
        <v>0.87837</v>
      </c>
      <c r="AV16" s="113">
        <v>0.85764</v>
      </c>
      <c r="AW16" s="113">
        <v>0.86234</v>
      </c>
      <c r="AX16" s="113">
        <v>0.86996</v>
      </c>
      <c r="AY16" s="113">
        <v>0.88502</v>
      </c>
      <c r="AZ16" s="113">
        <v>0.87028</v>
      </c>
      <c r="BA16" s="113">
        <v>0.87031</v>
      </c>
      <c r="BB16" s="113">
        <v>0.86019</v>
      </c>
      <c r="BC16" s="113">
        <v>0.8876</v>
      </c>
      <c r="BD16" s="113">
        <v>0.86714</v>
      </c>
      <c r="BE16" s="113">
        <v>0.86943</v>
      </c>
      <c r="BF16" s="113">
        <v>0.88361</v>
      </c>
      <c r="BG16" s="113">
        <v>0.8351</v>
      </c>
      <c r="BH16" s="113">
        <v>0.87309</v>
      </c>
      <c r="BI16" s="113">
        <v>0.88724</v>
      </c>
      <c r="BJ16" s="113">
        <v>0.89544</v>
      </c>
      <c r="BK16" s="113">
        <v>0.87989</v>
      </c>
      <c r="BL16" s="113">
        <v>0.86109</v>
      </c>
      <c r="BM16" s="113">
        <v>0.86884</v>
      </c>
      <c r="BN16" s="113">
        <v>0.86751</v>
      </c>
      <c r="BO16" s="113">
        <v>0.86493</v>
      </c>
      <c r="BP16" s="118">
        <v>0.88498</v>
      </c>
      <c r="BQ16" s="120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  <c r="CY16" s="121"/>
      <c r="CZ16" s="121"/>
      <c r="DA16" s="121"/>
      <c r="DB16" s="121"/>
      <c r="DC16" s="121"/>
      <c r="DD16" s="121"/>
      <c r="DE16" s="121"/>
      <c r="DF16" s="121"/>
      <c r="DG16" s="121"/>
      <c r="DH16" s="121"/>
      <c r="DI16" s="121"/>
      <c r="DJ16" s="121"/>
      <c r="DK16" s="121"/>
      <c r="DL16" s="121"/>
      <c r="DM16" s="121"/>
      <c r="DN16" s="121"/>
      <c r="DO16" s="121"/>
      <c r="DP16" s="121"/>
      <c r="DQ16" s="121"/>
      <c r="DR16" s="121"/>
      <c r="DS16" s="121"/>
      <c r="DT16" s="121"/>
      <c r="DU16" s="121"/>
      <c r="DV16" s="121"/>
      <c r="DW16" s="121"/>
      <c r="DX16" s="121"/>
      <c r="DY16" s="121"/>
      <c r="DZ16" s="121"/>
      <c r="EA16" s="121"/>
      <c r="EB16" s="121"/>
      <c r="EC16" s="121"/>
      <c r="ED16" s="121"/>
      <c r="EE16" s="121"/>
      <c r="EF16" s="121"/>
      <c r="GI16" s="124"/>
      <c r="IM16" s="124"/>
      <c r="JU16" s="124"/>
      <c r="MO16" s="124"/>
      <c r="QI16" s="124"/>
      <c r="SL16" s="124"/>
      <c r="VN16" s="124"/>
      <c r="ANN16" s="124"/>
      <c r="ARK16" s="124"/>
      <c r="BAI16" s="124"/>
      <c r="BOW16" s="124"/>
      <c r="BRO16" s="124"/>
      <c r="BSY16" s="124"/>
      <c r="BVN16" s="124"/>
      <c r="BXN16" s="124"/>
      <c r="CFS16" s="124"/>
      <c r="CKF16" s="124"/>
      <c r="CMU16" s="124"/>
      <c r="CRL16" s="124"/>
      <c r="DCO16" s="124"/>
      <c r="DVX16" s="124"/>
    </row>
    <row r="17" ht="15" customHeight="1" spans="1:3347">
      <c r="A17" s="34">
        <v>7</v>
      </c>
      <c r="B17" s="35" t="s">
        <v>73</v>
      </c>
      <c r="C17" s="36" t="s">
        <v>74</v>
      </c>
      <c r="D17" s="36" t="s">
        <v>59</v>
      </c>
      <c r="E17" s="49">
        <v>1.33</v>
      </c>
      <c r="F17" s="50" t="s">
        <v>60</v>
      </c>
      <c r="G17" s="51">
        <v>0.87</v>
      </c>
      <c r="H17" s="52">
        <v>0.1</v>
      </c>
      <c r="I17" s="52">
        <v>-0.1</v>
      </c>
      <c r="J17" s="59" t="s">
        <v>61</v>
      </c>
      <c r="K17" s="60" t="s">
        <v>62</v>
      </c>
      <c r="L17" s="61">
        <f t="shared" si="9"/>
        <v>0.97</v>
      </c>
      <c r="M17" s="70">
        <f t="shared" si="10"/>
        <v>0.77</v>
      </c>
      <c r="N17" s="68"/>
      <c r="O17" s="69">
        <f t="shared" si="11"/>
        <v>0.90419</v>
      </c>
      <c r="P17" s="69">
        <f t="shared" si="12"/>
        <v>0.86418</v>
      </c>
      <c r="Q17" s="69">
        <f t="shared" si="13"/>
        <v>0.883735625</v>
      </c>
      <c r="R17" s="79">
        <f t="shared" si="14"/>
        <v>0.010082074139363</v>
      </c>
      <c r="S17" s="80">
        <f t="shared" si="15"/>
        <v>3.30619799780993</v>
      </c>
      <c r="T17" s="81">
        <f t="shared" si="16"/>
        <v>0.13735625</v>
      </c>
      <c r="U17" s="81" t="str">
        <f t="shared" si="17"/>
        <v>Level B</v>
      </c>
      <c r="V17" s="80">
        <f t="shared" si="4"/>
        <v>2.85207103907325</v>
      </c>
      <c r="W17" s="80">
        <f t="shared" si="18"/>
        <v>3.76032495654661</v>
      </c>
      <c r="X17" s="80">
        <f t="shared" si="19"/>
        <v>2.85207103907325</v>
      </c>
      <c r="Y17" s="87">
        <f t="shared" si="7"/>
        <v>1</v>
      </c>
      <c r="Z17" s="88" t="str">
        <f t="shared" si="20"/>
        <v/>
      </c>
      <c r="AA17" s="88" t="str">
        <f t="shared" si="21"/>
        <v/>
      </c>
      <c r="AB17" s="88">
        <f t="shared" si="22"/>
        <v>-0.013735625</v>
      </c>
      <c r="AC17" s="88" t="str">
        <f t="shared" si="8"/>
        <v/>
      </c>
      <c r="AD17" s="95"/>
      <c r="AE17" s="96" t="str">
        <f t="shared" si="23"/>
        <v/>
      </c>
      <c r="AF17" s="97"/>
      <c r="AG17" s="104"/>
      <c r="AH17" s="104"/>
      <c r="AI17" s="105"/>
      <c r="AJ17" s="106"/>
      <c r="AK17" s="113">
        <v>0.88042</v>
      </c>
      <c r="AL17" s="113">
        <v>0.88319</v>
      </c>
      <c r="AM17" s="113">
        <v>0.88184</v>
      </c>
      <c r="AN17" s="113">
        <v>0.87697</v>
      </c>
      <c r="AO17" s="113">
        <v>0.88585</v>
      </c>
      <c r="AP17" s="113">
        <v>0.88934</v>
      </c>
      <c r="AQ17" s="113">
        <v>0.88531</v>
      </c>
      <c r="AR17" s="113">
        <v>0.89068</v>
      </c>
      <c r="AS17" s="113">
        <v>0.88345</v>
      </c>
      <c r="AT17" s="113">
        <v>0.87531</v>
      </c>
      <c r="AU17" s="113">
        <v>0.88645</v>
      </c>
      <c r="AV17" s="113">
        <v>0.87651</v>
      </c>
      <c r="AW17" s="113">
        <v>0.86939</v>
      </c>
      <c r="AX17" s="113">
        <v>0.87655</v>
      </c>
      <c r="AY17" s="113">
        <v>0.90419</v>
      </c>
      <c r="AZ17" s="113">
        <v>0.88806</v>
      </c>
      <c r="BA17" s="113">
        <v>0.88661</v>
      </c>
      <c r="BB17" s="113">
        <v>0.86418</v>
      </c>
      <c r="BC17" s="113">
        <v>0.8931</v>
      </c>
      <c r="BD17" s="113">
        <v>0.88371</v>
      </c>
      <c r="BE17" s="113">
        <v>0.88286</v>
      </c>
      <c r="BF17" s="113">
        <v>0.8982</v>
      </c>
      <c r="BG17" s="113">
        <v>0.86434</v>
      </c>
      <c r="BH17" s="113">
        <v>0.88445</v>
      </c>
      <c r="BI17" s="113">
        <v>0.90043</v>
      </c>
      <c r="BJ17" s="113">
        <v>0.90321</v>
      </c>
      <c r="BK17" s="113">
        <v>0.88523</v>
      </c>
      <c r="BL17" s="113">
        <v>0.8694</v>
      </c>
      <c r="BM17" s="113">
        <v>0.87694</v>
      </c>
      <c r="BN17" s="113">
        <v>0.8824</v>
      </c>
      <c r="BO17" s="113">
        <v>0.87564</v>
      </c>
      <c r="BP17" s="118">
        <v>0.89533</v>
      </c>
      <c r="BQ17" s="120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CX17" s="121"/>
      <c r="CY17" s="121"/>
      <c r="CZ17" s="121"/>
      <c r="DA17" s="121"/>
      <c r="DB17" s="121"/>
      <c r="DC17" s="121"/>
      <c r="DD17" s="121"/>
      <c r="DE17" s="121"/>
      <c r="DF17" s="121"/>
      <c r="DG17" s="121"/>
      <c r="DH17" s="121"/>
      <c r="DI17" s="121"/>
      <c r="DJ17" s="121"/>
      <c r="DK17" s="121"/>
      <c r="DL17" s="121"/>
      <c r="DM17" s="121"/>
      <c r="DN17" s="121"/>
      <c r="DO17" s="121"/>
      <c r="DP17" s="121"/>
      <c r="DQ17" s="121"/>
      <c r="DR17" s="121"/>
      <c r="DS17" s="121"/>
      <c r="DT17" s="121"/>
      <c r="DU17" s="121"/>
      <c r="DV17" s="121"/>
      <c r="DW17" s="121"/>
      <c r="DX17" s="121"/>
      <c r="DY17" s="121"/>
      <c r="DZ17" s="121"/>
      <c r="EA17" s="121"/>
      <c r="EB17" s="121"/>
      <c r="EC17" s="121"/>
      <c r="ED17" s="121"/>
      <c r="EE17" s="121"/>
      <c r="EF17" s="121"/>
      <c r="EL17" s="124"/>
      <c r="FT17" s="124"/>
      <c r="IV17" s="124"/>
      <c r="KJ17" s="124"/>
      <c r="QD17" s="124"/>
      <c r="QQ17" s="124"/>
      <c r="TG17" s="124"/>
      <c r="ZX17" s="124"/>
      <c r="AAX17" s="124"/>
      <c r="ADH17" s="124"/>
      <c r="AER17" s="124"/>
      <c r="AFF17" s="124"/>
      <c r="AGM17" s="124"/>
      <c r="AKP17" s="124"/>
      <c r="AMF17" s="124"/>
      <c r="AOC17" s="124"/>
      <c r="APC17" s="124"/>
      <c r="AQR17" s="124"/>
      <c r="ARP17" s="124"/>
      <c r="ART17" s="124"/>
      <c r="ASJ17" s="124"/>
      <c r="ASQ17" s="124"/>
      <c r="ASR17" s="124"/>
      <c r="ATT17" s="124"/>
      <c r="AWE17" s="124"/>
      <c r="BCD17" s="124"/>
      <c r="BEF17" s="124"/>
      <c r="BFF17" s="124"/>
      <c r="BGX17" s="124"/>
      <c r="BHS17" s="124"/>
      <c r="BTZ17" s="124"/>
      <c r="BVY17" s="124"/>
      <c r="CHO17" s="124"/>
      <c r="CIL17" s="124"/>
      <c r="CNY17" s="124"/>
      <c r="CZJ17" s="124"/>
      <c r="DOX17" s="124"/>
      <c r="DVF17" s="124"/>
      <c r="DVQ17" s="124"/>
      <c r="DWP17" s="124"/>
      <c r="DXS17" s="124"/>
    </row>
    <row r="18" ht="15" customHeight="1" spans="1:3564">
      <c r="A18" s="34">
        <v>8</v>
      </c>
      <c r="B18" s="35" t="s">
        <v>75</v>
      </c>
      <c r="C18" s="36" t="s">
        <v>76</v>
      </c>
      <c r="D18" s="36" t="s">
        <v>59</v>
      </c>
      <c r="E18" s="49">
        <v>1.33</v>
      </c>
      <c r="F18" s="50" t="s">
        <v>60</v>
      </c>
      <c r="G18" s="51">
        <v>0.86</v>
      </c>
      <c r="H18" s="52">
        <v>0.1</v>
      </c>
      <c r="I18" s="52">
        <v>-0.1</v>
      </c>
      <c r="J18" s="59" t="s">
        <v>61</v>
      </c>
      <c r="K18" s="60" t="s">
        <v>62</v>
      </c>
      <c r="L18" s="61">
        <f t="shared" si="9"/>
        <v>0.96</v>
      </c>
      <c r="M18" s="70">
        <f t="shared" si="10"/>
        <v>0.76</v>
      </c>
      <c r="N18" s="68"/>
      <c r="O18" s="69">
        <f t="shared" si="11"/>
        <v>0.89776</v>
      </c>
      <c r="P18" s="69">
        <f t="shared" si="12"/>
        <v>0.85431</v>
      </c>
      <c r="Q18" s="69">
        <f t="shared" si="13"/>
        <v>0.878835625</v>
      </c>
      <c r="R18" s="79">
        <f t="shared" si="14"/>
        <v>0.0105318000598188</v>
      </c>
      <c r="S18" s="80">
        <f t="shared" si="15"/>
        <v>3.16501767447214</v>
      </c>
      <c r="T18" s="81">
        <f t="shared" si="16"/>
        <v>0.188356250000001</v>
      </c>
      <c r="U18" s="81" t="str">
        <f t="shared" si="17"/>
        <v>Level B</v>
      </c>
      <c r="V18" s="80">
        <f t="shared" si="4"/>
        <v>2.56886681412484</v>
      </c>
      <c r="W18" s="80">
        <f t="shared" si="18"/>
        <v>3.76116853481943</v>
      </c>
      <c r="X18" s="80">
        <f t="shared" si="19"/>
        <v>2.56886681412484</v>
      </c>
      <c r="Y18" s="87">
        <f t="shared" si="7"/>
        <v>0.999999999999994</v>
      </c>
      <c r="Z18" s="88" t="str">
        <f t="shared" si="20"/>
        <v/>
      </c>
      <c r="AA18" s="88" t="str">
        <f t="shared" si="21"/>
        <v/>
      </c>
      <c r="AB18" s="88">
        <f t="shared" si="22"/>
        <v>-0.0188356250000001</v>
      </c>
      <c r="AC18" s="88" t="str">
        <f t="shared" si="8"/>
        <v/>
      </c>
      <c r="AD18" s="95"/>
      <c r="AE18" s="96" t="str">
        <f t="shared" si="23"/>
        <v/>
      </c>
      <c r="AF18" s="97"/>
      <c r="AG18" s="104"/>
      <c r="AH18" s="104"/>
      <c r="AI18" s="105"/>
      <c r="AJ18" s="106"/>
      <c r="AK18" s="113">
        <v>0.87488</v>
      </c>
      <c r="AL18" s="113">
        <v>0.88095</v>
      </c>
      <c r="AM18" s="113">
        <v>0.87261</v>
      </c>
      <c r="AN18" s="113">
        <v>0.87413</v>
      </c>
      <c r="AO18" s="113">
        <v>0.88198</v>
      </c>
      <c r="AP18" s="113">
        <v>0.88638</v>
      </c>
      <c r="AQ18" s="113">
        <v>0.88209</v>
      </c>
      <c r="AR18" s="113">
        <v>0.87971</v>
      </c>
      <c r="AS18" s="113">
        <v>0.879</v>
      </c>
      <c r="AT18" s="113">
        <v>0.87495</v>
      </c>
      <c r="AU18" s="113">
        <v>0.88245</v>
      </c>
      <c r="AV18" s="113">
        <v>0.86573</v>
      </c>
      <c r="AW18" s="113">
        <v>0.86331</v>
      </c>
      <c r="AX18" s="113">
        <v>0.87167</v>
      </c>
      <c r="AY18" s="113">
        <v>0.89652</v>
      </c>
      <c r="AZ18" s="113">
        <v>0.88232</v>
      </c>
      <c r="BA18" s="113">
        <v>0.87763</v>
      </c>
      <c r="BB18" s="113">
        <v>0.86066</v>
      </c>
      <c r="BC18" s="113">
        <v>0.88919</v>
      </c>
      <c r="BD18" s="113">
        <v>0.8795</v>
      </c>
      <c r="BE18" s="113">
        <v>0.88017</v>
      </c>
      <c r="BF18" s="113">
        <v>0.89328</v>
      </c>
      <c r="BG18" s="113">
        <v>0.85431</v>
      </c>
      <c r="BH18" s="113">
        <v>0.88256</v>
      </c>
      <c r="BI18" s="113">
        <v>0.89776</v>
      </c>
      <c r="BJ18" s="113">
        <v>0.89766</v>
      </c>
      <c r="BK18" s="113">
        <v>0.88067</v>
      </c>
      <c r="BL18" s="113">
        <v>0.86278</v>
      </c>
      <c r="BM18" s="113">
        <v>0.87415</v>
      </c>
      <c r="BN18" s="113">
        <v>0.87834</v>
      </c>
      <c r="BO18" s="113">
        <v>0.87345</v>
      </c>
      <c r="BP18" s="118">
        <v>0.89195</v>
      </c>
      <c r="BQ18" s="120"/>
      <c r="BR18" s="121"/>
      <c r="BS18" s="121"/>
      <c r="BT18" s="121"/>
      <c r="BU18" s="121"/>
      <c r="BV18" s="121"/>
      <c r="BW18" s="121"/>
      <c r="BX18" s="121"/>
      <c r="BY18" s="121"/>
      <c r="BZ18" s="121"/>
      <c r="CA18" s="121"/>
      <c r="CB18" s="121"/>
      <c r="CC18" s="121"/>
      <c r="CD18" s="121"/>
      <c r="CE18" s="121"/>
      <c r="CF18" s="121"/>
      <c r="CG18" s="121"/>
      <c r="CH18" s="121"/>
      <c r="CI18" s="121"/>
      <c r="CJ18" s="121"/>
      <c r="CK18" s="121"/>
      <c r="CL18" s="121"/>
      <c r="CM18" s="121"/>
      <c r="CN18" s="121"/>
      <c r="CO18" s="121"/>
      <c r="CP18" s="121"/>
      <c r="CQ18" s="121"/>
      <c r="CR18" s="121"/>
      <c r="CS18" s="121"/>
      <c r="CT18" s="121"/>
      <c r="CU18" s="121"/>
      <c r="CV18" s="121"/>
      <c r="CW18" s="121"/>
      <c r="CX18" s="121"/>
      <c r="CY18" s="121"/>
      <c r="CZ18" s="121"/>
      <c r="DA18" s="121"/>
      <c r="DB18" s="121"/>
      <c r="DC18" s="121"/>
      <c r="DD18" s="121"/>
      <c r="DE18" s="121"/>
      <c r="DF18" s="121"/>
      <c r="DG18" s="121"/>
      <c r="DH18" s="121"/>
      <c r="DI18" s="121"/>
      <c r="DJ18" s="121"/>
      <c r="DK18" s="121"/>
      <c r="DL18" s="121"/>
      <c r="DM18" s="121"/>
      <c r="DN18" s="121"/>
      <c r="DO18" s="121"/>
      <c r="DP18" s="121"/>
      <c r="DQ18" s="121"/>
      <c r="DR18" s="121"/>
      <c r="DS18" s="121"/>
      <c r="DT18" s="121"/>
      <c r="DU18" s="121"/>
      <c r="DV18" s="121"/>
      <c r="DW18" s="121"/>
      <c r="DX18" s="121"/>
      <c r="DY18" s="123"/>
      <c r="DZ18" s="121"/>
      <c r="EA18" s="121"/>
      <c r="EB18" s="121"/>
      <c r="EC18" s="121"/>
      <c r="ED18" s="121"/>
      <c r="EE18" s="123"/>
      <c r="EF18" s="121"/>
      <c r="EP18" s="124"/>
      <c r="EZ18" s="124"/>
      <c r="LS18" s="124"/>
      <c r="MK18" s="124"/>
      <c r="AKQ18" s="124"/>
      <c r="ART18" s="124"/>
      <c r="ASI18" s="124"/>
      <c r="ASP18" s="124"/>
      <c r="AUD18" s="124"/>
      <c r="AVR18" s="124"/>
      <c r="AWY18" s="124"/>
      <c r="AZM18" s="124"/>
      <c r="BBD18" s="124"/>
      <c r="BFO18" s="124"/>
      <c r="CEX18" s="124"/>
      <c r="CFC18" s="124"/>
      <c r="CKE18" s="124"/>
      <c r="CMY18" s="124"/>
      <c r="COC18" s="124"/>
      <c r="DDV18" s="124"/>
      <c r="DEV18" s="124"/>
      <c r="DIE18" s="124"/>
      <c r="DTE18" s="124"/>
      <c r="DTT18" s="124"/>
      <c r="DYU18" s="124"/>
      <c r="EGB18" s="124"/>
    </row>
    <row r="19" ht="15" customHeight="1" spans="1:3548">
      <c r="A19" s="34">
        <v>9</v>
      </c>
      <c r="B19" s="35" t="s">
        <v>77</v>
      </c>
      <c r="C19" s="36" t="s">
        <v>78</v>
      </c>
      <c r="D19" s="36" t="s">
        <v>59</v>
      </c>
      <c r="E19" s="49">
        <v>1.33</v>
      </c>
      <c r="F19" s="50" t="s">
        <v>60</v>
      </c>
      <c r="G19" s="51">
        <v>0.85</v>
      </c>
      <c r="H19" s="52">
        <v>0.1</v>
      </c>
      <c r="I19" s="52">
        <v>-0.1</v>
      </c>
      <c r="J19" s="59" t="s">
        <v>61</v>
      </c>
      <c r="K19" s="60" t="s">
        <v>62</v>
      </c>
      <c r="L19" s="61">
        <f t="shared" si="9"/>
        <v>0.95</v>
      </c>
      <c r="M19" s="70">
        <f t="shared" si="10"/>
        <v>0.75</v>
      </c>
      <c r="N19" s="71"/>
      <c r="O19" s="69">
        <f t="shared" si="11"/>
        <v>0.89315</v>
      </c>
      <c r="P19" s="69">
        <f t="shared" si="12"/>
        <v>0.84485</v>
      </c>
      <c r="Q19" s="69">
        <f t="shared" si="13"/>
        <v>0.873260625</v>
      </c>
      <c r="R19" s="79">
        <f t="shared" si="14"/>
        <v>0.0117506032617959</v>
      </c>
      <c r="S19" s="80">
        <f t="shared" si="15"/>
        <v>2.83673379065636</v>
      </c>
      <c r="T19" s="81">
        <f t="shared" si="16"/>
        <v>0.232606250000002</v>
      </c>
      <c r="U19" s="81" t="str">
        <f t="shared" si="17"/>
        <v>Level B</v>
      </c>
      <c r="V19" s="80">
        <f t="shared" si="4"/>
        <v>2.17689178136349</v>
      </c>
      <c r="W19" s="80">
        <f t="shared" si="18"/>
        <v>3.49657579994922</v>
      </c>
      <c r="X19" s="80">
        <f t="shared" si="19"/>
        <v>2.17689178136349</v>
      </c>
      <c r="Y19" s="87">
        <f t="shared" si="7"/>
        <v>0.999999999967263</v>
      </c>
      <c r="Z19" s="88" t="str">
        <f t="shared" si="20"/>
        <v/>
      </c>
      <c r="AA19" s="88" t="str">
        <f t="shared" si="21"/>
        <v/>
      </c>
      <c r="AB19" s="88">
        <f t="shared" si="22"/>
        <v>-0.0232606250000001</v>
      </c>
      <c r="AC19" s="88" t="str">
        <f t="shared" si="8"/>
        <v/>
      </c>
      <c r="AD19" s="95"/>
      <c r="AE19" s="96" t="str">
        <f t="shared" si="23"/>
        <v/>
      </c>
      <c r="AF19" s="97"/>
      <c r="AG19" s="104"/>
      <c r="AH19" s="104"/>
      <c r="AI19" s="105"/>
      <c r="AJ19" s="107"/>
      <c r="AK19" s="113">
        <v>0.86816</v>
      </c>
      <c r="AL19" s="113">
        <v>0.87449</v>
      </c>
      <c r="AM19" s="113">
        <v>0.86434</v>
      </c>
      <c r="AN19" s="113">
        <v>0.87015</v>
      </c>
      <c r="AO19" s="113">
        <v>0.87916</v>
      </c>
      <c r="AP19" s="113">
        <v>0.88215</v>
      </c>
      <c r="AQ19" s="113">
        <v>0.87836</v>
      </c>
      <c r="AR19" s="113">
        <v>0.87682</v>
      </c>
      <c r="AS19" s="113">
        <v>0.87374</v>
      </c>
      <c r="AT19" s="113">
        <v>0.87419</v>
      </c>
      <c r="AU19" s="113">
        <v>0.87802</v>
      </c>
      <c r="AV19" s="113">
        <v>0.85507</v>
      </c>
      <c r="AW19" s="113">
        <v>0.85679</v>
      </c>
      <c r="AX19" s="113">
        <v>0.8664</v>
      </c>
      <c r="AY19" s="113">
        <v>0.8882</v>
      </c>
      <c r="AZ19" s="113">
        <v>0.87517</v>
      </c>
      <c r="BA19" s="113">
        <v>0.86948</v>
      </c>
      <c r="BB19" s="113">
        <v>0.85547</v>
      </c>
      <c r="BC19" s="113">
        <v>0.88541</v>
      </c>
      <c r="BD19" s="113">
        <v>0.87455</v>
      </c>
      <c r="BE19" s="113">
        <v>0.8744</v>
      </c>
      <c r="BF19" s="113">
        <v>0.88623</v>
      </c>
      <c r="BG19" s="113">
        <v>0.84485</v>
      </c>
      <c r="BH19" s="113">
        <v>0.88147</v>
      </c>
      <c r="BI19" s="113">
        <v>0.89315</v>
      </c>
      <c r="BJ19" s="113">
        <v>0.89272</v>
      </c>
      <c r="BK19" s="113">
        <v>0.87761</v>
      </c>
      <c r="BL19" s="113">
        <v>0.85019</v>
      </c>
      <c r="BM19" s="113">
        <v>0.86826</v>
      </c>
      <c r="BN19" s="113">
        <v>0.87534</v>
      </c>
      <c r="BO19" s="113">
        <v>0.86689</v>
      </c>
      <c r="BP19" s="113">
        <v>0.88711</v>
      </c>
      <c r="BQ19" s="120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W19" s="121"/>
      <c r="CX19" s="121"/>
      <c r="CY19" s="121"/>
      <c r="CZ19" s="123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Q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HF19" s="124"/>
      <c r="JU19" s="124"/>
      <c r="MX19" s="124"/>
      <c r="NW19" s="124"/>
      <c r="SK19" s="124"/>
      <c r="YU19" s="124"/>
      <c r="AAI19" s="124"/>
      <c r="ABN19" s="124"/>
      <c r="ALR19" s="124"/>
      <c r="ANN19" s="124"/>
      <c r="ANY19" s="124"/>
      <c r="APE19" s="124"/>
      <c r="APW19" s="124"/>
      <c r="ATJ19" s="124"/>
      <c r="AUU19" s="124"/>
      <c r="AYZ19" s="124"/>
      <c r="BBQ19" s="124"/>
      <c r="BFB19" s="124"/>
      <c r="BGS19" s="124"/>
      <c r="BIH19" s="124"/>
      <c r="BRI19" s="124"/>
      <c r="BUM19" s="124"/>
      <c r="BVH19" s="124"/>
      <c r="BVW19" s="124"/>
      <c r="CAQ19" s="124"/>
      <c r="CBD19" s="124"/>
      <c r="CJJ19" s="124"/>
      <c r="CJM19" s="124"/>
      <c r="COP19" s="124"/>
      <c r="CQA19" s="124"/>
      <c r="DBD19" s="124"/>
      <c r="DBL19" s="124"/>
      <c r="DHC19" s="124"/>
      <c r="DKR19" s="124"/>
      <c r="DKU19" s="124"/>
      <c r="DLK19" s="124"/>
      <c r="DMK19" s="124"/>
      <c r="DQU19" s="124"/>
      <c r="DSI19" s="124"/>
      <c r="DSM19" s="124"/>
      <c r="DTP19" s="124"/>
      <c r="ECX19" s="124"/>
      <c r="EFL19" s="124"/>
    </row>
    <row r="20" ht="15" customHeight="1" spans="1:3548">
      <c r="A20" s="34">
        <v>10</v>
      </c>
      <c r="B20" s="35" t="s">
        <v>79</v>
      </c>
      <c r="C20" s="36" t="s">
        <v>80</v>
      </c>
      <c r="D20" s="36" t="s">
        <v>81</v>
      </c>
      <c r="E20" s="49">
        <v>1.33</v>
      </c>
      <c r="F20" s="50" t="s">
        <v>82</v>
      </c>
      <c r="G20" s="51"/>
      <c r="H20" s="52">
        <v>0.08</v>
      </c>
      <c r="I20" s="52"/>
      <c r="J20" s="59" t="s">
        <v>61</v>
      </c>
      <c r="K20" s="60" t="s">
        <v>62</v>
      </c>
      <c r="L20" s="61">
        <f t="shared" si="9"/>
        <v>0.08</v>
      </c>
      <c r="M20" s="70" t="str">
        <f t="shared" si="10"/>
        <v/>
      </c>
      <c r="N20" s="68"/>
      <c r="O20" s="69">
        <f t="shared" si="11"/>
        <v>0.00684</v>
      </c>
      <c r="P20" s="69">
        <f t="shared" si="12"/>
        <v>0.00198</v>
      </c>
      <c r="Q20" s="69">
        <f t="shared" si="13"/>
        <v>0.003908125</v>
      </c>
      <c r="R20" s="79">
        <f t="shared" si="14"/>
        <v>0.00137080018425783</v>
      </c>
      <c r="S20" s="80">
        <f t="shared" si="15"/>
        <v>18.5030310213051</v>
      </c>
      <c r="T20" s="81">
        <f t="shared" si="16"/>
        <v>0.0488515625</v>
      </c>
      <c r="U20" s="81" t="str">
        <f t="shared" si="17"/>
        <v>Level A</v>
      </c>
      <c r="V20" s="80">
        <f t="shared" si="4"/>
        <v>18.5030310213051</v>
      </c>
      <c r="W20" s="80" t="str">
        <f t="shared" si="18"/>
        <v/>
      </c>
      <c r="X20" s="80">
        <f t="shared" si="19"/>
        <v>18.5030310213051</v>
      </c>
      <c r="Y20" s="87">
        <f t="shared" si="7"/>
        <v>1</v>
      </c>
      <c r="Z20" s="88" t="str">
        <f t="shared" si="20"/>
        <v/>
      </c>
      <c r="AA20" s="88" t="str">
        <f t="shared" si="21"/>
        <v/>
      </c>
      <c r="AB20" s="88" t="str">
        <f t="shared" si="22"/>
        <v/>
      </c>
      <c r="AC20" s="88" t="str">
        <f t="shared" si="8"/>
        <v/>
      </c>
      <c r="AD20" s="95"/>
      <c r="AE20" s="96" t="str">
        <f t="shared" si="23"/>
        <v/>
      </c>
      <c r="AF20" s="97"/>
      <c r="AG20" s="104"/>
      <c r="AH20" s="104"/>
      <c r="AI20" s="105"/>
      <c r="AJ20" s="106"/>
      <c r="AK20" s="113">
        <v>0.00262</v>
      </c>
      <c r="AL20" s="113">
        <v>0.0043</v>
      </c>
      <c r="AM20" s="113">
        <v>0.00464</v>
      </c>
      <c r="AN20" s="113">
        <v>0.00394</v>
      </c>
      <c r="AO20" s="113">
        <v>0.00372</v>
      </c>
      <c r="AP20" s="113">
        <v>0.00662</v>
      </c>
      <c r="AQ20" s="113">
        <v>0.00292</v>
      </c>
      <c r="AR20" s="113">
        <v>0.0031</v>
      </c>
      <c r="AS20" s="113">
        <v>0.00434</v>
      </c>
      <c r="AT20" s="113">
        <v>0.00312</v>
      </c>
      <c r="AU20" s="113">
        <v>0.00226</v>
      </c>
      <c r="AV20" s="113">
        <v>0.00294</v>
      </c>
      <c r="AW20" s="113">
        <v>0.0041</v>
      </c>
      <c r="AX20" s="113">
        <v>0.00364</v>
      </c>
      <c r="AY20" s="113">
        <v>0.00308</v>
      </c>
      <c r="AZ20" s="113">
        <v>0.00342</v>
      </c>
      <c r="BA20" s="113">
        <v>0.00422</v>
      </c>
      <c r="BB20" s="113">
        <v>0.00324</v>
      </c>
      <c r="BC20" s="113">
        <v>0.0027</v>
      </c>
      <c r="BD20" s="113">
        <v>0.00598</v>
      </c>
      <c r="BE20" s="113">
        <v>0.00198</v>
      </c>
      <c r="BF20" s="113">
        <v>0.00302</v>
      </c>
      <c r="BG20" s="113">
        <v>0.00206</v>
      </c>
      <c r="BH20" s="113">
        <v>0.00614</v>
      </c>
      <c r="BI20" s="113">
        <v>0.00602</v>
      </c>
      <c r="BJ20" s="113">
        <v>0.00684</v>
      </c>
      <c r="BK20" s="113">
        <v>0.00274</v>
      </c>
      <c r="BL20" s="113">
        <v>0.00424</v>
      </c>
      <c r="BM20" s="113">
        <v>0.00274</v>
      </c>
      <c r="BN20" s="113">
        <v>0.00524</v>
      </c>
      <c r="BO20" s="113">
        <v>0.00592</v>
      </c>
      <c r="BP20" s="113">
        <v>0.00322</v>
      </c>
      <c r="BQ20" s="120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3"/>
      <c r="DA20" s="121"/>
      <c r="DB20" s="121"/>
      <c r="DC20" s="121"/>
      <c r="DD20" s="121"/>
      <c r="DE20" s="121"/>
      <c r="DF20" s="121"/>
      <c r="DG20" s="121"/>
      <c r="DH20" s="121"/>
      <c r="DI20" s="121"/>
      <c r="DJ20" s="121"/>
      <c r="DK20" s="121"/>
      <c r="DL20" s="121"/>
      <c r="DM20" s="121"/>
      <c r="DN20" s="121"/>
      <c r="DO20" s="121"/>
      <c r="DP20" s="121"/>
      <c r="DQ20" s="121"/>
      <c r="DR20" s="121"/>
      <c r="DS20" s="121"/>
      <c r="DT20" s="121"/>
      <c r="DU20" s="121"/>
      <c r="DV20" s="121"/>
      <c r="DW20" s="121"/>
      <c r="DX20" s="121"/>
      <c r="DY20" s="121"/>
      <c r="DZ20" s="121"/>
      <c r="EA20" s="121"/>
      <c r="EB20" s="121"/>
      <c r="EC20" s="121"/>
      <c r="ED20" s="121"/>
      <c r="EE20" s="121"/>
      <c r="EF20" s="121"/>
      <c r="HF20" s="124"/>
      <c r="JU20" s="124"/>
      <c r="MX20" s="124"/>
      <c r="NW20" s="124"/>
      <c r="SK20" s="124"/>
      <c r="YU20" s="124"/>
      <c r="AAI20" s="124"/>
      <c r="ABN20" s="124"/>
      <c r="ALR20" s="124"/>
      <c r="ANY20" s="124"/>
      <c r="APE20" s="124"/>
      <c r="APW20" s="124"/>
      <c r="ASW20" s="124"/>
      <c r="ATJ20" s="124"/>
      <c r="ATY20" s="124"/>
      <c r="AUU20" s="124"/>
      <c r="AYZ20" s="124"/>
      <c r="BFB20" s="124"/>
      <c r="BGS20" s="124"/>
      <c r="BIH20" s="124"/>
      <c r="BMO20" s="124"/>
      <c r="BRI20" s="124"/>
      <c r="BUM20" s="124"/>
      <c r="BVH20" s="124"/>
      <c r="BVW20" s="124"/>
      <c r="CAQ20" s="124"/>
      <c r="CBD20" s="124"/>
      <c r="CJJ20" s="124"/>
      <c r="CJM20" s="124"/>
      <c r="COP20" s="124"/>
      <c r="CQA20" s="124"/>
      <c r="CYV20" s="124"/>
      <c r="DBL20" s="124"/>
      <c r="DKR20" s="124"/>
      <c r="DKU20" s="124"/>
      <c r="DLK20" s="124"/>
      <c r="DMK20" s="124"/>
      <c r="DRI20" s="124"/>
      <c r="DSI20" s="124"/>
      <c r="DSM20" s="124"/>
      <c r="DTP20" s="124"/>
      <c r="ECD20" s="124"/>
      <c r="ECX20" s="124"/>
      <c r="EEP20" s="124"/>
      <c r="EFL20" s="124"/>
    </row>
    <row r="21" ht="15" customHeight="1" spans="1:3548">
      <c r="A21" s="34">
        <v>11</v>
      </c>
      <c r="B21" s="35"/>
      <c r="C21" s="37"/>
      <c r="D21" s="36" t="s">
        <v>83</v>
      </c>
      <c r="E21" s="49"/>
      <c r="F21" s="50" t="s">
        <v>60</v>
      </c>
      <c r="G21" s="51">
        <v>0</v>
      </c>
      <c r="H21" s="52">
        <v>0.04</v>
      </c>
      <c r="I21" s="52">
        <v>-0.04</v>
      </c>
      <c r="J21" s="59" t="s">
        <v>61</v>
      </c>
      <c r="K21" s="60" t="s">
        <v>62</v>
      </c>
      <c r="L21" s="61">
        <f t="shared" si="9"/>
        <v>0.04</v>
      </c>
      <c r="M21" s="70">
        <f t="shared" si="10"/>
        <v>-0.04</v>
      </c>
      <c r="N21" s="68"/>
      <c r="O21" s="69">
        <f t="shared" si="11"/>
        <v>0.00162</v>
      </c>
      <c r="P21" s="69">
        <f t="shared" si="12"/>
        <v>-0.00167</v>
      </c>
      <c r="Q21" s="69">
        <f t="shared" si="13"/>
        <v>-0.00024375</v>
      </c>
      <c r="R21" s="79">
        <f t="shared" si="14"/>
        <v>0.000738445402791043</v>
      </c>
      <c r="S21" s="80">
        <f t="shared" si="15"/>
        <v>18.0559500850549</v>
      </c>
      <c r="T21" s="81">
        <f t="shared" si="16"/>
        <v>-0.00609375</v>
      </c>
      <c r="U21" s="81" t="str">
        <f t="shared" si="17"/>
        <v>Level A</v>
      </c>
      <c r="V21" s="80">
        <f t="shared" si="4"/>
        <v>18.1659785308857</v>
      </c>
      <c r="W21" s="80">
        <f t="shared" si="18"/>
        <v>17.9459216392241</v>
      </c>
      <c r="X21" s="80">
        <f t="shared" si="19"/>
        <v>17.9459216392241</v>
      </c>
      <c r="Y21" s="87">
        <f t="shared" si="7"/>
        <v>1</v>
      </c>
      <c r="Z21" s="88" t="str">
        <f t="shared" si="20"/>
        <v/>
      </c>
      <c r="AA21" s="88" t="str">
        <f t="shared" si="21"/>
        <v/>
      </c>
      <c r="AB21" s="88">
        <f t="shared" si="22"/>
        <v>0.00024375</v>
      </c>
      <c r="AC21" s="88" t="str">
        <f t="shared" si="8"/>
        <v/>
      </c>
      <c r="AD21" s="95"/>
      <c r="AE21" s="96" t="str">
        <f t="shared" si="23"/>
        <v/>
      </c>
      <c r="AF21" s="97"/>
      <c r="AG21" s="104"/>
      <c r="AH21" s="104"/>
      <c r="AI21" s="105"/>
      <c r="AJ21" s="106"/>
      <c r="AK21" s="113">
        <v>-0.00131</v>
      </c>
      <c r="AL21" s="113">
        <v>-0.00071</v>
      </c>
      <c r="AM21" s="113">
        <v>5e-5</v>
      </c>
      <c r="AN21" s="113">
        <v>-0.00024</v>
      </c>
      <c r="AO21" s="113">
        <v>-0.0008</v>
      </c>
      <c r="AP21" s="113">
        <v>0.00093</v>
      </c>
      <c r="AQ21" s="113">
        <v>-0.00079</v>
      </c>
      <c r="AR21" s="113">
        <v>-0.0008</v>
      </c>
      <c r="AS21" s="113">
        <v>0.00047</v>
      </c>
      <c r="AT21" s="113">
        <v>-0.00049</v>
      </c>
      <c r="AU21" s="113">
        <v>0.00056</v>
      </c>
      <c r="AV21" s="113">
        <v>-0.00035</v>
      </c>
      <c r="AW21" s="113">
        <v>-7e-5</v>
      </c>
      <c r="AX21" s="113">
        <v>-0.00048</v>
      </c>
      <c r="AY21" s="113">
        <v>-0.00116</v>
      </c>
      <c r="AZ21" s="113">
        <v>0.00021</v>
      </c>
      <c r="BA21" s="113">
        <v>-0.00167</v>
      </c>
      <c r="BB21" s="113">
        <v>0.00162</v>
      </c>
      <c r="BC21" s="113">
        <v>-0.00072</v>
      </c>
      <c r="BD21" s="113">
        <v>-0.00143</v>
      </c>
      <c r="BE21" s="113">
        <v>0.00027</v>
      </c>
      <c r="BF21" s="113">
        <v>-0.00037</v>
      </c>
      <c r="BG21" s="113">
        <v>-0.00103</v>
      </c>
      <c r="BH21" s="113">
        <v>-3e-5</v>
      </c>
      <c r="BI21" s="113">
        <v>-0.0003</v>
      </c>
      <c r="BJ21" s="113">
        <v>0.00089</v>
      </c>
      <c r="BK21" s="113">
        <v>0.00064</v>
      </c>
      <c r="BL21" s="113">
        <v>-0.00058</v>
      </c>
      <c r="BM21" s="113">
        <v>-0.00053</v>
      </c>
      <c r="BN21" s="113">
        <v>0.00023</v>
      </c>
      <c r="BO21" s="113">
        <v>0.00015</v>
      </c>
      <c r="BP21" s="113">
        <v>4e-5</v>
      </c>
      <c r="BQ21" s="120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3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Q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HF21" s="124"/>
      <c r="JU21" s="124"/>
      <c r="NW21" s="124"/>
      <c r="SK21" s="124"/>
      <c r="YU21" s="124"/>
      <c r="AAI21" s="124"/>
      <c r="ABN21" s="124"/>
      <c r="ALR21" s="124"/>
      <c r="ANY21" s="124"/>
      <c r="APE21" s="124"/>
      <c r="APW21" s="124"/>
      <c r="ASW21" s="124"/>
      <c r="AUU21" s="124"/>
      <c r="AYZ21" s="124"/>
      <c r="BFB21" s="124"/>
      <c r="BGS21" s="124"/>
      <c r="BIH21" s="124"/>
      <c r="BNL21" s="124"/>
      <c r="BRI21" s="124"/>
      <c r="BUM21" s="124"/>
      <c r="BVH21" s="124"/>
      <c r="BVW21" s="124"/>
      <c r="CAQ21" s="124"/>
      <c r="CBD21" s="124"/>
      <c r="CJJ21" s="124"/>
      <c r="CJM21" s="124"/>
      <c r="CWN21" s="124"/>
      <c r="DKR21" s="124"/>
      <c r="DKU21" s="124"/>
      <c r="DLK21" s="124"/>
      <c r="DMK21" s="124"/>
      <c r="DSI21" s="124"/>
      <c r="DSM21" s="124"/>
      <c r="DTP21" s="124"/>
      <c r="ECD21" s="124"/>
      <c r="ECX21" s="124"/>
      <c r="EFL21" s="124"/>
    </row>
    <row r="22" ht="15" customHeight="1" spans="1:3482">
      <c r="A22" s="34">
        <v>12</v>
      </c>
      <c r="B22" s="35"/>
      <c r="C22" s="37"/>
      <c r="D22" s="38" t="s">
        <v>84</v>
      </c>
      <c r="E22" s="49"/>
      <c r="F22" s="50" t="s">
        <v>60</v>
      </c>
      <c r="G22" s="51">
        <v>0</v>
      </c>
      <c r="H22" s="52">
        <v>0.04</v>
      </c>
      <c r="I22" s="52">
        <v>-0.04</v>
      </c>
      <c r="J22" s="59" t="s">
        <v>61</v>
      </c>
      <c r="K22" s="60" t="s">
        <v>62</v>
      </c>
      <c r="L22" s="61">
        <f t="shared" si="9"/>
        <v>0.04</v>
      </c>
      <c r="M22" s="70">
        <f t="shared" si="10"/>
        <v>-0.04</v>
      </c>
      <c r="N22" s="71"/>
      <c r="O22" s="69">
        <f t="shared" si="11"/>
        <v>0.00307</v>
      </c>
      <c r="P22" s="69">
        <f t="shared" si="12"/>
        <v>-0.00252</v>
      </c>
      <c r="Q22" s="69">
        <f t="shared" si="13"/>
        <v>0.0006734375</v>
      </c>
      <c r="R22" s="79">
        <f t="shared" si="14"/>
        <v>0.00135118492651641</v>
      </c>
      <c r="S22" s="80">
        <f t="shared" si="15"/>
        <v>9.86788193952768</v>
      </c>
      <c r="T22" s="81">
        <f t="shared" si="16"/>
        <v>0.0168359375</v>
      </c>
      <c r="U22" s="81" t="str">
        <f t="shared" si="17"/>
        <v>Level A</v>
      </c>
      <c r="V22" s="80">
        <f t="shared" si="4"/>
        <v>9.70174689593641</v>
      </c>
      <c r="W22" s="80">
        <f t="shared" si="18"/>
        <v>10.0340169831189</v>
      </c>
      <c r="X22" s="80">
        <f t="shared" si="19"/>
        <v>9.70174689593641</v>
      </c>
      <c r="Y22" s="87">
        <f t="shared" si="7"/>
        <v>1</v>
      </c>
      <c r="Z22" s="88" t="str">
        <f t="shared" si="20"/>
        <v/>
      </c>
      <c r="AA22" s="88" t="str">
        <f t="shared" si="21"/>
        <v/>
      </c>
      <c r="AB22" s="88">
        <f t="shared" si="22"/>
        <v>-0.0006734375</v>
      </c>
      <c r="AC22" s="88" t="str">
        <f t="shared" si="8"/>
        <v/>
      </c>
      <c r="AD22" s="95"/>
      <c r="AE22" s="96" t="str">
        <f t="shared" si="23"/>
        <v/>
      </c>
      <c r="AF22" s="97"/>
      <c r="AG22" s="104"/>
      <c r="AH22" s="104"/>
      <c r="AI22" s="105"/>
      <c r="AJ22" s="107"/>
      <c r="AK22" s="113">
        <v>0.00077</v>
      </c>
      <c r="AL22" s="113">
        <v>-0.00142</v>
      </c>
      <c r="AM22" s="113">
        <v>0.00177</v>
      </c>
      <c r="AN22" s="113">
        <v>0.0013</v>
      </c>
      <c r="AO22" s="113">
        <v>0.00139</v>
      </c>
      <c r="AP22" s="113">
        <v>-0.00252</v>
      </c>
      <c r="AQ22" s="113">
        <v>0.00146</v>
      </c>
      <c r="AR22" s="113">
        <v>0.00155</v>
      </c>
      <c r="AS22" s="113">
        <v>-0.00084</v>
      </c>
      <c r="AT22" s="113">
        <v>0.00156</v>
      </c>
      <c r="AU22" s="113">
        <v>0.00083</v>
      </c>
      <c r="AV22" s="113">
        <v>0.00039</v>
      </c>
      <c r="AW22" s="113">
        <v>-0.00018</v>
      </c>
      <c r="AX22" s="113">
        <v>0.0002</v>
      </c>
      <c r="AY22" s="113">
        <v>0.00022</v>
      </c>
      <c r="AZ22" s="113">
        <v>0.00171</v>
      </c>
      <c r="BA22" s="113">
        <v>-0.0005</v>
      </c>
      <c r="BB22" s="113">
        <v>0.00029</v>
      </c>
      <c r="BC22" s="113">
        <v>-0.00135</v>
      </c>
      <c r="BD22" s="113">
        <v>0.00299</v>
      </c>
      <c r="BE22" s="113">
        <v>0.00086</v>
      </c>
      <c r="BF22" s="113">
        <v>0.00097</v>
      </c>
      <c r="BG22" s="113">
        <v>0.00079</v>
      </c>
      <c r="BH22" s="113">
        <v>0.00307</v>
      </c>
      <c r="BI22" s="113">
        <v>0.00301</v>
      </c>
      <c r="BJ22" s="113">
        <v>-0.00142</v>
      </c>
      <c r="BK22" s="113">
        <v>0.00029</v>
      </c>
      <c r="BL22" s="113">
        <v>-0.00034</v>
      </c>
      <c r="BM22" s="113">
        <v>0.00082</v>
      </c>
      <c r="BN22" s="113">
        <v>-0.00026</v>
      </c>
      <c r="BO22" s="113">
        <v>0.00253</v>
      </c>
      <c r="BP22" s="113">
        <v>0.00161</v>
      </c>
      <c r="BQ22" s="120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3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JU22" s="124"/>
      <c r="NW22" s="124"/>
      <c r="AAI22" s="124"/>
      <c r="ABN22" s="124"/>
      <c r="ALR22" s="124"/>
      <c r="ANN22" s="124"/>
      <c r="ANY22" s="124"/>
      <c r="APE22" s="124"/>
      <c r="APW22" s="124"/>
      <c r="ASW22" s="124"/>
      <c r="ATJ22" s="124"/>
      <c r="AUU22" s="124"/>
      <c r="AYZ22" s="124"/>
      <c r="BBQ22" s="124"/>
      <c r="BFB22" s="124"/>
      <c r="BGS22" s="124"/>
      <c r="BIH22" s="124"/>
      <c r="BMO22" s="124"/>
      <c r="BRI22" s="124"/>
      <c r="BUM22" s="124"/>
      <c r="BVH22" s="124"/>
      <c r="CAQ22" s="124"/>
      <c r="CBD22" s="124"/>
      <c r="CJJ22" s="124"/>
      <c r="DKR22" s="124"/>
      <c r="DKU22" s="124"/>
      <c r="DLK22" s="124"/>
      <c r="DMK22" s="124"/>
      <c r="DSI22" s="124"/>
      <c r="DSM22" s="124"/>
      <c r="DTP22" s="124"/>
      <c r="DVF22" s="124"/>
      <c r="ECD22" s="124"/>
      <c r="ECX22" s="124"/>
    </row>
    <row r="23" ht="15" customHeight="1" spans="1:3482">
      <c r="A23" s="34">
        <v>13</v>
      </c>
      <c r="B23" s="35"/>
      <c r="C23" s="39"/>
      <c r="D23" s="38" t="s">
        <v>85</v>
      </c>
      <c r="E23" s="49"/>
      <c r="F23" s="50" t="s">
        <v>60</v>
      </c>
      <c r="G23" s="51">
        <v>0</v>
      </c>
      <c r="H23" s="52">
        <v>0.04</v>
      </c>
      <c r="I23" s="52">
        <v>-0.04</v>
      </c>
      <c r="J23" s="59" t="s">
        <v>61</v>
      </c>
      <c r="K23" s="60" t="s">
        <v>62</v>
      </c>
      <c r="L23" s="61">
        <f t="shared" si="9"/>
        <v>0.04</v>
      </c>
      <c r="M23" s="70">
        <f t="shared" si="10"/>
        <v>-0.04</v>
      </c>
      <c r="N23" s="71"/>
      <c r="O23" s="69">
        <f t="shared" si="11"/>
        <v>0.00296</v>
      </c>
      <c r="P23" s="69">
        <f t="shared" si="12"/>
        <v>-0.00342</v>
      </c>
      <c r="Q23" s="69">
        <f t="shared" si="13"/>
        <v>-0.0003325</v>
      </c>
      <c r="R23" s="79">
        <f t="shared" si="14"/>
        <v>0.00171655506475108</v>
      </c>
      <c r="S23" s="80">
        <f t="shared" si="15"/>
        <v>7.76749526253434</v>
      </c>
      <c r="T23" s="81">
        <f t="shared" si="16"/>
        <v>-0.0083125</v>
      </c>
      <c r="U23" s="81" t="str">
        <f t="shared" si="17"/>
        <v>Level A</v>
      </c>
      <c r="V23" s="80">
        <f t="shared" si="4"/>
        <v>7.83206256690416</v>
      </c>
      <c r="W23" s="80">
        <f t="shared" si="18"/>
        <v>7.70292795816452</v>
      </c>
      <c r="X23" s="80">
        <f t="shared" si="19"/>
        <v>7.70292795816452</v>
      </c>
      <c r="Y23" s="87">
        <f t="shared" si="7"/>
        <v>1</v>
      </c>
      <c r="Z23" s="88" t="str">
        <f t="shared" si="20"/>
        <v/>
      </c>
      <c r="AA23" s="88" t="str">
        <f t="shared" si="21"/>
        <v/>
      </c>
      <c r="AB23" s="88">
        <f t="shared" si="22"/>
        <v>0.0003325</v>
      </c>
      <c r="AC23" s="88" t="str">
        <f t="shared" si="8"/>
        <v/>
      </c>
      <c r="AD23" s="95"/>
      <c r="AE23" s="96" t="str">
        <f t="shared" si="23"/>
        <v/>
      </c>
      <c r="AF23" s="97"/>
      <c r="AG23" s="104"/>
      <c r="AH23" s="104"/>
      <c r="AI23" s="105"/>
      <c r="AJ23" s="107"/>
      <c r="AK23" s="113">
        <v>-0.00022</v>
      </c>
      <c r="AL23" s="113">
        <v>-0.00215</v>
      </c>
      <c r="AM23" s="113">
        <v>0.00232</v>
      </c>
      <c r="AN23" s="113">
        <v>-0.00039</v>
      </c>
      <c r="AO23" s="113">
        <v>-0.00015</v>
      </c>
      <c r="AP23" s="113">
        <v>-0.00331</v>
      </c>
      <c r="AQ23" s="113">
        <v>-0.0002</v>
      </c>
      <c r="AR23" s="113">
        <v>0.00052</v>
      </c>
      <c r="AS23" s="113">
        <v>-0.00217</v>
      </c>
      <c r="AT23" s="113">
        <v>0.0004</v>
      </c>
      <c r="AU23" s="113">
        <v>0.00107</v>
      </c>
      <c r="AV23" s="113">
        <v>6e-5</v>
      </c>
      <c r="AW23" s="113">
        <v>-0.00205</v>
      </c>
      <c r="AX23" s="113">
        <v>-0.00182</v>
      </c>
      <c r="AY23" s="113">
        <v>0.00154</v>
      </c>
      <c r="AZ23" s="113">
        <v>8e-5</v>
      </c>
      <c r="BA23" s="113">
        <v>-0.00211</v>
      </c>
      <c r="BB23" s="113">
        <v>-0.00121</v>
      </c>
      <c r="BC23" s="113">
        <v>-0.00098</v>
      </c>
      <c r="BD23" s="113">
        <v>0.00268</v>
      </c>
      <c r="BE23" s="113">
        <v>-0.00099</v>
      </c>
      <c r="BF23" s="113">
        <v>-0.00035</v>
      </c>
      <c r="BG23" s="113">
        <v>0.00065</v>
      </c>
      <c r="BH23" s="113">
        <v>0.00185</v>
      </c>
      <c r="BI23" s="113">
        <v>0.00247</v>
      </c>
      <c r="BJ23" s="113">
        <v>-0.00342</v>
      </c>
      <c r="BK23" s="113">
        <v>-0.00072</v>
      </c>
      <c r="BL23" s="113">
        <v>-0.00212</v>
      </c>
      <c r="BM23" s="113">
        <v>-0.00013</v>
      </c>
      <c r="BN23" s="113">
        <v>-0.00262</v>
      </c>
      <c r="BO23" s="113">
        <v>0.00296</v>
      </c>
      <c r="BP23" s="113">
        <v>-0.00013</v>
      </c>
      <c r="BQ23" s="120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  <c r="CV23" s="121"/>
      <c r="CW23" s="121"/>
      <c r="CX23" s="121"/>
      <c r="CY23" s="121"/>
      <c r="CZ23" s="123"/>
      <c r="DA23" s="121"/>
      <c r="DB23" s="121"/>
      <c r="DC23" s="121"/>
      <c r="DD23" s="121"/>
      <c r="DE23" s="121"/>
      <c r="DF23" s="121"/>
      <c r="DG23" s="121"/>
      <c r="DH23" s="121"/>
      <c r="DI23" s="121"/>
      <c r="DJ23" s="121"/>
      <c r="DK23" s="121"/>
      <c r="DL23" s="121"/>
      <c r="DM23" s="121"/>
      <c r="DN23" s="121"/>
      <c r="DO23" s="121"/>
      <c r="DP23" s="121"/>
      <c r="DQ23" s="121"/>
      <c r="DR23" s="121"/>
      <c r="DS23" s="121"/>
      <c r="DT23" s="121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1"/>
      <c r="JU23" s="124"/>
      <c r="NW23" s="124"/>
      <c r="SK23" s="124"/>
      <c r="SU23" s="124"/>
      <c r="AAI23" s="124"/>
      <c r="ABN23" s="124"/>
      <c r="ALR23" s="124"/>
      <c r="ANY23" s="124"/>
      <c r="APE23" s="124"/>
      <c r="APW23" s="124"/>
      <c r="ASW23" s="124"/>
      <c r="ATJ23" s="124"/>
      <c r="AUU23" s="124"/>
      <c r="AYZ23" s="124"/>
      <c r="BBQ23" s="124"/>
      <c r="BFB23" s="124"/>
      <c r="BGS23" s="124"/>
      <c r="BIH23" s="124"/>
      <c r="BRI23" s="124"/>
      <c r="BUM23" s="124"/>
      <c r="BVH23" s="124"/>
      <c r="BVW23" s="124"/>
      <c r="CAQ23" s="124"/>
      <c r="CBD23" s="124"/>
      <c r="CJJ23" s="124"/>
      <c r="DKR23" s="124"/>
      <c r="DKU23" s="124"/>
      <c r="DLK23" s="124"/>
      <c r="DMK23" s="124"/>
      <c r="DSI23" s="124"/>
      <c r="DSM23" s="124"/>
      <c r="ECD23" s="124"/>
      <c r="ECX23" s="124"/>
    </row>
    <row r="24" ht="15" customHeight="1" spans="1:3482">
      <c r="A24" s="34">
        <v>14</v>
      </c>
      <c r="B24" s="35"/>
      <c r="C24" s="39"/>
      <c r="D24" s="38" t="s">
        <v>86</v>
      </c>
      <c r="E24" s="49"/>
      <c r="F24" s="50" t="s">
        <v>60</v>
      </c>
      <c r="G24" s="51">
        <v>0</v>
      </c>
      <c r="H24" s="52">
        <v>0.04</v>
      </c>
      <c r="I24" s="52">
        <v>-0.04</v>
      </c>
      <c r="J24" s="59" t="s">
        <v>61</v>
      </c>
      <c r="K24" s="60" t="s">
        <v>62</v>
      </c>
      <c r="L24" s="61">
        <f t="shared" si="9"/>
        <v>0.04</v>
      </c>
      <c r="M24" s="70">
        <f t="shared" si="10"/>
        <v>-0.04</v>
      </c>
      <c r="N24" s="68"/>
      <c r="O24" s="69">
        <f t="shared" si="11"/>
        <v>0.00079</v>
      </c>
      <c r="P24" s="69">
        <f t="shared" si="12"/>
        <v>-0.00217</v>
      </c>
      <c r="Q24" s="69">
        <f t="shared" si="13"/>
        <v>-0.0009909375</v>
      </c>
      <c r="R24" s="79">
        <f t="shared" si="14"/>
        <v>0.000800283656868996</v>
      </c>
      <c r="S24" s="80">
        <f t="shared" si="15"/>
        <v>16.6607592431642</v>
      </c>
      <c r="T24" s="81">
        <f t="shared" si="16"/>
        <v>-0.0247734375</v>
      </c>
      <c r="U24" s="81" t="str">
        <f t="shared" si="17"/>
        <v>Level A</v>
      </c>
      <c r="V24" s="80">
        <f t="shared" si="4"/>
        <v>17.0735035209772</v>
      </c>
      <c r="W24" s="80">
        <f t="shared" si="18"/>
        <v>16.2480149653511</v>
      </c>
      <c r="X24" s="80">
        <f t="shared" si="19"/>
        <v>16.2480149653511</v>
      </c>
      <c r="Y24" s="87">
        <f t="shared" ref="Y24:Y35" si="24">IF(OR($AK24="",ISNUMBER($AK24)=FALSE),"",IF(AND(G24=0,I24=0),NORMSDIST(3*X24),NORMSDIST(3*X24)+NORMSDIST(6*S24-3*X24)-1))</f>
        <v>1</v>
      </c>
      <c r="Z24" s="88" t="str">
        <f t="shared" si="20"/>
        <v/>
      </c>
      <c r="AA24" s="88" t="str">
        <f t="shared" si="21"/>
        <v/>
      </c>
      <c r="AB24" s="88">
        <f t="shared" si="22"/>
        <v>0.0009909375</v>
      </c>
      <c r="AC24" s="88" t="str">
        <f t="shared" si="8"/>
        <v/>
      </c>
      <c r="AD24" s="95"/>
      <c r="AE24" s="96" t="str">
        <f t="shared" si="23"/>
        <v/>
      </c>
      <c r="AF24" s="97"/>
      <c r="AG24" s="104"/>
      <c r="AH24" s="104"/>
      <c r="AI24" s="105"/>
      <c r="AJ24" s="106"/>
      <c r="AK24" s="113">
        <v>-0.00128</v>
      </c>
      <c r="AL24" s="113">
        <v>-0.00104</v>
      </c>
      <c r="AM24" s="113">
        <v>2e-5</v>
      </c>
      <c r="AN24" s="113">
        <v>-0.00197</v>
      </c>
      <c r="AO24" s="113">
        <v>-0.00186</v>
      </c>
      <c r="AP24" s="113">
        <v>-0.00182</v>
      </c>
      <c r="AQ24" s="113">
        <v>-0.00038</v>
      </c>
      <c r="AR24" s="113">
        <v>-0.00064</v>
      </c>
      <c r="AS24" s="113">
        <v>-0.00193</v>
      </c>
      <c r="AT24" s="113">
        <v>-0.00055</v>
      </c>
      <c r="AU24" s="113">
        <v>-0.00113</v>
      </c>
      <c r="AV24" s="113">
        <v>-0.00147</v>
      </c>
      <c r="AW24" s="113">
        <v>-0.00162</v>
      </c>
      <c r="AX24" s="113">
        <v>-0.0012</v>
      </c>
      <c r="AY24" s="113">
        <v>8e-5</v>
      </c>
      <c r="AZ24" s="113">
        <v>-0.00038</v>
      </c>
      <c r="BA24" s="113">
        <v>-0.00166</v>
      </c>
      <c r="BB24" s="113">
        <v>-9e-5</v>
      </c>
      <c r="BC24" s="113">
        <v>-0.00105</v>
      </c>
      <c r="BD24" s="113">
        <v>0</v>
      </c>
      <c r="BE24" s="113">
        <v>-0.0009</v>
      </c>
      <c r="BF24" s="113">
        <v>-0.00151</v>
      </c>
      <c r="BG24" s="113">
        <v>-0.00046</v>
      </c>
      <c r="BH24" s="113">
        <v>0</v>
      </c>
      <c r="BI24" s="113">
        <v>0.00079</v>
      </c>
      <c r="BJ24" s="113">
        <v>-0.00217</v>
      </c>
      <c r="BK24" s="113">
        <v>-0.00137</v>
      </c>
      <c r="BL24" s="113">
        <v>-0.00205</v>
      </c>
      <c r="BM24" s="113">
        <v>-0.00137</v>
      </c>
      <c r="BN24" s="113">
        <v>-0.00185</v>
      </c>
      <c r="BO24" s="113">
        <v>0.00042</v>
      </c>
      <c r="BP24" s="113">
        <v>-0.00127</v>
      </c>
      <c r="BQ24" s="120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  <c r="CV24" s="121"/>
      <c r="CW24" s="121"/>
      <c r="CX24" s="121"/>
      <c r="CY24" s="121"/>
      <c r="CZ24" s="121"/>
      <c r="DA24" s="121"/>
      <c r="DB24" s="121"/>
      <c r="DC24" s="121"/>
      <c r="DD24" s="121"/>
      <c r="DE24" s="121"/>
      <c r="DF24" s="121"/>
      <c r="DG24" s="121"/>
      <c r="DH24" s="121"/>
      <c r="DI24" s="121"/>
      <c r="DJ24" s="121"/>
      <c r="DK24" s="121"/>
      <c r="DL24" s="121"/>
      <c r="DM24" s="121"/>
      <c r="DN24" s="121"/>
      <c r="DO24" s="121"/>
      <c r="DP24" s="121"/>
      <c r="DQ24" s="121"/>
      <c r="DR24" s="121"/>
      <c r="DS24" s="121"/>
      <c r="DT24" s="121"/>
      <c r="DU24" s="121"/>
      <c r="DV24" s="121"/>
      <c r="DW24" s="121"/>
      <c r="DX24" s="121"/>
      <c r="DY24" s="121"/>
      <c r="DZ24" s="121"/>
      <c r="EA24" s="121"/>
      <c r="EB24" s="121"/>
      <c r="EC24" s="121"/>
      <c r="ED24" s="121"/>
      <c r="EE24" s="121"/>
      <c r="EF24" s="121"/>
      <c r="FB24" s="124"/>
      <c r="JU24" s="124"/>
      <c r="LG24" s="124"/>
      <c r="MX24" s="124"/>
      <c r="TC24" s="124"/>
      <c r="YU24" s="124"/>
      <c r="ZY24" s="124"/>
      <c r="AAB24" s="124"/>
      <c r="ACU24" s="124"/>
      <c r="ALR24" s="124"/>
      <c r="ANN24" s="124"/>
      <c r="AWW24" s="124"/>
      <c r="BFB24" s="124"/>
      <c r="BIH24" s="124"/>
      <c r="BXM24" s="124"/>
      <c r="CAP24" s="124"/>
      <c r="CCV24" s="124"/>
      <c r="CJM24" s="124"/>
      <c r="CJZ24" s="124"/>
      <c r="CKS24" s="124"/>
      <c r="CNO24" s="124"/>
      <c r="COP24" s="124"/>
      <c r="COZ24" s="124"/>
      <c r="CQJ24" s="124"/>
      <c r="CUA24" s="124"/>
      <c r="DHC24" s="124"/>
      <c r="DKR24" s="124"/>
      <c r="DKU24" s="124"/>
      <c r="DLK24" s="124"/>
      <c r="DSB24" s="124"/>
      <c r="ECX24" s="124"/>
    </row>
    <row r="25" ht="15" customHeight="1" spans="1:3482">
      <c r="A25" s="34">
        <v>15</v>
      </c>
      <c r="B25" s="35"/>
      <c r="C25" s="39"/>
      <c r="D25" s="36" t="s">
        <v>87</v>
      </c>
      <c r="E25" s="49"/>
      <c r="F25" s="50" t="s">
        <v>60</v>
      </c>
      <c r="G25" s="51">
        <v>0</v>
      </c>
      <c r="H25" s="52">
        <v>0.04</v>
      </c>
      <c r="I25" s="52">
        <v>-0.04</v>
      </c>
      <c r="J25" s="59" t="s">
        <v>61</v>
      </c>
      <c r="K25" s="60" t="s">
        <v>62</v>
      </c>
      <c r="L25" s="61">
        <f t="shared" si="9"/>
        <v>0.04</v>
      </c>
      <c r="M25" s="70">
        <f t="shared" si="10"/>
        <v>-0.04</v>
      </c>
      <c r="N25" s="68"/>
      <c r="O25" s="69">
        <f t="shared" si="11"/>
        <v>0.00132</v>
      </c>
      <c r="P25" s="69">
        <f t="shared" si="12"/>
        <v>-0.00027</v>
      </c>
      <c r="Q25" s="69">
        <f t="shared" si="13"/>
        <v>8.09375e-5</v>
      </c>
      <c r="R25" s="79">
        <f t="shared" si="14"/>
        <v>0.000299034568883092</v>
      </c>
      <c r="S25" s="80">
        <f t="shared" ref="S25:S30" si="25">IF(OR($AK25="",ISNUMBER($AK25)=FALSE),"",IF(AND(G25=0,I25=0),V25,IF(AND(G25="",H25=""),W25,(H25+ABS(I25))/(6*R25))))</f>
        <v>44.5879330377553</v>
      </c>
      <c r="T25" s="81">
        <f t="shared" si="16"/>
        <v>0.0020234375</v>
      </c>
      <c r="U25" s="81" t="str">
        <f t="shared" si="17"/>
        <v>Level A</v>
      </c>
      <c r="V25" s="80">
        <f t="shared" ref="V25:V30" si="26">IF(OR($AK25="",ISNUMBER($AK25)=FALSE),"",IF(H25="","",(L25-Q25)/(3*R25)))</f>
        <v>44.4977121419992</v>
      </c>
      <c r="W25" s="80">
        <f t="shared" si="5"/>
        <v>44.6781539335114</v>
      </c>
      <c r="X25" s="80">
        <f t="shared" ref="X25:X35" si="27">IF(OR($AK25="",ISNUMBER($AK25)=FALSE),"",IF(AND(G25=0,I25=0),((H25)-(Q25))/(3*R25),MIN(V25:W25)))</f>
        <v>44.4977121419992</v>
      </c>
      <c r="Y25" s="87">
        <f t="shared" si="24"/>
        <v>1</v>
      </c>
      <c r="Z25" s="88" t="str">
        <f t="shared" si="20"/>
        <v/>
      </c>
      <c r="AA25" s="88" t="str">
        <f t="shared" si="21"/>
        <v/>
      </c>
      <c r="AB25" s="88">
        <f t="shared" si="22"/>
        <v>-8.09375e-5</v>
      </c>
      <c r="AC25" s="88" t="str">
        <f t="shared" si="8"/>
        <v/>
      </c>
      <c r="AD25" s="95"/>
      <c r="AE25" s="96" t="str">
        <f t="shared" si="23"/>
        <v/>
      </c>
      <c r="AF25" s="97"/>
      <c r="AG25" s="104"/>
      <c r="AH25" s="104"/>
      <c r="AI25" s="105"/>
      <c r="AJ25" s="106"/>
      <c r="AK25" s="113">
        <v>-0.00011</v>
      </c>
      <c r="AL25" s="113">
        <v>-0.00023</v>
      </c>
      <c r="AM25" s="113">
        <v>-5e-5</v>
      </c>
      <c r="AN25" s="113">
        <v>-0.0002</v>
      </c>
      <c r="AO25" s="113">
        <v>-0.00012</v>
      </c>
      <c r="AP25" s="113">
        <v>7e-5</v>
      </c>
      <c r="AQ25" s="113">
        <v>0.00016</v>
      </c>
      <c r="AR25" s="113">
        <v>0.0002</v>
      </c>
      <c r="AS25" s="113">
        <v>0.00014</v>
      </c>
      <c r="AT25" s="113">
        <v>0.00011</v>
      </c>
      <c r="AU25" s="113">
        <v>0.00025</v>
      </c>
      <c r="AV25" s="113">
        <v>8e-5</v>
      </c>
      <c r="AW25" s="113">
        <v>-0.00027</v>
      </c>
      <c r="AX25" s="113">
        <v>0.00015</v>
      </c>
      <c r="AY25" s="113">
        <v>-0.00019</v>
      </c>
      <c r="AZ25" s="113">
        <v>8e-5</v>
      </c>
      <c r="BA25" s="113">
        <v>-8e-5</v>
      </c>
      <c r="BB25" s="113">
        <v>0.00132</v>
      </c>
      <c r="BC25" s="113">
        <v>-0.00014</v>
      </c>
      <c r="BD25" s="113">
        <v>-3e-5</v>
      </c>
      <c r="BE25" s="113">
        <v>0.00034</v>
      </c>
      <c r="BF25" s="113">
        <v>-6e-5</v>
      </c>
      <c r="BG25" s="113">
        <v>-0.0001</v>
      </c>
      <c r="BH25" s="113">
        <v>0.00068</v>
      </c>
      <c r="BI25" s="113">
        <v>9e-5</v>
      </c>
      <c r="BJ25" s="113">
        <v>2e-5</v>
      </c>
      <c r="BK25" s="113">
        <v>0.00024</v>
      </c>
      <c r="BL25" s="113">
        <v>-3e-5</v>
      </c>
      <c r="BM25" s="113">
        <v>6e-5</v>
      </c>
      <c r="BN25" s="113">
        <v>-0.00019</v>
      </c>
      <c r="BO25" s="113">
        <v>0.00024</v>
      </c>
      <c r="BP25" s="113">
        <v>0.00016</v>
      </c>
      <c r="BQ25" s="120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3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FB25" s="124"/>
      <c r="JD25" s="124"/>
      <c r="JU25" s="124"/>
      <c r="LG25" s="124"/>
      <c r="MX25" s="124"/>
      <c r="TC25" s="124"/>
      <c r="YN25" s="124"/>
      <c r="YU25" s="124"/>
      <c r="ZY25" s="124"/>
      <c r="AAB25" s="124"/>
      <c r="ACU25" s="124"/>
      <c r="ALR25" s="124"/>
      <c r="ANN25" s="124"/>
      <c r="AWW25" s="124"/>
      <c r="BCI25" s="124"/>
      <c r="BFB25" s="124"/>
      <c r="BIH25" s="124"/>
      <c r="BTP25" s="124"/>
      <c r="BVH25" s="124"/>
      <c r="BXM25" s="124"/>
      <c r="CAP25" s="124"/>
      <c r="CCV25" s="124"/>
      <c r="CJM25" s="124"/>
      <c r="CJZ25" s="124"/>
      <c r="CKS25" s="124"/>
      <c r="CNP25" s="124"/>
      <c r="COP25" s="124"/>
      <c r="COZ25" s="124"/>
      <c r="CQJ25" s="124"/>
      <c r="CUA25" s="124"/>
      <c r="DBL25" s="124"/>
      <c r="DDZ25" s="124"/>
      <c r="DHC25" s="124"/>
      <c r="DHM25" s="124"/>
      <c r="DKR25" s="124"/>
      <c r="DKU25" s="124"/>
      <c r="DKX25" s="124"/>
      <c r="DLE25" s="124"/>
      <c r="DLK25" s="124"/>
      <c r="DMQ25" s="124"/>
      <c r="DRC25" s="124"/>
      <c r="DSB25" s="124"/>
      <c r="ECX25" s="124"/>
    </row>
    <row r="26" ht="15" customHeight="1" spans="1:3482">
      <c r="A26" s="34">
        <v>15</v>
      </c>
      <c r="B26" s="35" t="s">
        <v>88</v>
      </c>
      <c r="C26" s="39" t="s">
        <v>89</v>
      </c>
      <c r="D26" s="38" t="s">
        <v>90</v>
      </c>
      <c r="E26" s="49">
        <v>1.33</v>
      </c>
      <c r="F26" s="50" t="s">
        <v>82</v>
      </c>
      <c r="G26" s="51"/>
      <c r="H26" s="52">
        <v>0.1</v>
      </c>
      <c r="I26" s="52"/>
      <c r="J26" s="59" t="s">
        <v>61</v>
      </c>
      <c r="K26" s="60" t="s">
        <v>62</v>
      </c>
      <c r="L26" s="61">
        <f t="shared" ref="L26" si="28">IF(AND(G26="",H26=""),"",IF(G26="",H26,G26+H26))</f>
        <v>0.1</v>
      </c>
      <c r="M26" s="70" t="str">
        <f t="shared" ref="M26" si="29">IF(AND(G26="",I26=""),"",IF(G26="",I26,G26+I26))</f>
        <v/>
      </c>
      <c r="N26" s="68"/>
      <c r="O26" s="69">
        <f t="shared" si="11"/>
        <v>0.00632</v>
      </c>
      <c r="P26" s="69">
        <f t="shared" si="12"/>
        <v>0.00066</v>
      </c>
      <c r="Q26" s="69">
        <f t="shared" si="13"/>
        <v>0.0025028125</v>
      </c>
      <c r="R26" s="79">
        <f t="shared" si="14"/>
        <v>0.00128661404688631</v>
      </c>
      <c r="S26" s="80">
        <f t="shared" ref="S26" si="30">IF(OR($AK26="",ISNUMBER($AK26)=FALSE),"",IF(AND(G26=0,I26=0),V26,IF(AND(G26="",H26=""),W26,(H26+ABS(I26))/(6*R26))))</f>
        <v>25.259371742948</v>
      </c>
      <c r="T26" s="81">
        <f t="shared" si="16"/>
        <v>0.025028125</v>
      </c>
      <c r="U26" s="81" t="str">
        <f t="shared" si="17"/>
        <v>Level A</v>
      </c>
      <c r="V26" s="80">
        <f t="shared" ref="V26" si="31">IF(OR($AK26="",ISNUMBER($AK26)=FALSE),"",IF(H26="","",(L26-Q26)/(3*R26)))</f>
        <v>25.259371742948</v>
      </c>
      <c r="W26" s="80" t="str">
        <f t="shared" ref="W26" si="32">IF(OR($AK26="",ISNUMBER($AK26)=FALSE),"",IF(I26="","",(Q26-M26)/(3*R26)))</f>
        <v/>
      </c>
      <c r="X26" s="80">
        <f t="shared" ref="X26" si="33">IF(OR($AK26="",ISNUMBER($AK26)=FALSE),"",IF(AND(G26=0,I26=0),((H26)-(Q26))/(3*R26),MIN(V26:W26)))</f>
        <v>25.259371742948</v>
      </c>
      <c r="Y26" s="87">
        <f t="shared" ref="Y26" si="34">IF(OR($AK26="",ISNUMBER($AK26)=FALSE),"",IF(AND(G26=0,I26=0),NORMSDIST(3*X26),NORMSDIST(3*X26)+NORMSDIST(6*S26-3*X26)-1))</f>
        <v>1</v>
      </c>
      <c r="Z26" s="88" t="str">
        <f t="shared" si="20"/>
        <v/>
      </c>
      <c r="AA26" s="88" t="str">
        <f t="shared" si="21"/>
        <v/>
      </c>
      <c r="AB26" s="88" t="str">
        <f t="shared" ref="AB26" si="35">IF(OR(G26="",Q26=""),"",(L26+M26)/2-Q26)</f>
        <v/>
      </c>
      <c r="AC26" s="88" t="str">
        <f t="shared" si="8"/>
        <v/>
      </c>
      <c r="AD26" s="95"/>
      <c r="AE26" s="96" t="str">
        <f t="shared" si="23"/>
        <v/>
      </c>
      <c r="AF26" s="97"/>
      <c r="AG26" s="104"/>
      <c r="AH26" s="104"/>
      <c r="AI26" s="105"/>
      <c r="AJ26" s="106"/>
      <c r="AK26" s="113">
        <v>0.00313</v>
      </c>
      <c r="AL26" s="113">
        <v>0.00133</v>
      </c>
      <c r="AM26" s="113">
        <v>0.00145</v>
      </c>
      <c r="AN26" s="113">
        <v>0.00274</v>
      </c>
      <c r="AO26" s="113">
        <v>0.0037</v>
      </c>
      <c r="AP26" s="113">
        <v>0.0038</v>
      </c>
      <c r="AQ26" s="113">
        <v>0.00218</v>
      </c>
      <c r="AR26" s="113">
        <v>0.00381</v>
      </c>
      <c r="AS26" s="113">
        <v>0.00113</v>
      </c>
      <c r="AT26" s="113">
        <v>0.00216</v>
      </c>
      <c r="AU26" s="113">
        <v>0.00238</v>
      </c>
      <c r="AV26" s="113">
        <v>0.00195</v>
      </c>
      <c r="AW26" s="113">
        <v>0.00066</v>
      </c>
      <c r="AX26" s="113">
        <v>0.00277</v>
      </c>
      <c r="AY26" s="113">
        <v>0.00099</v>
      </c>
      <c r="AZ26" s="113">
        <v>0.00298</v>
      </c>
      <c r="BA26" s="113">
        <v>0.00419</v>
      </c>
      <c r="BB26" s="113">
        <v>0.00116</v>
      </c>
      <c r="BC26" s="113">
        <v>0.00325</v>
      </c>
      <c r="BD26" s="113">
        <v>0.00144</v>
      </c>
      <c r="BE26" s="113">
        <v>0.00209</v>
      </c>
      <c r="BF26" s="113">
        <v>0.00125</v>
      </c>
      <c r="BG26" s="113">
        <v>0.00215</v>
      </c>
      <c r="BH26" s="113">
        <v>0.00632</v>
      </c>
      <c r="BI26" s="113">
        <v>0.00502</v>
      </c>
      <c r="BJ26" s="113">
        <v>0.00309</v>
      </c>
      <c r="BK26" s="113">
        <v>0.00116</v>
      </c>
      <c r="BL26" s="113">
        <v>0.00357</v>
      </c>
      <c r="BM26" s="113">
        <v>0.00146</v>
      </c>
      <c r="BN26" s="113">
        <v>0.00134</v>
      </c>
      <c r="BO26" s="113">
        <v>0.00239</v>
      </c>
      <c r="BP26" s="113">
        <v>0.00305</v>
      </c>
      <c r="BQ26" s="120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FB26" s="124"/>
      <c r="LF26" s="124"/>
      <c r="LG26" s="124"/>
      <c r="MX26" s="124"/>
      <c r="RV26" s="124"/>
      <c r="YU26" s="124"/>
      <c r="ZY26" s="124"/>
      <c r="ACU26" s="124"/>
      <c r="ADR26" s="124"/>
      <c r="ALR26" s="124"/>
      <c r="ANN26" s="124"/>
      <c r="ANY26" s="124"/>
      <c r="AWW26" s="124"/>
      <c r="BFB26" s="124"/>
      <c r="BIH26" s="124"/>
      <c r="BVH26" s="124"/>
      <c r="BXM26" s="124"/>
      <c r="CCV26" s="124"/>
      <c r="CJM26" s="124"/>
      <c r="CKS26" s="124"/>
      <c r="CNP26" s="124"/>
      <c r="COP26" s="124"/>
      <c r="CQJ26" s="124"/>
      <c r="CUA26" s="124"/>
      <c r="DBL26" s="124"/>
      <c r="DDZ26" s="124"/>
      <c r="DHC26" s="124"/>
      <c r="DKR26" s="124"/>
      <c r="DKS26" s="124"/>
      <c r="DKU26" s="124"/>
      <c r="DKX26" s="124"/>
      <c r="DLE26" s="124"/>
      <c r="DLK26" s="124"/>
      <c r="DOX26" s="124"/>
      <c r="DRC26" s="124"/>
      <c r="DSB26" s="124"/>
      <c r="ECX26" s="124"/>
    </row>
    <row r="27" ht="15" customHeight="1" spans="1:3482">
      <c r="A27" s="34">
        <v>17</v>
      </c>
      <c r="B27" s="35" t="s">
        <v>91</v>
      </c>
      <c r="C27" s="39" t="s">
        <v>92</v>
      </c>
      <c r="D27" s="38" t="s">
        <v>81</v>
      </c>
      <c r="E27" s="49">
        <v>1.33</v>
      </c>
      <c r="F27" s="50" t="s">
        <v>82</v>
      </c>
      <c r="G27" s="51"/>
      <c r="H27" s="52">
        <v>0.15</v>
      </c>
      <c r="I27" s="52"/>
      <c r="J27" s="59" t="s">
        <v>61</v>
      </c>
      <c r="K27" s="60" t="s">
        <v>62</v>
      </c>
      <c r="L27" s="61">
        <f t="shared" si="9"/>
        <v>0.15</v>
      </c>
      <c r="M27" s="70" t="str">
        <f t="shared" si="10"/>
        <v/>
      </c>
      <c r="N27" s="71"/>
      <c r="O27" s="69">
        <f t="shared" si="11"/>
        <v>0.09303</v>
      </c>
      <c r="P27" s="69">
        <f t="shared" si="12"/>
        <v>0.01551</v>
      </c>
      <c r="Q27" s="69">
        <f t="shared" si="13"/>
        <v>0.050634375</v>
      </c>
      <c r="R27" s="79">
        <f t="shared" si="14"/>
        <v>0.0227959397824375</v>
      </c>
      <c r="S27" s="80">
        <f t="shared" si="25"/>
        <v>1.45297256073285</v>
      </c>
      <c r="T27" s="81">
        <f t="shared" si="16"/>
        <v>0.3375625</v>
      </c>
      <c r="U27" s="81" t="str">
        <f t="shared" si="17"/>
        <v>Level C</v>
      </c>
      <c r="V27" s="80">
        <f t="shared" si="26"/>
        <v>1.45297256073285</v>
      </c>
      <c r="W27" s="80" t="str">
        <f t="shared" si="5"/>
        <v/>
      </c>
      <c r="X27" s="80">
        <f t="shared" si="27"/>
        <v>1.45297256073285</v>
      </c>
      <c r="Y27" s="87">
        <f t="shared" si="24"/>
        <v>0.999993464636859</v>
      </c>
      <c r="Z27" s="88" t="str">
        <f t="shared" si="20"/>
        <v/>
      </c>
      <c r="AA27" s="88" t="str">
        <f t="shared" si="21"/>
        <v/>
      </c>
      <c r="AB27" s="88" t="str">
        <f t="shared" si="22"/>
        <v/>
      </c>
      <c r="AC27" s="88">
        <f t="shared" si="8"/>
        <v>0.205163458041937</v>
      </c>
      <c r="AD27" s="95"/>
      <c r="AE27" s="96" t="str">
        <f t="shared" si="23"/>
        <v/>
      </c>
      <c r="AF27" s="97"/>
      <c r="AG27" s="104"/>
      <c r="AH27" s="104"/>
      <c r="AI27" s="105"/>
      <c r="AJ27" s="107"/>
      <c r="AK27" s="113">
        <v>0.01551</v>
      </c>
      <c r="AL27" s="113">
        <v>0.09268</v>
      </c>
      <c r="AM27" s="113">
        <v>0.03215</v>
      </c>
      <c r="AN27" s="113">
        <v>0.03779</v>
      </c>
      <c r="AO27" s="113">
        <v>0.02887</v>
      </c>
      <c r="AP27" s="113">
        <v>0.07789</v>
      </c>
      <c r="AQ27" s="113">
        <v>0.03209</v>
      </c>
      <c r="AR27" s="113">
        <v>0.04065</v>
      </c>
      <c r="AS27" s="113">
        <v>0.08075</v>
      </c>
      <c r="AT27" s="113">
        <v>0.05825</v>
      </c>
      <c r="AU27" s="113">
        <v>0.04679</v>
      </c>
      <c r="AV27" s="113">
        <v>0.07066</v>
      </c>
      <c r="AW27" s="113">
        <v>0.08583</v>
      </c>
      <c r="AX27" s="113">
        <v>0.0443</v>
      </c>
      <c r="AY27" s="113">
        <v>0.04185</v>
      </c>
      <c r="AZ27" s="113">
        <v>0.0199</v>
      </c>
      <c r="BA27" s="113">
        <v>0.06311</v>
      </c>
      <c r="BB27" s="113">
        <v>0.09303</v>
      </c>
      <c r="BC27" s="113">
        <v>0.03412</v>
      </c>
      <c r="BD27" s="113">
        <v>0.04118</v>
      </c>
      <c r="BE27" s="113">
        <v>0.03318</v>
      </c>
      <c r="BF27" s="113">
        <v>0.02906</v>
      </c>
      <c r="BG27" s="113">
        <v>0.05843</v>
      </c>
      <c r="BH27" s="113">
        <v>0.04199</v>
      </c>
      <c r="BI27" s="113">
        <v>0.07631</v>
      </c>
      <c r="BJ27" s="113">
        <v>0.08582</v>
      </c>
      <c r="BK27" s="113">
        <v>0.03067</v>
      </c>
      <c r="BL27" s="113">
        <v>0.07805</v>
      </c>
      <c r="BM27" s="113">
        <v>0.04018</v>
      </c>
      <c r="BN27" s="113">
        <v>0.03698</v>
      </c>
      <c r="BO27" s="113">
        <v>0.04782</v>
      </c>
      <c r="BP27" s="113">
        <v>0.02441</v>
      </c>
      <c r="BQ27" s="120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FB27" s="124"/>
      <c r="JU27" s="124"/>
      <c r="LG27" s="124"/>
      <c r="MX27" s="124"/>
      <c r="TC27" s="124"/>
      <c r="YU27" s="124"/>
      <c r="AAB27" s="124"/>
      <c r="ACU27" s="124"/>
      <c r="ADR27" s="124"/>
      <c r="ALR27" s="124"/>
      <c r="ANN27" s="124"/>
      <c r="ANY27" s="124"/>
      <c r="BFB27" s="124"/>
      <c r="BIH27" s="124"/>
      <c r="BUM27" s="124"/>
      <c r="BVH27" s="124"/>
      <c r="BXM27" s="124"/>
      <c r="CAP27" s="124"/>
      <c r="CCV27" s="124"/>
      <c r="CJM27" s="124"/>
      <c r="CJY27" s="124"/>
      <c r="CKS27" s="124"/>
      <c r="COP27" s="124"/>
      <c r="CQJ27" s="124"/>
      <c r="CUA27" s="124"/>
      <c r="DBL27" s="124"/>
      <c r="DDZ27" s="124"/>
      <c r="DHC27" s="124"/>
      <c r="DKR27" s="124"/>
      <c r="DKU27" s="124"/>
      <c r="DLK27" s="124"/>
      <c r="DRC27" s="124"/>
      <c r="DSB27" s="124"/>
      <c r="ECX27" s="124"/>
    </row>
    <row r="28" ht="15" customHeight="1" spans="1:3482">
      <c r="A28" s="34">
        <v>18</v>
      </c>
      <c r="B28" s="35"/>
      <c r="C28" s="39"/>
      <c r="D28" s="36" t="s">
        <v>83</v>
      </c>
      <c r="E28" s="49"/>
      <c r="F28" s="50" t="s">
        <v>60</v>
      </c>
      <c r="G28" s="51">
        <v>0</v>
      </c>
      <c r="H28" s="52">
        <v>0.075</v>
      </c>
      <c r="I28" s="52">
        <v>-0.075</v>
      </c>
      <c r="J28" s="59" t="s">
        <v>61</v>
      </c>
      <c r="K28" s="60" t="s">
        <v>62</v>
      </c>
      <c r="L28" s="61">
        <f t="shared" si="9"/>
        <v>0.075</v>
      </c>
      <c r="M28" s="70">
        <f t="shared" si="10"/>
        <v>-0.075</v>
      </c>
      <c r="N28" s="71"/>
      <c r="O28" s="69">
        <f t="shared" si="11"/>
        <v>0.04651</v>
      </c>
      <c r="P28" s="69">
        <f t="shared" si="12"/>
        <v>-0.01926</v>
      </c>
      <c r="Q28" s="69">
        <f t="shared" si="13"/>
        <v>0.012938125</v>
      </c>
      <c r="R28" s="79">
        <f t="shared" si="14"/>
        <v>0.0212167080292107</v>
      </c>
      <c r="S28" s="80">
        <f t="shared" si="25"/>
        <v>1.17831663449299</v>
      </c>
      <c r="T28" s="81">
        <f t="shared" si="16"/>
        <v>0.172508333333333</v>
      </c>
      <c r="U28" s="81" t="str">
        <f t="shared" si="17"/>
        <v>Level B</v>
      </c>
      <c r="V28" s="80">
        <f t="shared" si="26"/>
        <v>0.975047195737663</v>
      </c>
      <c r="W28" s="80">
        <f t="shared" si="5"/>
        <v>1.38158607324832</v>
      </c>
      <c r="X28" s="80">
        <f t="shared" si="27"/>
        <v>0.975047195737663</v>
      </c>
      <c r="Y28" s="87">
        <f t="shared" si="24"/>
        <v>0.99826149371673</v>
      </c>
      <c r="Z28" s="88" t="str">
        <f t="shared" si="20"/>
        <v/>
      </c>
      <c r="AA28" s="88" t="str">
        <f t="shared" si="21"/>
        <v/>
      </c>
      <c r="AB28" s="88">
        <f t="shared" si="22"/>
        <v>-0.012938125</v>
      </c>
      <c r="AC28" s="88">
        <f t="shared" si="8"/>
        <v>0.190950372262896</v>
      </c>
      <c r="AD28" s="95"/>
      <c r="AE28" s="96" t="str">
        <f t="shared" si="23"/>
        <v/>
      </c>
      <c r="AF28" s="97"/>
      <c r="AG28" s="104"/>
      <c r="AH28" s="104"/>
      <c r="AI28" s="105"/>
      <c r="AJ28" s="107"/>
      <c r="AK28" s="113">
        <v>-0.00775</v>
      </c>
      <c r="AL28" s="113">
        <v>0.04634</v>
      </c>
      <c r="AM28" s="113">
        <v>-0.01288</v>
      </c>
      <c r="AN28" s="113">
        <v>0.00346</v>
      </c>
      <c r="AO28" s="113">
        <v>0.00832</v>
      </c>
      <c r="AP28" s="113">
        <v>0.03895</v>
      </c>
      <c r="AQ28" s="113">
        <v>0.0093</v>
      </c>
      <c r="AR28" s="113">
        <v>-0.00905</v>
      </c>
      <c r="AS28" s="113">
        <v>0.04037</v>
      </c>
      <c r="AT28" s="113">
        <v>-0.00937</v>
      </c>
      <c r="AU28" s="113">
        <v>0.01994</v>
      </c>
      <c r="AV28" s="113">
        <v>0.03533</v>
      </c>
      <c r="AW28" s="113">
        <v>0.0427</v>
      </c>
      <c r="AX28" s="113">
        <v>0.02215</v>
      </c>
      <c r="AY28" s="113">
        <v>0.01327</v>
      </c>
      <c r="AZ28" s="113">
        <v>0.00527</v>
      </c>
      <c r="BA28" s="113">
        <v>0.02997</v>
      </c>
      <c r="BB28" s="113">
        <v>0.04651</v>
      </c>
      <c r="BC28" s="113">
        <v>0.01706</v>
      </c>
      <c r="BD28" s="113">
        <v>-0.01926</v>
      </c>
      <c r="BE28" s="113">
        <v>0.01578</v>
      </c>
      <c r="BF28" s="113">
        <v>0.0114</v>
      </c>
      <c r="BG28" s="113">
        <v>0.02792</v>
      </c>
      <c r="BH28" s="113">
        <v>-0.01799</v>
      </c>
      <c r="BI28" s="113">
        <v>-0.0153</v>
      </c>
      <c r="BJ28" s="113">
        <v>0.04272</v>
      </c>
      <c r="BK28" s="113">
        <v>0.01263</v>
      </c>
      <c r="BL28" s="113">
        <v>0.03902</v>
      </c>
      <c r="BM28" s="113">
        <v>0.00276</v>
      </c>
      <c r="BN28" s="113">
        <v>-0.01729</v>
      </c>
      <c r="BO28" s="113">
        <v>-0.00296</v>
      </c>
      <c r="BP28" s="113">
        <v>-0.0053</v>
      </c>
      <c r="BQ28" s="120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  <c r="CV28" s="121"/>
      <c r="CW28" s="121"/>
      <c r="CX28" s="121"/>
      <c r="CY28" s="121"/>
      <c r="CZ28" s="121"/>
      <c r="DA28" s="121"/>
      <c r="DB28" s="121"/>
      <c r="DC28" s="121"/>
      <c r="DD28" s="121"/>
      <c r="DE28" s="121"/>
      <c r="DF28" s="121"/>
      <c r="DG28" s="121"/>
      <c r="DH28" s="121"/>
      <c r="DI28" s="121"/>
      <c r="DJ28" s="121"/>
      <c r="DK28" s="121"/>
      <c r="DL28" s="121"/>
      <c r="DM28" s="121"/>
      <c r="DN28" s="121"/>
      <c r="DO28" s="121"/>
      <c r="DP28" s="121"/>
      <c r="DQ28" s="121"/>
      <c r="DR28" s="121"/>
      <c r="DS28" s="121"/>
      <c r="DT28" s="121"/>
      <c r="DU28" s="121"/>
      <c r="DV28" s="121"/>
      <c r="DW28" s="121"/>
      <c r="DX28" s="121"/>
      <c r="DY28" s="121"/>
      <c r="DZ28" s="121"/>
      <c r="EA28" s="121"/>
      <c r="EB28" s="121"/>
      <c r="EC28" s="121"/>
      <c r="ED28" s="121"/>
      <c r="EE28" s="121"/>
      <c r="EF28" s="121"/>
      <c r="FB28" s="124"/>
      <c r="JU28" s="124"/>
      <c r="LG28" s="124"/>
      <c r="MX28" s="124"/>
      <c r="YU28" s="124"/>
      <c r="AAB28" s="124"/>
      <c r="ACU28" s="124"/>
      <c r="ADR28" s="124"/>
      <c r="ALK28" s="124"/>
      <c r="ALR28" s="124"/>
      <c r="ANN28" s="124"/>
      <c r="ANY28" s="124"/>
      <c r="ASB28" s="124"/>
      <c r="BFB28" s="124"/>
      <c r="BIH28" s="124"/>
      <c r="BVH28" s="124"/>
      <c r="BXM28" s="124"/>
      <c r="CBD28" s="124"/>
      <c r="CCV28" s="124"/>
      <c r="CJM28" s="124"/>
      <c r="COP28" s="124"/>
      <c r="CQJ28" s="124"/>
      <c r="CUA28" s="124"/>
      <c r="DBL28" s="124"/>
      <c r="DHC28" s="124"/>
      <c r="DKR28" s="124"/>
      <c r="DKU28" s="124"/>
      <c r="DLK28" s="124"/>
      <c r="DRC28" s="124"/>
      <c r="DSB28" s="124"/>
      <c r="DTS28" s="124"/>
      <c r="ECX28" s="124"/>
    </row>
    <row r="29" ht="15" customHeight="1" spans="1:3285">
      <c r="A29" s="34">
        <v>19</v>
      </c>
      <c r="B29" s="35"/>
      <c r="C29" s="39"/>
      <c r="D29" s="36" t="s">
        <v>84</v>
      </c>
      <c r="E29" s="49"/>
      <c r="F29" s="50" t="s">
        <v>60</v>
      </c>
      <c r="G29" s="51">
        <v>0</v>
      </c>
      <c r="H29" s="52">
        <v>0.075</v>
      </c>
      <c r="I29" s="52">
        <v>-0.075</v>
      </c>
      <c r="J29" s="59" t="s">
        <v>61</v>
      </c>
      <c r="K29" s="60" t="s">
        <v>62</v>
      </c>
      <c r="L29" s="61">
        <f t="shared" si="9"/>
        <v>0.075</v>
      </c>
      <c r="M29" s="70">
        <f t="shared" si="10"/>
        <v>-0.075</v>
      </c>
      <c r="N29" s="71"/>
      <c r="O29" s="69">
        <f t="shared" si="11"/>
        <v>0.0448</v>
      </c>
      <c r="P29" s="69">
        <f t="shared" si="12"/>
        <v>-0.02023</v>
      </c>
      <c r="Q29" s="69">
        <f t="shared" si="13"/>
        <v>0.01253625</v>
      </c>
      <c r="R29" s="79">
        <f t="shared" si="14"/>
        <v>0.0202488994125447</v>
      </c>
      <c r="S29" s="80">
        <f t="shared" si="25"/>
        <v>1.23463500364429</v>
      </c>
      <c r="T29" s="81">
        <f t="shared" si="16"/>
        <v>0.16715</v>
      </c>
      <c r="U29" s="81" t="str">
        <f t="shared" si="17"/>
        <v>Level B</v>
      </c>
      <c r="V29" s="80">
        <f t="shared" si="26"/>
        <v>1.02826576278515</v>
      </c>
      <c r="W29" s="80">
        <f t="shared" si="5"/>
        <v>1.44100424450343</v>
      </c>
      <c r="X29" s="80">
        <f t="shared" si="27"/>
        <v>1.02826576278515</v>
      </c>
      <c r="Y29" s="87">
        <f t="shared" si="24"/>
        <v>0.9989738497102</v>
      </c>
      <c r="Z29" s="88" t="str">
        <f t="shared" si="20"/>
        <v/>
      </c>
      <c r="AA29" s="88" t="str">
        <f t="shared" si="21"/>
        <v/>
      </c>
      <c r="AB29" s="88">
        <f t="shared" si="22"/>
        <v>-0.01253625</v>
      </c>
      <c r="AC29" s="88">
        <f t="shared" si="8"/>
        <v>0.182240094712903</v>
      </c>
      <c r="AD29" s="95"/>
      <c r="AE29" s="96" t="str">
        <f t="shared" si="23"/>
        <v/>
      </c>
      <c r="AF29" s="97"/>
      <c r="AG29" s="104"/>
      <c r="AH29" s="104"/>
      <c r="AI29" s="105"/>
      <c r="AJ29" s="107"/>
      <c r="AK29" s="113">
        <v>-0.00711</v>
      </c>
      <c r="AL29" s="113">
        <v>0.0448</v>
      </c>
      <c r="AM29" s="113">
        <v>-0.01253</v>
      </c>
      <c r="AN29" s="113">
        <v>0.0031</v>
      </c>
      <c r="AO29" s="113">
        <v>0.00829</v>
      </c>
      <c r="AP29" s="113">
        <v>0.03746</v>
      </c>
      <c r="AQ29" s="113">
        <v>0.00952</v>
      </c>
      <c r="AR29" s="113">
        <v>-0.00894</v>
      </c>
      <c r="AS29" s="113">
        <v>0.03785</v>
      </c>
      <c r="AT29" s="113">
        <v>-0.00728</v>
      </c>
      <c r="AU29" s="113">
        <v>0.02103</v>
      </c>
      <c r="AV29" s="113">
        <v>0.03332</v>
      </c>
      <c r="AW29" s="113">
        <v>0.04254</v>
      </c>
      <c r="AX29" s="113">
        <v>0.02009</v>
      </c>
      <c r="AY29" s="113">
        <v>0.01425</v>
      </c>
      <c r="AZ29" s="113">
        <v>0.00361</v>
      </c>
      <c r="BA29" s="113">
        <v>0.02941</v>
      </c>
      <c r="BB29" s="113">
        <v>0.04408</v>
      </c>
      <c r="BC29" s="113">
        <v>0.0163</v>
      </c>
      <c r="BD29" s="113">
        <v>-0.02023</v>
      </c>
      <c r="BE29" s="113">
        <v>0.01396</v>
      </c>
      <c r="BF29" s="113">
        <v>0.00993</v>
      </c>
      <c r="BG29" s="113">
        <v>0.02719</v>
      </c>
      <c r="BH29" s="113">
        <v>-0.01686</v>
      </c>
      <c r="BI29" s="113">
        <v>-0.01441</v>
      </c>
      <c r="BJ29" s="113">
        <v>0.04013</v>
      </c>
      <c r="BK29" s="113">
        <v>0.01195</v>
      </c>
      <c r="BL29" s="113">
        <v>0.03668</v>
      </c>
      <c r="BM29" s="113">
        <v>0.00383</v>
      </c>
      <c r="BN29" s="113">
        <v>-0.0166</v>
      </c>
      <c r="BO29" s="113">
        <v>-0.00231</v>
      </c>
      <c r="BP29" s="113">
        <v>-0.00189</v>
      </c>
      <c r="BQ29" s="120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  <c r="CV29" s="121"/>
      <c r="CW29" s="121"/>
      <c r="CX29" s="123"/>
      <c r="CY29" s="121"/>
      <c r="CZ29" s="121"/>
      <c r="DA29" s="121"/>
      <c r="DB29" s="121"/>
      <c r="DC29" s="121"/>
      <c r="DD29" s="121"/>
      <c r="DE29" s="121"/>
      <c r="DF29" s="121"/>
      <c r="DG29" s="121"/>
      <c r="DH29" s="121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1"/>
      <c r="DT29" s="121"/>
      <c r="DU29" s="121"/>
      <c r="DV29" s="121"/>
      <c r="DW29" s="121"/>
      <c r="DX29" s="121"/>
      <c r="DY29" s="121"/>
      <c r="DZ29" s="121"/>
      <c r="EA29" s="121"/>
      <c r="EB29" s="121"/>
      <c r="EC29" s="121"/>
      <c r="ED29" s="121"/>
      <c r="EE29" s="121"/>
      <c r="EF29" s="121"/>
      <c r="EG29" s="124"/>
      <c r="HE29" s="124"/>
      <c r="IY29" s="124"/>
      <c r="SG29" s="124"/>
      <c r="SM29" s="124"/>
      <c r="XR29" s="124"/>
      <c r="ZI29" s="124"/>
      <c r="ZN29" s="124"/>
      <c r="ABY29" s="124"/>
      <c r="AFZ29" s="124"/>
      <c r="AGC29" s="124"/>
      <c r="AIN29" s="124"/>
      <c r="AIX29" s="124"/>
      <c r="AJG29" s="124"/>
      <c r="AJN29" s="124"/>
      <c r="AKA29" s="124"/>
      <c r="AKL29" s="124"/>
      <c r="AKU29" s="124"/>
      <c r="ALN29" s="124"/>
      <c r="AQZ29" s="124"/>
      <c r="ARN29" s="124"/>
      <c r="ASZ29" s="124"/>
      <c r="BXF29" s="124"/>
      <c r="DPT29" s="124"/>
      <c r="DVI29" s="124"/>
    </row>
    <row r="30" ht="15" customHeight="1" spans="1:3345">
      <c r="A30" s="34">
        <v>20</v>
      </c>
      <c r="B30" s="35"/>
      <c r="C30" s="39"/>
      <c r="D30" s="36" t="s">
        <v>85</v>
      </c>
      <c r="E30" s="49"/>
      <c r="F30" s="50" t="s">
        <v>60</v>
      </c>
      <c r="G30" s="51">
        <v>0</v>
      </c>
      <c r="H30" s="52">
        <v>0.075</v>
      </c>
      <c r="I30" s="52">
        <v>-0.075</v>
      </c>
      <c r="J30" s="59" t="s">
        <v>61</v>
      </c>
      <c r="K30" s="60" t="s">
        <v>62</v>
      </c>
      <c r="L30" s="61">
        <f t="shared" si="9"/>
        <v>0.075</v>
      </c>
      <c r="M30" s="70">
        <f t="shared" si="10"/>
        <v>-0.075</v>
      </c>
      <c r="N30" s="71"/>
      <c r="O30" s="69">
        <f t="shared" si="11"/>
        <v>0.04541</v>
      </c>
      <c r="P30" s="69">
        <f t="shared" si="12"/>
        <v>-0.02059</v>
      </c>
      <c r="Q30" s="69">
        <f t="shared" si="13"/>
        <v>0.012846875</v>
      </c>
      <c r="R30" s="79">
        <f t="shared" si="14"/>
        <v>0.02042611349474</v>
      </c>
      <c r="S30" s="80">
        <f t="shared" si="25"/>
        <v>1.22392348433968</v>
      </c>
      <c r="T30" s="81">
        <f t="shared" si="16"/>
        <v>0.171291666666667</v>
      </c>
      <c r="U30" s="81" t="str">
        <f t="shared" si="17"/>
        <v>Level B</v>
      </c>
      <c r="V30" s="80">
        <f t="shared" si="26"/>
        <v>1.01427559083466</v>
      </c>
      <c r="W30" s="80">
        <f t="shared" si="5"/>
        <v>1.4335713778447</v>
      </c>
      <c r="X30" s="80">
        <f t="shared" si="27"/>
        <v>1.01427559083466</v>
      </c>
      <c r="Y30" s="87">
        <f t="shared" si="24"/>
        <v>0.998819651547565</v>
      </c>
      <c r="Z30" s="88" t="str">
        <f t="shared" si="20"/>
        <v/>
      </c>
      <c r="AA30" s="88" t="str">
        <f t="shared" si="21"/>
        <v/>
      </c>
      <c r="AB30" s="88">
        <f t="shared" si="22"/>
        <v>-0.012846875</v>
      </c>
      <c r="AC30" s="88">
        <f t="shared" si="8"/>
        <v>0.18383502145266</v>
      </c>
      <c r="AD30" s="95"/>
      <c r="AE30" s="96" t="str">
        <f t="shared" si="23"/>
        <v/>
      </c>
      <c r="AF30" s="97"/>
      <c r="AG30" s="104"/>
      <c r="AH30" s="104"/>
      <c r="AI30" s="105"/>
      <c r="AJ30" s="107"/>
      <c r="AK30" s="113">
        <v>-0.00689</v>
      </c>
      <c r="AL30" s="113">
        <v>0.04256</v>
      </c>
      <c r="AM30" s="113">
        <v>-0.01125</v>
      </c>
      <c r="AN30" s="113">
        <v>0.00362</v>
      </c>
      <c r="AO30" s="113">
        <v>0.00622</v>
      </c>
      <c r="AP30" s="113">
        <v>0.03528</v>
      </c>
      <c r="AQ30" s="113">
        <v>0.01188</v>
      </c>
      <c r="AR30" s="113">
        <v>-0.00957</v>
      </c>
      <c r="AS30" s="113">
        <v>0.0363</v>
      </c>
      <c r="AT30" s="113">
        <v>-0.00773</v>
      </c>
      <c r="AU30" s="113">
        <v>0.0234</v>
      </c>
      <c r="AV30" s="113">
        <v>0.03502</v>
      </c>
      <c r="AW30" s="113">
        <v>0.04291</v>
      </c>
      <c r="AX30" s="113">
        <v>0.02131</v>
      </c>
      <c r="AY30" s="113">
        <v>0.01415</v>
      </c>
      <c r="AZ30" s="113">
        <v>-0.00046</v>
      </c>
      <c r="BA30" s="113">
        <v>0.03092</v>
      </c>
      <c r="BB30" s="113">
        <v>0.04541</v>
      </c>
      <c r="BC30" s="113">
        <v>0.01572</v>
      </c>
      <c r="BD30" s="113">
        <v>-0.02059</v>
      </c>
      <c r="BE30" s="113">
        <v>0.01659</v>
      </c>
      <c r="BF30" s="113">
        <v>0.01078</v>
      </c>
      <c r="BG30" s="113">
        <v>0.02922</v>
      </c>
      <c r="BH30" s="113">
        <v>-0.01776</v>
      </c>
      <c r="BI30" s="113">
        <v>-0.0129</v>
      </c>
      <c r="BJ30" s="113">
        <v>0.04164</v>
      </c>
      <c r="BK30" s="113">
        <v>0.01083</v>
      </c>
      <c r="BL30" s="113">
        <v>0.0376</v>
      </c>
      <c r="BM30" s="113">
        <v>0.00552</v>
      </c>
      <c r="BN30" s="114">
        <v>-0.01849</v>
      </c>
      <c r="BO30" s="113">
        <v>-1e-5</v>
      </c>
      <c r="BP30" s="113">
        <v>-0.00013</v>
      </c>
      <c r="BQ30" s="120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  <c r="CV30" s="121"/>
      <c r="CW30" s="121"/>
      <c r="CX30" s="121"/>
      <c r="CY30" s="121"/>
      <c r="CZ30" s="123"/>
      <c r="DA30" s="121"/>
      <c r="DB30" s="121"/>
      <c r="DC30" s="121"/>
      <c r="DD30" s="121"/>
      <c r="DE30" s="121"/>
      <c r="DF30" s="121"/>
      <c r="DG30" s="121"/>
      <c r="DH30" s="121"/>
      <c r="DI30" s="121"/>
      <c r="DJ30" s="121"/>
      <c r="DK30" s="121"/>
      <c r="DL30" s="121"/>
      <c r="DM30" s="121"/>
      <c r="DN30" s="121"/>
      <c r="DO30" s="121"/>
      <c r="DP30" s="121"/>
      <c r="DQ30" s="121"/>
      <c r="DR30" s="121"/>
      <c r="DS30" s="123"/>
      <c r="DT30" s="121"/>
      <c r="DU30" s="121"/>
      <c r="DV30" s="121"/>
      <c r="DW30" s="121"/>
      <c r="DX30" s="121"/>
      <c r="DY30" s="121"/>
      <c r="DZ30" s="121"/>
      <c r="EA30" s="121"/>
      <c r="EB30" s="121"/>
      <c r="EC30" s="121"/>
      <c r="ED30" s="121"/>
      <c r="EE30" s="121"/>
      <c r="EF30" s="121"/>
      <c r="ER30" s="124"/>
      <c r="KT30" s="124"/>
      <c r="WH30" s="124"/>
      <c r="XB30" s="124"/>
      <c r="AAB30" s="124"/>
      <c r="AAI30" s="124"/>
      <c r="AAR30" s="124"/>
      <c r="ABA30" s="124"/>
      <c r="ADR30" s="124"/>
      <c r="AEF30" s="124"/>
      <c r="AFH30" s="124"/>
      <c r="AGC30" s="124"/>
      <c r="AGI30" s="124"/>
      <c r="AJG30" s="124"/>
      <c r="AJQ30" s="124"/>
      <c r="AKC30" s="124"/>
      <c r="ANY30" s="124"/>
      <c r="AXB30" s="124"/>
      <c r="AXP30" s="124"/>
      <c r="BFW30" s="124"/>
      <c r="BLC30" s="124"/>
      <c r="BOD30" s="124"/>
      <c r="BSO30" s="124"/>
      <c r="CBC30" s="124"/>
      <c r="CBF30" s="124"/>
      <c r="CCI30" s="124"/>
      <c r="CGO30" s="124"/>
      <c r="CGZ30" s="124"/>
      <c r="DDF30" s="124"/>
      <c r="DFR30" s="124"/>
      <c r="DLE30" s="124"/>
      <c r="DOR30" s="124"/>
      <c r="DXQ30" s="124"/>
    </row>
    <row r="31" ht="15" customHeight="1" spans="1:3504">
      <c r="A31" s="34">
        <v>21</v>
      </c>
      <c r="B31" s="35"/>
      <c r="C31" s="39"/>
      <c r="D31" s="36" t="s">
        <v>86</v>
      </c>
      <c r="E31" s="49"/>
      <c r="F31" s="50" t="s">
        <v>60</v>
      </c>
      <c r="G31" s="51">
        <v>0</v>
      </c>
      <c r="H31" s="52">
        <v>0.075</v>
      </c>
      <c r="I31" s="52">
        <v>-0.075</v>
      </c>
      <c r="J31" s="59" t="s">
        <v>61</v>
      </c>
      <c r="K31" s="60" t="s">
        <v>62</v>
      </c>
      <c r="L31" s="61">
        <f t="shared" si="9"/>
        <v>0.075</v>
      </c>
      <c r="M31" s="70">
        <f t="shared" si="10"/>
        <v>-0.075</v>
      </c>
      <c r="N31" s="71"/>
      <c r="O31" s="69">
        <f t="shared" si="11"/>
        <v>0.04291</v>
      </c>
      <c r="P31" s="69">
        <f t="shared" si="12"/>
        <v>-0.03551</v>
      </c>
      <c r="Q31" s="69">
        <f t="shared" si="13"/>
        <v>0.0099734375</v>
      </c>
      <c r="R31" s="79">
        <f t="shared" si="14"/>
        <v>0.0219759257736476</v>
      </c>
      <c r="S31" s="80">
        <f t="shared" ref="S31:S69" si="36">IF(OR($AK31="",ISNUMBER($AK31)=FALSE),"",IF(AND(G31=0,I31=0),V31,IF(AND(G31="",H31=""),W31,(H31+ABS(I31))/(6*R31))))</f>
        <v>1.13760850202628</v>
      </c>
      <c r="T31" s="81">
        <f t="shared" si="16"/>
        <v>0.132979166666667</v>
      </c>
      <c r="U31" s="81" t="str">
        <f t="shared" si="17"/>
        <v>Level B</v>
      </c>
      <c r="V31" s="80">
        <f t="shared" ref="V31:V69" si="37">IF(OR($AK31="",ISNUMBER($AK31)=FALSE),"",IF(H31="","",(L31-Q31)/(3*R31)))</f>
        <v>0.98633027143391</v>
      </c>
      <c r="W31" s="80">
        <f t="shared" ref="W31:W69" si="38">IF(OR($AK31="",ISNUMBER($AK31)=FALSE),"",IF(I31="","",(Q31-M31)/(3*R31)))</f>
        <v>1.28888673261865</v>
      </c>
      <c r="X31" s="80">
        <f t="shared" si="27"/>
        <v>0.98633027143391</v>
      </c>
      <c r="Y31" s="87">
        <f t="shared" si="24"/>
        <v>0.99840159049557</v>
      </c>
      <c r="Z31" s="88" t="str">
        <f t="shared" si="20"/>
        <v/>
      </c>
      <c r="AA31" s="88" t="str">
        <f t="shared" si="21"/>
        <v/>
      </c>
      <c r="AB31" s="88">
        <f t="shared" si="22"/>
        <v>-0.0099734375</v>
      </c>
      <c r="AC31" s="88">
        <f t="shared" si="8"/>
        <v>0.197783331962829</v>
      </c>
      <c r="AD31" s="95"/>
      <c r="AE31" s="96" t="str">
        <f t="shared" si="23"/>
        <v/>
      </c>
      <c r="AF31" s="97"/>
      <c r="AG31" s="104"/>
      <c r="AH31" s="104"/>
      <c r="AI31" s="105"/>
      <c r="AJ31" s="107"/>
      <c r="AK31" s="113">
        <v>-0.00435</v>
      </c>
      <c r="AL31" s="113">
        <v>0.04042</v>
      </c>
      <c r="AM31" s="113">
        <v>-0.01392</v>
      </c>
      <c r="AN31" s="113">
        <v>-0.00961</v>
      </c>
      <c r="AO31" s="113">
        <v>0.01444</v>
      </c>
      <c r="AP31" s="113">
        <v>0.0252</v>
      </c>
      <c r="AQ31" s="113">
        <v>0.01604</v>
      </c>
      <c r="AR31" s="113">
        <v>-0.00968</v>
      </c>
      <c r="AS31" s="113">
        <v>0.03474</v>
      </c>
      <c r="AT31" s="113">
        <v>-0.02635</v>
      </c>
      <c r="AU31" s="113">
        <v>0.01506</v>
      </c>
      <c r="AV31" s="113">
        <v>0.03242</v>
      </c>
      <c r="AW31" s="113">
        <v>0.04049</v>
      </c>
      <c r="AX31" s="113">
        <v>0.01669</v>
      </c>
      <c r="AY31" s="113">
        <v>0.00821</v>
      </c>
      <c r="AZ31" s="113">
        <v>-0.00826</v>
      </c>
      <c r="BA31" s="113">
        <v>0.03155</v>
      </c>
      <c r="BB31" s="113">
        <v>0.04225</v>
      </c>
      <c r="BC31" s="113">
        <v>0.01438</v>
      </c>
      <c r="BD31" s="113">
        <v>-0.01737</v>
      </c>
      <c r="BE31" s="113">
        <v>0.00753</v>
      </c>
      <c r="BF31" s="113">
        <v>4e-5</v>
      </c>
      <c r="BG31" s="113">
        <v>0.0273</v>
      </c>
      <c r="BH31" s="113">
        <v>-0.01637</v>
      </c>
      <c r="BI31" s="113">
        <v>-0.03551</v>
      </c>
      <c r="BJ31" s="113">
        <v>0.04291</v>
      </c>
      <c r="BK31" s="113">
        <v>0.01533</v>
      </c>
      <c r="BL31" s="113">
        <v>0.03656</v>
      </c>
      <c r="BM31" s="113">
        <v>0.01705</v>
      </c>
      <c r="BN31" s="113">
        <v>-0.00079</v>
      </c>
      <c r="BO31" s="113">
        <v>-0.02118</v>
      </c>
      <c r="BP31" s="113">
        <v>0.00393</v>
      </c>
      <c r="BQ31" s="120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  <c r="DH31" s="121"/>
      <c r="DI31" s="121"/>
      <c r="DJ31" s="121"/>
      <c r="DK31" s="121"/>
      <c r="DL31" s="121"/>
      <c r="DM31" s="121"/>
      <c r="DN31" s="121"/>
      <c r="DO31" s="121"/>
      <c r="DP31" s="121"/>
      <c r="DQ31" s="121"/>
      <c r="DR31" s="121"/>
      <c r="DS31" s="121"/>
      <c r="DT31" s="121"/>
      <c r="DU31" s="121"/>
      <c r="DV31" s="121"/>
      <c r="DW31" s="121"/>
      <c r="DX31" s="121"/>
      <c r="DY31" s="123"/>
      <c r="DZ31" s="121"/>
      <c r="EA31" s="121"/>
      <c r="EB31" s="121"/>
      <c r="EC31" s="121"/>
      <c r="ED31" s="121"/>
      <c r="EE31" s="121"/>
      <c r="EF31" s="121"/>
      <c r="GN31" s="124"/>
      <c r="IS31" s="124"/>
      <c r="NX31" s="124"/>
      <c r="OC31" s="124"/>
      <c r="TR31" s="124"/>
      <c r="WQ31" s="124"/>
      <c r="YU31" s="124"/>
      <c r="ABI31" s="124"/>
      <c r="ACG31" s="124"/>
      <c r="ARR31" s="124"/>
      <c r="AWG31" s="124"/>
      <c r="BCL31" s="124"/>
      <c r="BJK31" s="124"/>
      <c r="BLP31" s="124"/>
      <c r="BSF31" s="124"/>
      <c r="BSY31" s="124"/>
      <c r="BWE31" s="124"/>
      <c r="CCU31" s="124"/>
      <c r="CEI31" s="124"/>
      <c r="CPS31" s="124"/>
      <c r="CRB31" s="124"/>
      <c r="CYG31" s="124"/>
      <c r="DCX31" s="124"/>
      <c r="DES31" s="124"/>
      <c r="DGT31" s="124"/>
      <c r="DJM31" s="124"/>
      <c r="DKC31" s="124"/>
      <c r="DKU31" s="124"/>
      <c r="DND31" s="124"/>
      <c r="DOT31" s="124"/>
      <c r="DVX31" s="124"/>
      <c r="DYJ31" s="124"/>
      <c r="EBD31" s="124"/>
      <c r="EDT31" s="124"/>
    </row>
    <row r="32" ht="15" customHeight="1" spans="1:3565">
      <c r="A32" s="34">
        <v>22</v>
      </c>
      <c r="B32" s="35"/>
      <c r="C32" s="39"/>
      <c r="D32" s="36" t="s">
        <v>87</v>
      </c>
      <c r="E32" s="49"/>
      <c r="F32" s="50" t="s">
        <v>60</v>
      </c>
      <c r="G32" s="51">
        <v>0</v>
      </c>
      <c r="H32" s="52">
        <v>0.075</v>
      </c>
      <c r="I32" s="52">
        <v>-0.075</v>
      </c>
      <c r="J32" s="59" t="s">
        <v>61</v>
      </c>
      <c r="K32" s="60" t="s">
        <v>62</v>
      </c>
      <c r="L32" s="61">
        <f t="shared" si="9"/>
        <v>0.075</v>
      </c>
      <c r="M32" s="70">
        <f t="shared" si="10"/>
        <v>-0.075</v>
      </c>
      <c r="N32" s="71"/>
      <c r="O32" s="69">
        <f t="shared" si="11"/>
        <v>0.04</v>
      </c>
      <c r="P32" s="69">
        <f t="shared" si="12"/>
        <v>-0.03816</v>
      </c>
      <c r="Q32" s="69">
        <f t="shared" si="13"/>
        <v>0.0070565625</v>
      </c>
      <c r="R32" s="79">
        <f t="shared" si="14"/>
        <v>0.0218043007905255</v>
      </c>
      <c r="S32" s="80">
        <f t="shared" si="36"/>
        <v>1.14656279236724</v>
      </c>
      <c r="T32" s="81">
        <f t="shared" si="16"/>
        <v>0.0940875</v>
      </c>
      <c r="U32" s="81" t="str">
        <f t="shared" si="17"/>
        <v>Level A</v>
      </c>
      <c r="V32" s="80">
        <f t="shared" si="37"/>
        <v>1.03868556564038</v>
      </c>
      <c r="W32" s="80">
        <f t="shared" si="38"/>
        <v>1.25444001909409</v>
      </c>
      <c r="X32" s="80">
        <f t="shared" si="27"/>
        <v>1.03868556564038</v>
      </c>
      <c r="Y32" s="87">
        <f t="shared" si="24"/>
        <v>0.998999728662091</v>
      </c>
      <c r="Z32" s="88" t="str">
        <f t="shared" si="20"/>
        <v/>
      </c>
      <c r="AA32" s="88" t="str">
        <f t="shared" si="21"/>
        <v/>
      </c>
      <c r="AB32" s="88">
        <f t="shared" si="22"/>
        <v>-0.0070565625</v>
      </c>
      <c r="AC32" s="88">
        <f t="shared" si="8"/>
        <v>0.196238707114729</v>
      </c>
      <c r="AD32" s="95"/>
      <c r="AE32" s="96" t="str">
        <f t="shared" si="23"/>
        <v/>
      </c>
      <c r="AF32" s="97"/>
      <c r="AG32" s="104"/>
      <c r="AH32" s="104"/>
      <c r="AI32" s="105"/>
      <c r="AJ32" s="107"/>
      <c r="AK32" s="113">
        <v>-0.00729</v>
      </c>
      <c r="AL32" s="113">
        <v>0.03633</v>
      </c>
      <c r="AM32" s="113">
        <v>-0.01608</v>
      </c>
      <c r="AN32" s="113">
        <v>-0.01221</v>
      </c>
      <c r="AO32" s="113">
        <v>0.01204</v>
      </c>
      <c r="AP32" s="114">
        <v>0.02304</v>
      </c>
      <c r="AQ32" s="113">
        <v>0.01368</v>
      </c>
      <c r="AR32" s="113">
        <v>-0.01229</v>
      </c>
      <c r="AS32" s="113">
        <v>0.03146</v>
      </c>
      <c r="AT32" s="114">
        <v>-0.02912</v>
      </c>
      <c r="AU32" s="113">
        <v>0.01197</v>
      </c>
      <c r="AV32" s="113">
        <v>0.02957</v>
      </c>
      <c r="AW32" s="113">
        <v>0.03724</v>
      </c>
      <c r="AX32" s="113">
        <v>0.01328</v>
      </c>
      <c r="AY32" s="113">
        <v>0.00621</v>
      </c>
      <c r="AZ32" s="113">
        <v>-0.00966</v>
      </c>
      <c r="BA32" s="113">
        <v>0.02807</v>
      </c>
      <c r="BB32" s="113">
        <v>0.03858</v>
      </c>
      <c r="BC32" s="113">
        <v>0.01276</v>
      </c>
      <c r="BD32" s="113">
        <v>-0.01996</v>
      </c>
      <c r="BE32" s="113">
        <v>0.00353</v>
      </c>
      <c r="BF32" s="113">
        <v>-0.00329</v>
      </c>
      <c r="BG32" s="113">
        <v>0.02313</v>
      </c>
      <c r="BH32" s="113">
        <v>-0.021</v>
      </c>
      <c r="BI32" s="113">
        <v>-0.03816</v>
      </c>
      <c r="BJ32" s="113">
        <v>0.04</v>
      </c>
      <c r="BK32" s="113">
        <v>0.01339</v>
      </c>
      <c r="BL32" s="113">
        <v>0.03413</v>
      </c>
      <c r="BM32" s="113">
        <v>0.01299</v>
      </c>
      <c r="BN32" s="113">
        <v>-0.00298</v>
      </c>
      <c r="BO32" s="113">
        <v>-0.02391</v>
      </c>
      <c r="BP32" s="113">
        <v>0.00036</v>
      </c>
      <c r="BQ32" s="120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3"/>
      <c r="CW32" s="121"/>
      <c r="CX32" s="121"/>
      <c r="CY32" s="121"/>
      <c r="CZ32" s="121"/>
      <c r="DA32" s="121"/>
      <c r="DB32" s="121"/>
      <c r="DC32" s="121"/>
      <c r="DD32" s="121"/>
      <c r="DE32" s="121"/>
      <c r="DF32" s="121"/>
      <c r="DG32" s="121"/>
      <c r="DH32" s="121"/>
      <c r="DI32" s="121"/>
      <c r="DJ32" s="121"/>
      <c r="DK32" s="121"/>
      <c r="DL32" s="121"/>
      <c r="DM32" s="121"/>
      <c r="DN32" s="121"/>
      <c r="DO32" s="121"/>
      <c r="DP32" s="121"/>
      <c r="DQ32" s="121"/>
      <c r="DR32" s="121"/>
      <c r="DS32" s="121"/>
      <c r="DT32" s="121"/>
      <c r="DU32" s="121"/>
      <c r="DV32" s="121"/>
      <c r="DW32" s="121"/>
      <c r="DX32" s="121"/>
      <c r="DY32" s="123"/>
      <c r="DZ32" s="121"/>
      <c r="EA32" s="121"/>
      <c r="EB32" s="121"/>
      <c r="EC32" s="121"/>
      <c r="ED32" s="121"/>
      <c r="EE32" s="121"/>
      <c r="EF32" s="121"/>
      <c r="HI32" s="124"/>
      <c r="SH32" s="124"/>
      <c r="YP32" s="124"/>
      <c r="YZ32" s="124"/>
      <c r="ZG32" s="124"/>
      <c r="ABV32" s="124"/>
      <c r="ADJ32" s="124"/>
      <c r="AKB32" s="124"/>
      <c r="APA32" s="124"/>
      <c r="ARF32" s="124"/>
      <c r="AXY32" s="124"/>
      <c r="BJK32" s="124"/>
      <c r="BOO32" s="124"/>
      <c r="BQE32" s="124"/>
      <c r="BQW32" s="124"/>
      <c r="BWE32" s="124"/>
      <c r="CCK32" s="124"/>
      <c r="CGR32" s="124"/>
      <c r="CRE32" s="124"/>
      <c r="CUE32" s="124"/>
      <c r="CZT32" s="124"/>
      <c r="DBK32" s="124"/>
      <c r="DBP32" s="124"/>
      <c r="DCR32" s="124"/>
      <c r="DLH32" s="124"/>
      <c r="DNN32" s="124"/>
      <c r="DQF32" s="124"/>
      <c r="DRE32" s="124"/>
      <c r="DRJ32" s="124"/>
      <c r="DVI32" s="124"/>
      <c r="EGC32" s="124"/>
    </row>
    <row r="33" ht="15" customHeight="1" spans="1:136">
      <c r="A33" s="34">
        <v>23</v>
      </c>
      <c r="B33" s="35"/>
      <c r="C33" s="39"/>
      <c r="D33" s="36" t="s">
        <v>93</v>
      </c>
      <c r="E33" s="49"/>
      <c r="F33" s="50" t="s">
        <v>60</v>
      </c>
      <c r="G33" s="51">
        <v>0</v>
      </c>
      <c r="H33" s="52">
        <v>0.075</v>
      </c>
      <c r="I33" s="52">
        <v>-0.075</v>
      </c>
      <c r="J33" s="59" t="s">
        <v>61</v>
      </c>
      <c r="K33" s="60" t="s">
        <v>62</v>
      </c>
      <c r="L33" s="61">
        <f t="shared" si="9"/>
        <v>0.075</v>
      </c>
      <c r="M33" s="70">
        <f t="shared" si="10"/>
        <v>-0.075</v>
      </c>
      <c r="N33" s="71"/>
      <c r="O33" s="69">
        <f t="shared" si="11"/>
        <v>0.0037</v>
      </c>
      <c r="P33" s="69">
        <f t="shared" ref="P33:P40" si="39">IF(OR($AK33="",ISNUMBER($AK33)=FALSE),"",MIN(AK33:EF33))</f>
        <v>-0.02032</v>
      </c>
      <c r="Q33" s="69">
        <f t="shared" ref="Q33:Q40" si="40">IF(OR($AK33="",ISNUMBER($AK33)=FALSE),"",AVERAGE(AK33:EF33))</f>
        <v>-0.0091634375</v>
      </c>
      <c r="R33" s="79">
        <f t="shared" ref="R33:R40" si="41">IF(OR($AK33="",ISNUMBER($AK33)=FALSE),"",STDEV(AK33:EF33))</f>
        <v>0.00507524517721765</v>
      </c>
      <c r="S33" s="80">
        <f t="shared" si="36"/>
        <v>4.92587040173407</v>
      </c>
      <c r="T33" s="81">
        <f t="shared" si="16"/>
        <v>-0.122179166666667</v>
      </c>
      <c r="U33" s="81" t="str">
        <f t="shared" si="17"/>
        <v>Level A</v>
      </c>
      <c r="V33" s="80">
        <f t="shared" si="37"/>
        <v>5.52770914252594</v>
      </c>
      <c r="W33" s="80">
        <f t="shared" si="38"/>
        <v>4.32403166094221</v>
      </c>
      <c r="X33" s="80">
        <f t="shared" si="27"/>
        <v>4.32403166094221</v>
      </c>
      <c r="Y33" s="87">
        <f t="shared" si="24"/>
        <v>1</v>
      </c>
      <c r="Z33" s="88" t="str">
        <f t="shared" si="20"/>
        <v/>
      </c>
      <c r="AA33" s="88" t="str">
        <f t="shared" si="21"/>
        <v/>
      </c>
      <c r="AB33" s="88">
        <f t="shared" si="22"/>
        <v>0.0091634375</v>
      </c>
      <c r="AC33" s="88" t="str">
        <f t="shared" si="8"/>
        <v/>
      </c>
      <c r="AD33" s="95"/>
      <c r="AE33" s="96" t="str">
        <f t="shared" ref="AE33:AE42" si="42">IF(AD33="","",IF(AD33&gt;=0.966,"Normal","Not Normal"))</f>
        <v/>
      </c>
      <c r="AF33" s="97"/>
      <c r="AG33" s="104"/>
      <c r="AH33" s="104"/>
      <c r="AI33" s="105"/>
      <c r="AJ33" s="107"/>
      <c r="AK33" s="113">
        <v>-0.00369</v>
      </c>
      <c r="AL33" s="113">
        <v>-0.01076</v>
      </c>
      <c r="AM33" s="113">
        <v>-0.00939</v>
      </c>
      <c r="AN33" s="113">
        <v>-0.01357</v>
      </c>
      <c r="AO33" s="113">
        <v>-0.00616</v>
      </c>
      <c r="AP33" s="113">
        <v>-0.00601</v>
      </c>
      <c r="AQ33" s="113">
        <v>-0.00427</v>
      </c>
      <c r="AR33" s="113">
        <v>-0.02032</v>
      </c>
      <c r="AS33" s="113">
        <v>-0.01481</v>
      </c>
      <c r="AT33" s="113">
        <v>-0.01133</v>
      </c>
      <c r="AU33" s="113">
        <v>0.0037</v>
      </c>
      <c r="AV33" s="113">
        <v>-0.00726</v>
      </c>
      <c r="AW33" s="113">
        <v>-0.00162</v>
      </c>
      <c r="AX33" s="113">
        <v>-0.01054</v>
      </c>
      <c r="AY33" s="113">
        <v>-0.01274</v>
      </c>
      <c r="AZ33" s="113">
        <v>-0.00995</v>
      </c>
      <c r="BA33" s="113">
        <v>-0.00391</v>
      </c>
      <c r="BB33" s="113">
        <v>-0.01015</v>
      </c>
      <c r="BC33" s="113">
        <v>-0.00821</v>
      </c>
      <c r="BD33" s="113">
        <v>-0.0099</v>
      </c>
      <c r="BE33" s="113">
        <v>-0.00768</v>
      </c>
      <c r="BF33" s="113">
        <v>-0.01397</v>
      </c>
      <c r="BG33" s="113">
        <v>-0.00304</v>
      </c>
      <c r="BH33" s="113">
        <v>-0.01073</v>
      </c>
      <c r="BI33" s="113">
        <v>-0.0099</v>
      </c>
      <c r="BJ33" s="113">
        <v>-0.01942</v>
      </c>
      <c r="BK33" s="113">
        <v>-0.01091</v>
      </c>
      <c r="BL33" s="113">
        <v>-0.00839</v>
      </c>
      <c r="BM33" s="113">
        <v>-0.01678</v>
      </c>
      <c r="BN33" s="113">
        <v>-0.00296</v>
      </c>
      <c r="BO33" s="113">
        <v>-0.00908</v>
      </c>
      <c r="BP33" s="113">
        <v>-0.00948</v>
      </c>
      <c r="BQ33" s="120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  <c r="CZ33" s="121"/>
      <c r="DA33" s="121"/>
      <c r="DB33" s="121"/>
      <c r="DC33" s="121"/>
      <c r="DD33" s="121"/>
      <c r="DE33" s="121"/>
      <c r="DF33" s="121"/>
      <c r="DG33" s="121"/>
      <c r="DH33" s="121"/>
      <c r="DI33" s="121"/>
      <c r="DJ33" s="121"/>
      <c r="DK33" s="121"/>
      <c r="DL33" s="121"/>
      <c r="DM33" s="121"/>
      <c r="DN33" s="121"/>
      <c r="DO33" s="121"/>
      <c r="DP33" s="121"/>
      <c r="DQ33" s="121"/>
      <c r="DR33" s="121"/>
      <c r="DS33" s="121"/>
      <c r="DT33" s="121"/>
      <c r="DU33" s="121"/>
      <c r="DV33" s="121"/>
      <c r="DW33" s="121"/>
      <c r="DX33" s="121"/>
      <c r="DY33" s="121"/>
      <c r="DZ33" s="121"/>
      <c r="EA33" s="121"/>
      <c r="EB33" s="121"/>
      <c r="EC33" s="121"/>
      <c r="ED33" s="121"/>
      <c r="EE33" s="121"/>
      <c r="EF33" s="121"/>
    </row>
    <row r="34" ht="15" customHeight="1" spans="1:136">
      <c r="A34" s="34">
        <v>24</v>
      </c>
      <c r="B34" s="35"/>
      <c r="C34" s="39"/>
      <c r="D34" s="36" t="s">
        <v>94</v>
      </c>
      <c r="E34" s="49"/>
      <c r="F34" s="50" t="s">
        <v>60</v>
      </c>
      <c r="G34" s="51">
        <v>0</v>
      </c>
      <c r="H34" s="52">
        <v>0.075</v>
      </c>
      <c r="I34" s="52">
        <v>-0.075</v>
      </c>
      <c r="J34" s="59" t="s">
        <v>61</v>
      </c>
      <c r="K34" s="60" t="s">
        <v>62</v>
      </c>
      <c r="L34" s="61">
        <f t="shared" si="9"/>
        <v>0.075</v>
      </c>
      <c r="M34" s="70">
        <f t="shared" si="10"/>
        <v>-0.075</v>
      </c>
      <c r="N34" s="71"/>
      <c r="O34" s="69">
        <f t="shared" si="11"/>
        <v>0.00391</v>
      </c>
      <c r="P34" s="69">
        <f t="shared" si="39"/>
        <v>-0.01813</v>
      </c>
      <c r="Q34" s="69">
        <f t="shared" si="40"/>
        <v>-0.0088975</v>
      </c>
      <c r="R34" s="79">
        <f t="shared" si="41"/>
        <v>0.00479160085041288</v>
      </c>
      <c r="S34" s="80">
        <f t="shared" si="36"/>
        <v>5.21746296915483</v>
      </c>
      <c r="T34" s="81">
        <f t="shared" si="16"/>
        <v>-0.118633333333333</v>
      </c>
      <c r="U34" s="81" t="str">
        <f t="shared" si="17"/>
        <v>Level A</v>
      </c>
      <c r="V34" s="80">
        <f t="shared" si="37"/>
        <v>5.8364279927289</v>
      </c>
      <c r="W34" s="80">
        <f t="shared" si="38"/>
        <v>4.59849794558076</v>
      </c>
      <c r="X34" s="80">
        <f t="shared" si="27"/>
        <v>4.59849794558076</v>
      </c>
      <c r="Y34" s="87">
        <f t="shared" si="24"/>
        <v>1</v>
      </c>
      <c r="Z34" s="88" t="str">
        <f t="shared" si="20"/>
        <v/>
      </c>
      <c r="AA34" s="88" t="str">
        <f t="shared" si="21"/>
        <v/>
      </c>
      <c r="AB34" s="88">
        <f t="shared" si="22"/>
        <v>0.0088975</v>
      </c>
      <c r="AC34" s="88" t="str">
        <f t="shared" si="8"/>
        <v/>
      </c>
      <c r="AD34" s="95"/>
      <c r="AE34" s="96" t="str">
        <f t="shared" si="42"/>
        <v/>
      </c>
      <c r="AF34" s="97"/>
      <c r="AG34" s="104"/>
      <c r="AH34" s="104"/>
      <c r="AI34" s="105"/>
      <c r="AJ34" s="107"/>
      <c r="AK34" s="113">
        <v>-0.00436</v>
      </c>
      <c r="AL34" s="113">
        <v>-0.01009</v>
      </c>
      <c r="AM34" s="113">
        <v>-0.01004</v>
      </c>
      <c r="AN34" s="113">
        <v>-0.01534</v>
      </c>
      <c r="AO34" s="113">
        <v>-0.00722</v>
      </c>
      <c r="AP34" s="113">
        <v>-0.00647</v>
      </c>
      <c r="AQ34" s="113">
        <v>-0.00497</v>
      </c>
      <c r="AR34" s="113">
        <v>-0.01278</v>
      </c>
      <c r="AS34" s="113">
        <v>-0.01359</v>
      </c>
      <c r="AT34" s="113">
        <v>-0.01111</v>
      </c>
      <c r="AU34" s="113">
        <v>0.00391</v>
      </c>
      <c r="AV34" s="113">
        <v>-0.0069</v>
      </c>
      <c r="AW34" s="113">
        <v>-0.00201</v>
      </c>
      <c r="AX34" s="113">
        <v>-0.01048</v>
      </c>
      <c r="AY34" s="113">
        <v>-0.01512</v>
      </c>
      <c r="AZ34" s="113">
        <v>-0.00236</v>
      </c>
      <c r="BA34" s="113">
        <v>-0.00412</v>
      </c>
      <c r="BB34" s="113">
        <v>-0.00962</v>
      </c>
      <c r="BC34" s="113">
        <v>-0.00856</v>
      </c>
      <c r="BD34" s="113">
        <v>-0.0101</v>
      </c>
      <c r="BE34" s="113">
        <v>-0.00815</v>
      </c>
      <c r="BF34" s="113">
        <v>-0.01453</v>
      </c>
      <c r="BG34" s="113">
        <v>-0.00405</v>
      </c>
      <c r="BH34" s="113">
        <v>-0.01109</v>
      </c>
      <c r="BI34" s="113">
        <v>-0.01002</v>
      </c>
      <c r="BJ34" s="113">
        <v>-0.01813</v>
      </c>
      <c r="BK34" s="113">
        <v>-0.01156</v>
      </c>
      <c r="BL34" s="113">
        <v>-0.00841</v>
      </c>
      <c r="BM34" s="113">
        <v>-0.01713</v>
      </c>
      <c r="BN34" s="113">
        <v>-0.00307</v>
      </c>
      <c r="BO34" s="113">
        <v>-0.00892</v>
      </c>
      <c r="BP34" s="113">
        <v>-0.00833</v>
      </c>
      <c r="BQ34" s="120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W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Q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</row>
    <row r="35" ht="15" customHeight="1" spans="1:136">
      <c r="A35" s="34">
        <v>25</v>
      </c>
      <c r="B35" s="35"/>
      <c r="C35" s="39"/>
      <c r="D35" s="36" t="s">
        <v>95</v>
      </c>
      <c r="E35" s="49"/>
      <c r="F35" s="50" t="s">
        <v>60</v>
      </c>
      <c r="G35" s="51">
        <v>0</v>
      </c>
      <c r="H35" s="52">
        <v>0.075</v>
      </c>
      <c r="I35" s="52">
        <v>-0.075</v>
      </c>
      <c r="J35" s="59" t="s">
        <v>61</v>
      </c>
      <c r="K35" s="60" t="s">
        <v>62</v>
      </c>
      <c r="L35" s="61">
        <f t="shared" si="9"/>
        <v>0.075</v>
      </c>
      <c r="M35" s="70">
        <f t="shared" si="10"/>
        <v>-0.075</v>
      </c>
      <c r="N35" s="71"/>
      <c r="O35" s="69">
        <f t="shared" ref="O35:O40" si="43">IF(OR($AK35="",ISNUMBER($AK35)=FALSE),"",MAX(AK35:EF35))</f>
        <v>0.00532</v>
      </c>
      <c r="P35" s="69">
        <f t="shared" si="39"/>
        <v>-0.01793</v>
      </c>
      <c r="Q35" s="69">
        <f t="shared" si="40"/>
        <v>-0.00765375</v>
      </c>
      <c r="R35" s="79">
        <f t="shared" si="41"/>
        <v>0.00568938726220626</v>
      </c>
      <c r="S35" s="80">
        <f t="shared" si="36"/>
        <v>4.3941463021987</v>
      </c>
      <c r="T35" s="81">
        <f t="shared" si="16"/>
        <v>-0.10205</v>
      </c>
      <c r="U35" s="81" t="str">
        <f t="shared" si="17"/>
        <v>Level A</v>
      </c>
      <c r="V35" s="80">
        <f t="shared" si="37"/>
        <v>4.84256893233807</v>
      </c>
      <c r="W35" s="80">
        <f t="shared" si="38"/>
        <v>3.94572367205932</v>
      </c>
      <c r="X35" s="80">
        <f t="shared" si="27"/>
        <v>3.94572367205932</v>
      </c>
      <c r="Y35" s="87">
        <f t="shared" si="24"/>
        <v>1</v>
      </c>
      <c r="Z35" s="88" t="str">
        <f t="shared" si="20"/>
        <v/>
      </c>
      <c r="AA35" s="88" t="str">
        <f t="shared" si="21"/>
        <v/>
      </c>
      <c r="AB35" s="88">
        <f t="shared" si="22"/>
        <v>0.00765375</v>
      </c>
      <c r="AC35" s="88" t="str">
        <f t="shared" si="8"/>
        <v/>
      </c>
      <c r="AD35" s="95"/>
      <c r="AE35" s="96" t="str">
        <f t="shared" si="42"/>
        <v/>
      </c>
      <c r="AF35" s="97"/>
      <c r="AG35" s="104"/>
      <c r="AH35" s="104"/>
      <c r="AI35" s="105"/>
      <c r="AJ35" s="107"/>
      <c r="AK35" s="113">
        <v>-0.00472</v>
      </c>
      <c r="AL35" s="113">
        <v>-0.00542</v>
      </c>
      <c r="AM35" s="113">
        <v>-0.01287</v>
      </c>
      <c r="AN35" s="113">
        <v>-0.01702</v>
      </c>
      <c r="AO35" s="113">
        <v>-0.00626</v>
      </c>
      <c r="AP35" s="113">
        <v>-0.00647</v>
      </c>
      <c r="AQ35" s="113">
        <v>-0.00296</v>
      </c>
      <c r="AR35" s="113">
        <v>-0.00939</v>
      </c>
      <c r="AS35" s="113">
        <v>-0.0103</v>
      </c>
      <c r="AT35" s="113">
        <v>-0.01041</v>
      </c>
      <c r="AU35" s="113">
        <v>0.00532</v>
      </c>
      <c r="AV35" s="113">
        <v>-0.0049</v>
      </c>
      <c r="AW35" s="113">
        <v>0.00056</v>
      </c>
      <c r="AX35" s="113">
        <v>-0.00639</v>
      </c>
      <c r="AY35" s="113">
        <v>-0.01786</v>
      </c>
      <c r="AZ35" s="113">
        <v>0.00353</v>
      </c>
      <c r="BA35" s="113">
        <v>-0.00164</v>
      </c>
      <c r="BB35" s="113">
        <v>-0.00574</v>
      </c>
      <c r="BC35" s="113">
        <v>-0.00969</v>
      </c>
      <c r="BD35" s="113">
        <v>-0.01183</v>
      </c>
      <c r="BE35" s="113">
        <v>-0.00479</v>
      </c>
      <c r="BF35" s="113">
        <v>-0.0119</v>
      </c>
      <c r="BG35" s="113">
        <v>-0.00331</v>
      </c>
      <c r="BH35" s="113">
        <v>-0.01207</v>
      </c>
      <c r="BI35" s="113">
        <v>-0.01055</v>
      </c>
      <c r="BJ35" s="113">
        <v>-0.0133</v>
      </c>
      <c r="BK35" s="113">
        <v>-0.01072</v>
      </c>
      <c r="BL35" s="113">
        <v>-0.00486</v>
      </c>
      <c r="BM35" s="113">
        <v>-0.01793</v>
      </c>
      <c r="BN35" s="113">
        <v>-0.00033</v>
      </c>
      <c r="BO35" s="113">
        <v>-0.00988</v>
      </c>
      <c r="BP35" s="113">
        <v>-0.01082</v>
      </c>
      <c r="BQ35" s="120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</row>
    <row r="36" ht="15" customHeight="1" spans="1:136">
      <c r="A36" s="34">
        <v>26</v>
      </c>
      <c r="B36" s="35"/>
      <c r="C36" s="39"/>
      <c r="D36" s="38" t="s">
        <v>96</v>
      </c>
      <c r="E36" s="49"/>
      <c r="F36" s="50" t="s">
        <v>60</v>
      </c>
      <c r="G36" s="51">
        <v>0</v>
      </c>
      <c r="H36" s="52">
        <v>0.075</v>
      </c>
      <c r="I36" s="52">
        <v>-0.075</v>
      </c>
      <c r="J36" s="59" t="s">
        <v>61</v>
      </c>
      <c r="K36" s="60" t="s">
        <v>62</v>
      </c>
      <c r="L36" s="61">
        <f t="shared" si="9"/>
        <v>0.075</v>
      </c>
      <c r="M36" s="70">
        <f t="shared" si="10"/>
        <v>-0.075</v>
      </c>
      <c r="N36" s="71"/>
      <c r="O36" s="69">
        <f t="shared" si="43"/>
        <v>0.00459</v>
      </c>
      <c r="P36" s="69">
        <f t="shared" si="39"/>
        <v>-0.02092</v>
      </c>
      <c r="Q36" s="69">
        <f t="shared" si="40"/>
        <v>-0.008574375</v>
      </c>
      <c r="R36" s="79">
        <f t="shared" si="41"/>
        <v>0.00611485285213191</v>
      </c>
      <c r="S36" s="80">
        <f t="shared" si="36"/>
        <v>4.08840582178259</v>
      </c>
      <c r="T36" s="81">
        <f t="shared" si="16"/>
        <v>-0.114325</v>
      </c>
      <c r="U36" s="81" t="str">
        <f t="shared" si="17"/>
        <v>Level A</v>
      </c>
      <c r="V36" s="80">
        <f t="shared" si="37"/>
        <v>4.55581281735789</v>
      </c>
      <c r="W36" s="80">
        <f t="shared" si="38"/>
        <v>3.62099882620729</v>
      </c>
      <c r="X36" s="80">
        <f t="shared" ref="X36:X74" si="44">IF(OR($AK36="",ISNUMBER($AK36)=FALSE),"",IF(AND(G36=0,I36=0),((H36)-(Q36))/(3*R36),MIN(V36:W36)))</f>
        <v>3.62099882620729</v>
      </c>
      <c r="Y36" s="89">
        <f t="shared" ref="Y36:Y74" si="45">IF(OR($AK36="",ISNUMBER($AK36)=FALSE),"",IF(AND(G36=0,I36=0),NORMSDIST(3*X36),NORMSDIST(3*X36)+NORMSDIST(6*S36-3*X36)-1))</f>
        <v>1</v>
      </c>
      <c r="Z36" s="88" t="str">
        <f t="shared" si="20"/>
        <v/>
      </c>
      <c r="AA36" s="88" t="str">
        <f t="shared" si="21"/>
        <v/>
      </c>
      <c r="AB36" s="88">
        <f t="shared" si="22"/>
        <v>0.008574375</v>
      </c>
      <c r="AC36" s="88" t="str">
        <f t="shared" si="8"/>
        <v/>
      </c>
      <c r="AD36" s="95"/>
      <c r="AE36" s="96" t="str">
        <f t="shared" si="42"/>
        <v/>
      </c>
      <c r="AF36" s="97"/>
      <c r="AG36" s="104"/>
      <c r="AH36" s="104"/>
      <c r="AI36" s="105"/>
      <c r="AJ36" s="107"/>
      <c r="AK36" s="113">
        <v>-0.00531</v>
      </c>
      <c r="AL36" s="113">
        <v>-0.00596</v>
      </c>
      <c r="AM36" s="113">
        <v>-0.01452</v>
      </c>
      <c r="AN36" s="113">
        <v>-0.01887</v>
      </c>
      <c r="AO36" s="113">
        <v>-0.00843</v>
      </c>
      <c r="AP36" s="113">
        <v>-0.00455</v>
      </c>
      <c r="AQ36" s="113">
        <v>-0.00604</v>
      </c>
      <c r="AR36" s="113">
        <v>-0.01023</v>
      </c>
      <c r="AS36" s="113">
        <v>-0.00978</v>
      </c>
      <c r="AT36" s="113">
        <v>-0.01133</v>
      </c>
      <c r="AU36" s="113">
        <v>0.00459</v>
      </c>
      <c r="AV36" s="113">
        <v>-0.00599</v>
      </c>
      <c r="AW36" s="113">
        <v>-0.0005</v>
      </c>
      <c r="AX36" s="113">
        <v>-0.00609</v>
      </c>
      <c r="AY36" s="113">
        <v>-0.02092</v>
      </c>
      <c r="AZ36" s="113">
        <v>0.00387</v>
      </c>
      <c r="BA36" s="113">
        <v>-0.00199</v>
      </c>
      <c r="BB36" s="113">
        <v>-0.00597</v>
      </c>
      <c r="BC36" s="113">
        <v>-0.01012</v>
      </c>
      <c r="BD36" s="113">
        <v>-0.01287</v>
      </c>
      <c r="BE36" s="113">
        <v>-0.00603</v>
      </c>
      <c r="BF36" s="113">
        <v>-0.01313</v>
      </c>
      <c r="BG36" s="113">
        <v>-0.00566</v>
      </c>
      <c r="BH36" s="113">
        <v>-0.01379</v>
      </c>
      <c r="BI36" s="113">
        <v>-0.01222</v>
      </c>
      <c r="BJ36" s="113">
        <v>-0.01233</v>
      </c>
      <c r="BK36" s="113">
        <v>-0.01158</v>
      </c>
      <c r="BL36" s="113">
        <v>-0.0048</v>
      </c>
      <c r="BM36" s="113">
        <v>-0.02009</v>
      </c>
      <c r="BN36" s="113">
        <v>-0.00024</v>
      </c>
      <c r="BO36" s="113">
        <v>-0.01129</v>
      </c>
      <c r="BP36" s="113">
        <v>-0.01221</v>
      </c>
      <c r="BQ36" s="120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3"/>
      <c r="CS36" s="121"/>
      <c r="CT36" s="121"/>
      <c r="CU36" s="121"/>
      <c r="CV36" s="121"/>
      <c r="CW36" s="121"/>
      <c r="CX36" s="121"/>
      <c r="CY36" s="121"/>
      <c r="CZ36" s="121"/>
      <c r="DA36" s="121"/>
      <c r="DB36" s="121"/>
      <c r="DC36" s="121"/>
      <c r="DD36" s="121"/>
      <c r="DE36" s="121"/>
      <c r="DF36" s="121"/>
      <c r="DG36" s="121"/>
      <c r="DH36" s="121"/>
      <c r="DI36" s="121"/>
      <c r="DJ36" s="121"/>
      <c r="DK36" s="121"/>
      <c r="DL36" s="121"/>
      <c r="DM36" s="121"/>
      <c r="DN36" s="121"/>
      <c r="DO36" s="121"/>
      <c r="DP36" s="121"/>
      <c r="DQ36" s="121"/>
      <c r="DR36" s="121"/>
      <c r="DS36" s="121"/>
      <c r="DT36" s="121"/>
      <c r="DU36" s="121"/>
      <c r="DV36" s="121"/>
      <c r="DW36" s="121"/>
      <c r="DX36" s="121"/>
      <c r="DY36" s="121"/>
      <c r="DZ36" s="121"/>
      <c r="EA36" s="121"/>
      <c r="EB36" s="121"/>
      <c r="EC36" s="121"/>
      <c r="ED36" s="121"/>
      <c r="EE36" s="121"/>
      <c r="EF36" s="121"/>
    </row>
    <row r="37" ht="15" customHeight="1" spans="1:136">
      <c r="A37" s="34">
        <v>27</v>
      </c>
      <c r="B37" s="35"/>
      <c r="C37" s="39"/>
      <c r="D37" s="38" t="s">
        <v>97</v>
      </c>
      <c r="E37" s="49"/>
      <c r="F37" s="50" t="s">
        <v>60</v>
      </c>
      <c r="G37" s="51">
        <v>0</v>
      </c>
      <c r="H37" s="52">
        <v>0.075</v>
      </c>
      <c r="I37" s="52">
        <v>-0.075</v>
      </c>
      <c r="J37" s="59" t="s">
        <v>61</v>
      </c>
      <c r="K37" s="60" t="s">
        <v>62</v>
      </c>
      <c r="L37" s="61">
        <f t="shared" si="9"/>
        <v>0.075</v>
      </c>
      <c r="M37" s="70">
        <f t="shared" si="10"/>
        <v>-0.075</v>
      </c>
      <c r="N37" s="71"/>
      <c r="O37" s="69">
        <f t="shared" si="43"/>
        <v>0.0105</v>
      </c>
      <c r="P37" s="69">
        <f t="shared" si="39"/>
        <v>-0.01918</v>
      </c>
      <c r="Q37" s="69">
        <f t="shared" si="40"/>
        <v>-0.00375125</v>
      </c>
      <c r="R37" s="79">
        <f t="shared" si="41"/>
        <v>0.0068555199092269</v>
      </c>
      <c r="S37" s="80">
        <f t="shared" si="36"/>
        <v>3.64669643309653</v>
      </c>
      <c r="T37" s="81">
        <f t="shared" si="16"/>
        <v>-0.0500166666666667</v>
      </c>
      <c r="U37" s="81" t="str">
        <f t="shared" si="17"/>
        <v>Level A</v>
      </c>
      <c r="V37" s="80">
        <f t="shared" si="37"/>
        <v>3.82909203302524</v>
      </c>
      <c r="W37" s="80">
        <f t="shared" si="38"/>
        <v>3.46430083316782</v>
      </c>
      <c r="X37" s="80">
        <f t="shared" si="44"/>
        <v>3.46430083316782</v>
      </c>
      <c r="Y37" s="89">
        <f t="shared" si="45"/>
        <v>1</v>
      </c>
      <c r="Z37" s="88" t="str">
        <f t="shared" si="20"/>
        <v/>
      </c>
      <c r="AA37" s="88" t="str">
        <f t="shared" si="21"/>
        <v/>
      </c>
      <c r="AB37" s="88">
        <f t="shared" si="22"/>
        <v>0.00375125</v>
      </c>
      <c r="AC37" s="88" t="str">
        <f t="shared" si="8"/>
        <v/>
      </c>
      <c r="AD37" s="95"/>
      <c r="AE37" s="96" t="str">
        <f t="shared" si="42"/>
        <v/>
      </c>
      <c r="AF37" s="97"/>
      <c r="AG37" s="104"/>
      <c r="AH37" s="104"/>
      <c r="AI37" s="105"/>
      <c r="AJ37" s="107"/>
      <c r="AK37" s="113">
        <v>0.00119</v>
      </c>
      <c r="AL37" s="113">
        <v>0.00011</v>
      </c>
      <c r="AM37" s="113">
        <v>-0.00956</v>
      </c>
      <c r="AN37" s="113">
        <v>-0.01818</v>
      </c>
      <c r="AO37" s="113">
        <v>-0.00474</v>
      </c>
      <c r="AP37" s="113">
        <v>-0.00926</v>
      </c>
      <c r="AQ37" s="113">
        <v>-0.00251</v>
      </c>
      <c r="AR37" s="113">
        <v>-0.00381</v>
      </c>
      <c r="AS37" s="113">
        <v>-0.00142</v>
      </c>
      <c r="AT37" s="113">
        <v>-0.00526</v>
      </c>
      <c r="AU37" s="113">
        <v>0.0105</v>
      </c>
      <c r="AV37" s="113">
        <v>0.00062</v>
      </c>
      <c r="AW37" s="113">
        <v>0.0028</v>
      </c>
      <c r="AX37" s="113">
        <v>-0.00107</v>
      </c>
      <c r="AY37" s="113">
        <v>-0.01918</v>
      </c>
      <c r="AZ37" s="113">
        <v>0.00879</v>
      </c>
      <c r="BA37" s="113">
        <v>0.00396</v>
      </c>
      <c r="BB37" s="113">
        <v>-0.00079</v>
      </c>
      <c r="BC37" s="113">
        <v>-0.00736</v>
      </c>
      <c r="BD37" s="113">
        <v>-0.00785</v>
      </c>
      <c r="BE37" s="113">
        <v>0.00065</v>
      </c>
      <c r="BF37" s="113">
        <v>-0.008</v>
      </c>
      <c r="BG37" s="113">
        <v>-0.00079</v>
      </c>
      <c r="BH37" s="113">
        <v>-0.00815</v>
      </c>
      <c r="BI37" s="113">
        <v>-0.00601</v>
      </c>
      <c r="BJ37" s="113">
        <v>-0.0064</v>
      </c>
      <c r="BK37" s="113">
        <v>-0.00608</v>
      </c>
      <c r="BL37" s="113">
        <v>0.00202</v>
      </c>
      <c r="BM37" s="113">
        <v>-0.01663</v>
      </c>
      <c r="BN37" s="113">
        <v>0.00477</v>
      </c>
      <c r="BO37" s="113">
        <v>-0.00507</v>
      </c>
      <c r="BP37" s="113">
        <v>-0.00733</v>
      </c>
      <c r="BQ37" s="120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  <c r="CY37" s="121"/>
      <c r="CZ37" s="121"/>
      <c r="DA37" s="121"/>
      <c r="DB37" s="121"/>
      <c r="DC37" s="121"/>
      <c r="DD37" s="121"/>
      <c r="DE37" s="121"/>
      <c r="DF37" s="121"/>
      <c r="DG37" s="121"/>
      <c r="DH37" s="121"/>
      <c r="DI37" s="121"/>
      <c r="DJ37" s="121"/>
      <c r="DK37" s="121"/>
      <c r="DL37" s="121"/>
      <c r="DM37" s="121"/>
      <c r="DN37" s="121"/>
      <c r="DO37" s="121"/>
      <c r="DP37" s="121"/>
      <c r="DQ37" s="121"/>
      <c r="DR37" s="121"/>
      <c r="DS37" s="121"/>
      <c r="DT37" s="121"/>
      <c r="DU37" s="121"/>
      <c r="DV37" s="121"/>
      <c r="DW37" s="121"/>
      <c r="DX37" s="121"/>
      <c r="DY37" s="121"/>
      <c r="DZ37" s="121"/>
      <c r="EA37" s="121"/>
      <c r="EB37" s="121"/>
      <c r="EC37" s="121"/>
      <c r="ED37" s="121"/>
      <c r="EE37" s="121"/>
      <c r="EF37" s="121"/>
    </row>
    <row r="38" ht="15" customHeight="1" spans="1:136">
      <c r="A38" s="34">
        <v>28</v>
      </c>
      <c r="B38" s="35"/>
      <c r="C38" s="39"/>
      <c r="D38" s="38" t="s">
        <v>98</v>
      </c>
      <c r="E38" s="49"/>
      <c r="F38" s="50" t="s">
        <v>60</v>
      </c>
      <c r="G38" s="51">
        <v>0</v>
      </c>
      <c r="H38" s="52">
        <v>0.075</v>
      </c>
      <c r="I38" s="52">
        <v>-0.075</v>
      </c>
      <c r="J38" s="59" t="s">
        <v>61</v>
      </c>
      <c r="K38" s="60" t="s">
        <v>62</v>
      </c>
      <c r="L38" s="61">
        <f t="shared" si="9"/>
        <v>0.075</v>
      </c>
      <c r="M38" s="70">
        <f t="shared" si="10"/>
        <v>-0.075</v>
      </c>
      <c r="N38" s="71"/>
      <c r="O38" s="69">
        <f t="shared" si="43"/>
        <v>0.04291</v>
      </c>
      <c r="P38" s="69">
        <f t="shared" si="39"/>
        <v>-0.03551</v>
      </c>
      <c r="Q38" s="69">
        <f t="shared" si="40"/>
        <v>0.0099734375</v>
      </c>
      <c r="R38" s="79">
        <f t="shared" si="41"/>
        <v>0.0219759257736476</v>
      </c>
      <c r="S38" s="80">
        <f t="shared" si="36"/>
        <v>1.13760850202628</v>
      </c>
      <c r="T38" s="81">
        <f t="shared" si="16"/>
        <v>0.132979166666667</v>
      </c>
      <c r="U38" s="81" t="str">
        <f t="shared" si="17"/>
        <v>Level B</v>
      </c>
      <c r="V38" s="80">
        <f t="shared" si="37"/>
        <v>0.98633027143391</v>
      </c>
      <c r="W38" s="80">
        <f t="shared" si="38"/>
        <v>1.28888673261865</v>
      </c>
      <c r="X38" s="80">
        <f t="shared" si="44"/>
        <v>0.98633027143391</v>
      </c>
      <c r="Y38" s="89">
        <f t="shared" si="45"/>
        <v>0.99840159049557</v>
      </c>
      <c r="Z38" s="88" t="str">
        <f t="shared" si="20"/>
        <v/>
      </c>
      <c r="AA38" s="88" t="str">
        <f t="shared" si="21"/>
        <v/>
      </c>
      <c r="AB38" s="88">
        <f t="shared" si="22"/>
        <v>-0.0099734375</v>
      </c>
      <c r="AC38" s="88">
        <f t="shared" si="8"/>
        <v>0.197783331962829</v>
      </c>
      <c r="AD38" s="95"/>
      <c r="AE38" s="96" t="str">
        <f t="shared" si="42"/>
        <v/>
      </c>
      <c r="AF38" s="97"/>
      <c r="AG38" s="104"/>
      <c r="AH38" s="104"/>
      <c r="AI38" s="105"/>
      <c r="AJ38" s="107"/>
      <c r="AK38" s="113">
        <v>-0.00435</v>
      </c>
      <c r="AL38" s="113">
        <v>0.04042</v>
      </c>
      <c r="AM38" s="113">
        <v>-0.01392</v>
      </c>
      <c r="AN38" s="113">
        <v>-0.00961</v>
      </c>
      <c r="AO38" s="113">
        <v>0.01444</v>
      </c>
      <c r="AP38" s="113">
        <v>0.0252</v>
      </c>
      <c r="AQ38" s="113">
        <v>0.01604</v>
      </c>
      <c r="AR38" s="113">
        <v>-0.00968</v>
      </c>
      <c r="AS38" s="113">
        <v>0.03474</v>
      </c>
      <c r="AT38" s="113">
        <v>-0.02635</v>
      </c>
      <c r="AU38" s="113">
        <v>0.01506</v>
      </c>
      <c r="AV38" s="113">
        <v>0.03242</v>
      </c>
      <c r="AW38" s="113">
        <v>0.04049</v>
      </c>
      <c r="AX38" s="113">
        <v>0.01669</v>
      </c>
      <c r="AY38" s="113">
        <v>0.00821</v>
      </c>
      <c r="AZ38" s="113">
        <v>-0.00826</v>
      </c>
      <c r="BA38" s="113">
        <v>0.03155</v>
      </c>
      <c r="BB38" s="113">
        <v>0.04225</v>
      </c>
      <c r="BC38" s="113">
        <v>0.01438</v>
      </c>
      <c r="BD38" s="113">
        <v>-0.01737</v>
      </c>
      <c r="BE38" s="113">
        <v>0.00753</v>
      </c>
      <c r="BF38" s="113">
        <v>4e-5</v>
      </c>
      <c r="BG38" s="113">
        <v>0.0273</v>
      </c>
      <c r="BH38" s="113">
        <v>-0.01637</v>
      </c>
      <c r="BI38" s="113">
        <v>-0.03551</v>
      </c>
      <c r="BJ38" s="113">
        <v>0.04291</v>
      </c>
      <c r="BK38" s="113">
        <v>0.01533</v>
      </c>
      <c r="BL38" s="113">
        <v>0.03656</v>
      </c>
      <c r="BM38" s="113">
        <v>0.01705</v>
      </c>
      <c r="BN38" s="113">
        <v>-0.00079</v>
      </c>
      <c r="BO38" s="113">
        <v>-0.02118</v>
      </c>
      <c r="BP38" s="113">
        <v>0.00393</v>
      </c>
      <c r="BQ38" s="120"/>
      <c r="BR38" s="121"/>
      <c r="BS38" s="121"/>
      <c r="BT38" s="121"/>
      <c r="BU38" s="121"/>
      <c r="BV38" s="121"/>
      <c r="BW38" s="123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  <c r="CV38" s="121"/>
      <c r="CW38" s="121"/>
      <c r="CX38" s="121"/>
      <c r="CY38" s="121"/>
      <c r="CZ38" s="121"/>
      <c r="DA38" s="121"/>
      <c r="DB38" s="121"/>
      <c r="DC38" s="121"/>
      <c r="DD38" s="121"/>
      <c r="DE38" s="121"/>
      <c r="DF38" s="121"/>
      <c r="DG38" s="121"/>
      <c r="DH38" s="121"/>
      <c r="DI38" s="121"/>
      <c r="DJ38" s="121"/>
      <c r="DK38" s="121"/>
      <c r="DL38" s="121"/>
      <c r="DM38" s="121"/>
      <c r="DN38" s="121"/>
      <c r="DO38" s="121"/>
      <c r="DP38" s="121"/>
      <c r="DQ38" s="121"/>
      <c r="DR38" s="121"/>
      <c r="DS38" s="121"/>
      <c r="DT38" s="121"/>
      <c r="DU38" s="121"/>
      <c r="DV38" s="121"/>
      <c r="DW38" s="121"/>
      <c r="DX38" s="121"/>
      <c r="DY38" s="121"/>
      <c r="DZ38" s="121"/>
      <c r="EA38" s="121"/>
      <c r="EB38" s="121"/>
      <c r="EC38" s="121"/>
      <c r="ED38" s="121"/>
      <c r="EE38" s="121"/>
      <c r="EF38" s="121"/>
    </row>
    <row r="39" ht="15" customHeight="1" spans="1:136">
      <c r="A39" s="34">
        <v>29</v>
      </c>
      <c r="B39" s="35"/>
      <c r="C39" s="39"/>
      <c r="D39" s="38" t="s">
        <v>99</v>
      </c>
      <c r="E39" s="49"/>
      <c r="F39" s="50" t="s">
        <v>60</v>
      </c>
      <c r="G39" s="51">
        <v>0</v>
      </c>
      <c r="H39" s="52">
        <v>0.075</v>
      </c>
      <c r="I39" s="52">
        <v>-0.075</v>
      </c>
      <c r="J39" s="59" t="s">
        <v>61</v>
      </c>
      <c r="K39" s="60" t="s">
        <v>62</v>
      </c>
      <c r="L39" s="61">
        <f t="shared" si="9"/>
        <v>0.075</v>
      </c>
      <c r="M39" s="70">
        <f t="shared" si="10"/>
        <v>-0.075</v>
      </c>
      <c r="N39" s="71"/>
      <c r="O39" s="69">
        <f t="shared" si="43"/>
        <v>0.00208</v>
      </c>
      <c r="P39" s="69">
        <f t="shared" si="39"/>
        <v>-0.00436</v>
      </c>
      <c r="Q39" s="69">
        <f t="shared" si="40"/>
        <v>-0.0017809375</v>
      </c>
      <c r="R39" s="79">
        <f t="shared" si="41"/>
        <v>0.00173181679611978</v>
      </c>
      <c r="S39" s="80">
        <f t="shared" si="36"/>
        <v>14.4357070886561</v>
      </c>
      <c r="T39" s="81">
        <f t="shared" si="16"/>
        <v>-0.0237458333333333</v>
      </c>
      <c r="U39" s="81" t="str">
        <f t="shared" si="17"/>
        <v>Level A</v>
      </c>
      <c r="V39" s="80">
        <f t="shared" si="37"/>
        <v>14.7784949832321</v>
      </c>
      <c r="W39" s="80">
        <f t="shared" si="38"/>
        <v>14.09291919408</v>
      </c>
      <c r="X39" s="80">
        <f t="shared" si="44"/>
        <v>14.09291919408</v>
      </c>
      <c r="Y39" s="89">
        <f t="shared" si="45"/>
        <v>1</v>
      </c>
      <c r="Z39" s="88" t="str">
        <f t="shared" si="20"/>
        <v/>
      </c>
      <c r="AA39" s="88" t="str">
        <f t="shared" si="21"/>
        <v/>
      </c>
      <c r="AB39" s="88">
        <f t="shared" si="22"/>
        <v>0.0017809375</v>
      </c>
      <c r="AC39" s="88" t="str">
        <f t="shared" si="8"/>
        <v/>
      </c>
      <c r="AD39" s="95"/>
      <c r="AE39" s="96" t="str">
        <f t="shared" si="42"/>
        <v/>
      </c>
      <c r="AF39" s="97"/>
      <c r="AG39" s="104"/>
      <c r="AH39" s="104"/>
      <c r="AI39" s="105"/>
      <c r="AJ39" s="107"/>
      <c r="AK39" s="113">
        <v>-0.00204</v>
      </c>
      <c r="AL39" s="113">
        <v>-0.00424</v>
      </c>
      <c r="AM39" s="113">
        <v>-0.00045</v>
      </c>
      <c r="AN39" s="113">
        <v>-0.00213</v>
      </c>
      <c r="AO39" s="113">
        <v>-0.00126</v>
      </c>
      <c r="AP39" s="113">
        <v>-0.00377</v>
      </c>
      <c r="AQ39" s="113">
        <v>-0.00306</v>
      </c>
      <c r="AR39" s="113">
        <v>-0.00279</v>
      </c>
      <c r="AS39" s="113">
        <v>-0.00367</v>
      </c>
      <c r="AT39" s="113">
        <v>-0.00073</v>
      </c>
      <c r="AU39" s="113">
        <v>-0.00227</v>
      </c>
      <c r="AV39" s="113">
        <v>-0.00307</v>
      </c>
      <c r="AW39" s="113">
        <v>-0.00423</v>
      </c>
      <c r="AX39" s="113">
        <v>-0.00147</v>
      </c>
      <c r="AY39" s="113">
        <v>-0.00135</v>
      </c>
      <c r="AZ39" s="113">
        <v>-0.00083</v>
      </c>
      <c r="BA39" s="113">
        <v>-0.00226</v>
      </c>
      <c r="BB39" s="113">
        <v>-0.0032</v>
      </c>
      <c r="BC39" s="113">
        <v>-0.00141</v>
      </c>
      <c r="BD39" s="113">
        <v>0.00113</v>
      </c>
      <c r="BE39" s="113">
        <v>-0.00186</v>
      </c>
      <c r="BF39" s="113">
        <v>-0.00165</v>
      </c>
      <c r="BG39" s="113">
        <v>-0.00263</v>
      </c>
      <c r="BH39" s="113">
        <v>0.00208</v>
      </c>
      <c r="BI39" s="113">
        <v>0.00059</v>
      </c>
      <c r="BJ39" s="113">
        <v>-0.00183</v>
      </c>
      <c r="BK39" s="113">
        <v>-0.00031</v>
      </c>
      <c r="BL39" s="113">
        <v>-0.00436</v>
      </c>
      <c r="BM39" s="113">
        <v>-0.00408</v>
      </c>
      <c r="BN39" s="113">
        <v>-0.00197</v>
      </c>
      <c r="BO39" s="113">
        <v>0.00203</v>
      </c>
      <c r="BP39" s="113">
        <v>0.0001</v>
      </c>
      <c r="BQ39" s="122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3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  <c r="CV39" s="121"/>
      <c r="CW39" s="121"/>
      <c r="CX39" s="121"/>
      <c r="CY39" s="121"/>
      <c r="CZ39" s="121"/>
      <c r="DA39" s="121"/>
      <c r="DB39" s="121"/>
      <c r="DC39" s="121"/>
      <c r="DD39" s="121"/>
      <c r="DE39" s="121"/>
      <c r="DF39" s="121"/>
      <c r="DG39" s="121"/>
      <c r="DH39" s="121"/>
      <c r="DI39" s="121"/>
      <c r="DJ39" s="121"/>
      <c r="DK39" s="121"/>
      <c r="DL39" s="121"/>
      <c r="DM39" s="121"/>
      <c r="DN39" s="121"/>
      <c r="DO39" s="121"/>
      <c r="DP39" s="121"/>
      <c r="DQ39" s="121"/>
      <c r="DR39" s="121"/>
      <c r="DS39" s="121"/>
      <c r="DT39" s="121"/>
      <c r="DU39" s="121"/>
      <c r="DV39" s="121"/>
      <c r="DW39" s="121"/>
      <c r="DX39" s="121"/>
      <c r="DY39" s="121"/>
      <c r="DZ39" s="121"/>
      <c r="EA39" s="121"/>
      <c r="EB39" s="121"/>
      <c r="EC39" s="121"/>
      <c r="ED39" s="121"/>
      <c r="EE39" s="121"/>
      <c r="EF39" s="121"/>
    </row>
    <row r="40" ht="15" customHeight="1" spans="1:136">
      <c r="A40" s="34">
        <v>30</v>
      </c>
      <c r="B40" s="35"/>
      <c r="C40" s="39"/>
      <c r="D40" s="38" t="s">
        <v>100</v>
      </c>
      <c r="E40" s="49"/>
      <c r="F40" s="50" t="s">
        <v>60</v>
      </c>
      <c r="G40" s="51">
        <v>0</v>
      </c>
      <c r="H40" s="52">
        <v>0.075</v>
      </c>
      <c r="I40" s="52">
        <v>-0.075</v>
      </c>
      <c r="J40" s="59" t="s">
        <v>61</v>
      </c>
      <c r="K40" s="60" t="s">
        <v>62</v>
      </c>
      <c r="L40" s="61">
        <f t="shared" si="9"/>
        <v>0.075</v>
      </c>
      <c r="M40" s="70">
        <f t="shared" si="10"/>
        <v>-0.075</v>
      </c>
      <c r="N40" s="71"/>
      <c r="O40" s="69">
        <f t="shared" si="43"/>
        <v>0.00409</v>
      </c>
      <c r="P40" s="69">
        <f t="shared" si="39"/>
        <v>-0.00627</v>
      </c>
      <c r="Q40" s="69">
        <f t="shared" si="40"/>
        <v>-0.000948125</v>
      </c>
      <c r="R40" s="79">
        <f t="shared" si="41"/>
        <v>0.0028415380177734</v>
      </c>
      <c r="S40" s="80">
        <f t="shared" si="36"/>
        <v>8.79805226733855</v>
      </c>
      <c r="T40" s="81">
        <f t="shared" si="16"/>
        <v>-0.0126416666666667</v>
      </c>
      <c r="U40" s="81" t="str">
        <f t="shared" si="17"/>
        <v>Level A</v>
      </c>
      <c r="V40" s="80">
        <f t="shared" si="37"/>
        <v>8.90927431141816</v>
      </c>
      <c r="W40" s="80">
        <f t="shared" si="38"/>
        <v>8.68683022325895</v>
      </c>
      <c r="X40" s="80">
        <f t="shared" si="44"/>
        <v>8.68683022325895</v>
      </c>
      <c r="Y40" s="89">
        <f t="shared" si="45"/>
        <v>1</v>
      </c>
      <c r="Z40" s="88" t="str">
        <f t="shared" si="20"/>
        <v/>
      </c>
      <c r="AA40" s="88" t="str">
        <f t="shared" si="21"/>
        <v/>
      </c>
      <c r="AB40" s="88">
        <f t="shared" si="22"/>
        <v>0.000948125</v>
      </c>
      <c r="AC40" s="88" t="str">
        <f t="shared" si="8"/>
        <v/>
      </c>
      <c r="AD40" s="95"/>
      <c r="AE40" s="96" t="str">
        <f t="shared" si="42"/>
        <v/>
      </c>
      <c r="AF40" s="97"/>
      <c r="AG40" s="104"/>
      <c r="AH40" s="104"/>
      <c r="AI40" s="105"/>
      <c r="AJ40" s="107"/>
      <c r="AK40" s="113">
        <v>-0.00506</v>
      </c>
      <c r="AL40" s="113">
        <v>0.0022</v>
      </c>
      <c r="AM40" s="113">
        <v>-0.0034</v>
      </c>
      <c r="AN40" s="113">
        <v>-0.00156</v>
      </c>
      <c r="AO40" s="113">
        <v>-0.00136</v>
      </c>
      <c r="AP40" s="113">
        <v>0.00386</v>
      </c>
      <c r="AQ40" s="113">
        <v>-0.00082</v>
      </c>
      <c r="AR40" s="113">
        <v>-0.00627</v>
      </c>
      <c r="AS40" s="113">
        <v>0.00209</v>
      </c>
      <c r="AT40" s="113">
        <v>-0.00337</v>
      </c>
      <c r="AU40" s="113">
        <v>-0.0024</v>
      </c>
      <c r="AV40" s="113">
        <v>-0.00044</v>
      </c>
      <c r="AW40" s="113">
        <v>0.00173</v>
      </c>
      <c r="AX40" s="113">
        <v>9e-5</v>
      </c>
      <c r="AY40" s="113">
        <v>0.00067</v>
      </c>
      <c r="AZ40" s="113">
        <v>-0.00123</v>
      </c>
      <c r="BA40" s="113">
        <v>0.00195</v>
      </c>
      <c r="BB40" s="113">
        <v>0.00329</v>
      </c>
      <c r="BC40" s="113">
        <v>0.00074</v>
      </c>
      <c r="BD40" s="113">
        <v>-0.00521</v>
      </c>
      <c r="BE40" s="113">
        <v>-0.00122</v>
      </c>
      <c r="BF40" s="113">
        <v>0.00016</v>
      </c>
      <c r="BG40" s="113">
        <v>0.00139</v>
      </c>
      <c r="BH40" s="113">
        <v>-0.00415</v>
      </c>
      <c r="BI40" s="113">
        <v>-0.00433</v>
      </c>
      <c r="BJ40" s="113">
        <v>0.00409</v>
      </c>
      <c r="BK40" s="113">
        <v>-0.00065</v>
      </c>
      <c r="BL40" s="113">
        <v>0.00236</v>
      </c>
      <c r="BM40" s="113">
        <v>-0.00289</v>
      </c>
      <c r="BN40" s="113">
        <v>-0.00357</v>
      </c>
      <c r="BO40" s="113">
        <v>-0.00281</v>
      </c>
      <c r="BP40" s="113">
        <v>-0.00422</v>
      </c>
      <c r="BQ40" s="120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  <c r="CV40" s="121"/>
      <c r="CW40" s="121"/>
      <c r="CX40" s="121"/>
      <c r="CY40" s="121"/>
      <c r="CZ40" s="121"/>
      <c r="DA40" s="121"/>
      <c r="DB40" s="121"/>
      <c r="DC40" s="121"/>
      <c r="DD40" s="121"/>
      <c r="DE40" s="121"/>
      <c r="DF40" s="121"/>
      <c r="DG40" s="121"/>
      <c r="DH40" s="121"/>
      <c r="DI40" s="121"/>
      <c r="DJ40" s="121"/>
      <c r="DK40" s="121"/>
      <c r="DL40" s="121"/>
      <c r="DM40" s="121"/>
      <c r="DN40" s="121"/>
      <c r="DO40" s="121"/>
      <c r="DP40" s="121"/>
      <c r="DQ40" s="121"/>
      <c r="DR40" s="121"/>
      <c r="DS40" s="121"/>
      <c r="DT40" s="121"/>
      <c r="DU40" s="121"/>
      <c r="DV40" s="121"/>
      <c r="DW40" s="121"/>
      <c r="DX40" s="121"/>
      <c r="DY40" s="121"/>
      <c r="DZ40" s="121"/>
      <c r="EA40" s="121"/>
      <c r="EB40" s="121"/>
      <c r="EC40" s="121"/>
      <c r="ED40" s="121"/>
      <c r="EE40" s="121"/>
      <c r="EF40" s="121"/>
    </row>
    <row r="41" ht="15" customHeight="1" spans="1:136">
      <c r="A41" s="34">
        <v>31</v>
      </c>
      <c r="B41" s="35"/>
      <c r="C41" s="39"/>
      <c r="D41" s="36" t="s">
        <v>101</v>
      </c>
      <c r="E41" s="49"/>
      <c r="F41" s="50" t="s">
        <v>60</v>
      </c>
      <c r="G41" s="51">
        <v>0</v>
      </c>
      <c r="H41" s="52">
        <v>0.075</v>
      </c>
      <c r="I41" s="52">
        <v>-0.075</v>
      </c>
      <c r="J41" s="59" t="s">
        <v>61</v>
      </c>
      <c r="K41" s="60" t="s">
        <v>62</v>
      </c>
      <c r="L41" s="61">
        <f t="shared" si="9"/>
        <v>0.075</v>
      </c>
      <c r="M41" s="70">
        <f t="shared" si="10"/>
        <v>-0.075</v>
      </c>
      <c r="N41" s="71"/>
      <c r="O41" s="69">
        <f t="shared" ref="O41:O60" si="46">IF(OR($AK41="",ISNUMBER($AK41)=FALSE),"",MAX(AK41:EF41))</f>
        <v>0.00285</v>
      </c>
      <c r="P41" s="69">
        <f t="shared" ref="P41:P60" si="47">IF(OR($AK41="",ISNUMBER($AK41)=FALSE),"",MIN(AK41:EF41))</f>
        <v>-0.00744</v>
      </c>
      <c r="Q41" s="69">
        <f t="shared" ref="Q41:Q60" si="48">IF(OR($AK41="",ISNUMBER($AK41)=FALSE),"",AVERAGE(AK41:EF41))</f>
        <v>-0.001021875</v>
      </c>
      <c r="R41" s="79">
        <f t="shared" ref="R41:R60" si="49">IF(OR($AK41="",ISNUMBER($AK41)=FALSE),"",STDEV(AK41:EF41))</f>
        <v>0.00291704826228778</v>
      </c>
      <c r="S41" s="80">
        <f t="shared" si="36"/>
        <v>8.57030729426227</v>
      </c>
      <c r="T41" s="81">
        <f t="shared" si="16"/>
        <v>-0.013625</v>
      </c>
      <c r="U41" s="81" t="str">
        <f t="shared" si="17"/>
        <v>Level A</v>
      </c>
      <c r="V41" s="80">
        <f t="shared" si="37"/>
        <v>8.68707773114659</v>
      </c>
      <c r="W41" s="80">
        <f t="shared" si="38"/>
        <v>8.45353685737795</v>
      </c>
      <c r="X41" s="80">
        <f t="shared" si="44"/>
        <v>8.45353685737795</v>
      </c>
      <c r="Y41" s="89">
        <f t="shared" si="45"/>
        <v>1</v>
      </c>
      <c r="Z41" s="88" t="str">
        <f t="shared" si="20"/>
        <v/>
      </c>
      <c r="AA41" s="88" t="str">
        <f t="shared" si="21"/>
        <v/>
      </c>
      <c r="AB41" s="88">
        <f t="shared" si="22"/>
        <v>0.001021875</v>
      </c>
      <c r="AC41" s="88" t="str">
        <f t="shared" si="8"/>
        <v/>
      </c>
      <c r="AD41" s="95"/>
      <c r="AE41" s="96" t="str">
        <f t="shared" si="42"/>
        <v/>
      </c>
      <c r="AF41" s="97"/>
      <c r="AG41" s="104"/>
      <c r="AH41" s="104"/>
      <c r="AI41" s="105"/>
      <c r="AJ41" s="107"/>
      <c r="AK41" s="113">
        <v>-0.00409</v>
      </c>
      <c r="AL41" s="113">
        <v>0.00282</v>
      </c>
      <c r="AM41" s="113">
        <v>-0.00588</v>
      </c>
      <c r="AN41" s="113">
        <v>-0.00158</v>
      </c>
      <c r="AO41" s="113">
        <v>-0.00116</v>
      </c>
      <c r="AP41" s="113">
        <v>0.00174</v>
      </c>
      <c r="AQ41" s="113">
        <v>-0.00102</v>
      </c>
      <c r="AR41" s="113">
        <v>-0.00744</v>
      </c>
      <c r="AS41" s="113">
        <v>0.00257</v>
      </c>
      <c r="AT41" s="113">
        <v>-0.00574</v>
      </c>
      <c r="AU41" s="113">
        <v>-0.00195</v>
      </c>
      <c r="AV41" s="113">
        <v>-0.00087</v>
      </c>
      <c r="AW41" s="113">
        <v>0.00048</v>
      </c>
      <c r="AX41" s="113">
        <v>-0.00029</v>
      </c>
      <c r="AY41" s="113">
        <v>0.00026</v>
      </c>
      <c r="AZ41" s="113">
        <v>0.00014</v>
      </c>
      <c r="BA41" s="113">
        <v>0.0027</v>
      </c>
      <c r="BB41" s="113">
        <v>0.00241</v>
      </c>
      <c r="BC41" s="113">
        <v>0.00053</v>
      </c>
      <c r="BD41" s="113">
        <v>-0.00304</v>
      </c>
      <c r="BE41" s="113">
        <v>-0.00133</v>
      </c>
      <c r="BF41" s="113">
        <v>0.00059</v>
      </c>
      <c r="BG41" s="113">
        <v>0.00128</v>
      </c>
      <c r="BH41" s="113">
        <v>-0.00456</v>
      </c>
      <c r="BI41" s="113">
        <v>-0.00299</v>
      </c>
      <c r="BJ41" s="113">
        <v>0.00269</v>
      </c>
      <c r="BK41" s="113">
        <v>0.00285</v>
      </c>
      <c r="BL41" s="113">
        <v>0.0023</v>
      </c>
      <c r="BM41" s="113">
        <v>-0.00423</v>
      </c>
      <c r="BN41" s="113">
        <v>-0.00261</v>
      </c>
      <c r="BO41" s="113">
        <v>-0.00259</v>
      </c>
      <c r="BP41" s="113">
        <v>-0.00469</v>
      </c>
      <c r="BQ41" s="120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  <c r="CV41" s="121"/>
      <c r="CW41" s="121"/>
      <c r="CX41" s="121"/>
      <c r="CY41" s="121"/>
      <c r="CZ41" s="121"/>
      <c r="DA41" s="121"/>
      <c r="DB41" s="121"/>
      <c r="DC41" s="121"/>
      <c r="DD41" s="121"/>
      <c r="DE41" s="121"/>
      <c r="DF41" s="121"/>
      <c r="DG41" s="121"/>
      <c r="DH41" s="121"/>
      <c r="DI41" s="121"/>
      <c r="DJ41" s="121"/>
      <c r="DK41" s="121"/>
      <c r="DL41" s="121"/>
      <c r="DM41" s="121"/>
      <c r="DN41" s="121"/>
      <c r="DO41" s="121"/>
      <c r="DP41" s="121"/>
      <c r="DQ41" s="121"/>
      <c r="DR41" s="121"/>
      <c r="DS41" s="121"/>
      <c r="DT41" s="121"/>
      <c r="DU41" s="121"/>
      <c r="DV41" s="121"/>
      <c r="DW41" s="121"/>
      <c r="DX41" s="121"/>
      <c r="DY41" s="121"/>
      <c r="DZ41" s="121"/>
      <c r="EA41" s="121"/>
      <c r="EB41" s="121"/>
      <c r="EC41" s="121"/>
      <c r="ED41" s="121"/>
      <c r="EE41" s="121"/>
      <c r="EF41" s="121"/>
    </row>
    <row r="42" ht="15" customHeight="1" spans="1:136">
      <c r="A42" s="34">
        <v>32</v>
      </c>
      <c r="B42" s="35" t="s">
        <v>102</v>
      </c>
      <c r="C42" s="39" t="s">
        <v>103</v>
      </c>
      <c r="D42" s="38" t="s">
        <v>104</v>
      </c>
      <c r="E42" s="49">
        <v>1.33</v>
      </c>
      <c r="F42" s="50" t="s">
        <v>82</v>
      </c>
      <c r="G42" s="51"/>
      <c r="H42" s="52">
        <v>0.15</v>
      </c>
      <c r="I42" s="52"/>
      <c r="J42" s="59" t="s">
        <v>61</v>
      </c>
      <c r="K42" s="60" t="s">
        <v>62</v>
      </c>
      <c r="L42" s="61">
        <f t="shared" si="9"/>
        <v>0.15</v>
      </c>
      <c r="M42" s="70" t="str">
        <f t="shared" si="10"/>
        <v/>
      </c>
      <c r="N42" s="71"/>
      <c r="O42" s="69">
        <f t="shared" si="46"/>
        <v>0.09077</v>
      </c>
      <c r="P42" s="69">
        <f t="shared" si="47"/>
        <v>0.02833</v>
      </c>
      <c r="Q42" s="69">
        <f t="shared" si="48"/>
        <v>0.0514278125</v>
      </c>
      <c r="R42" s="79">
        <f t="shared" si="49"/>
        <v>0.0163788125794301</v>
      </c>
      <c r="S42" s="80">
        <f t="shared" si="36"/>
        <v>2.00609144734939</v>
      </c>
      <c r="T42" s="81">
        <f t="shared" si="16"/>
        <v>0.342852083333333</v>
      </c>
      <c r="U42" s="81" t="str">
        <f t="shared" si="17"/>
        <v>Level C</v>
      </c>
      <c r="V42" s="80">
        <f t="shared" si="37"/>
        <v>2.00609144734939</v>
      </c>
      <c r="W42" s="80" t="str">
        <f t="shared" si="38"/>
        <v/>
      </c>
      <c r="X42" s="80">
        <f t="shared" si="44"/>
        <v>2.00609144734939</v>
      </c>
      <c r="Y42" s="89">
        <f t="shared" si="45"/>
        <v>0.999999999118569</v>
      </c>
      <c r="Z42" s="88" t="str">
        <f t="shared" si="20"/>
        <v/>
      </c>
      <c r="AA42" s="88" t="str">
        <f t="shared" si="21"/>
        <v/>
      </c>
      <c r="AB42" s="88" t="str">
        <f t="shared" si="22"/>
        <v/>
      </c>
      <c r="AC42" s="88" t="str">
        <f t="shared" si="8"/>
        <v/>
      </c>
      <c r="AD42" s="95"/>
      <c r="AE42" s="96" t="str">
        <f t="shared" si="42"/>
        <v/>
      </c>
      <c r="AF42" s="97"/>
      <c r="AG42" s="104"/>
      <c r="AH42" s="104"/>
      <c r="AI42" s="105"/>
      <c r="AJ42" s="107"/>
      <c r="AK42" s="113">
        <v>0.03365</v>
      </c>
      <c r="AL42" s="113">
        <v>0.04957</v>
      </c>
      <c r="AM42" s="113">
        <v>0.03643</v>
      </c>
      <c r="AN42" s="113">
        <v>0.0321</v>
      </c>
      <c r="AO42" s="113">
        <v>0.06318</v>
      </c>
      <c r="AP42" s="113">
        <v>0.06096</v>
      </c>
      <c r="AQ42" s="113">
        <v>0.06146</v>
      </c>
      <c r="AR42" s="113">
        <v>0.04781</v>
      </c>
      <c r="AS42" s="113">
        <v>0.0448</v>
      </c>
      <c r="AT42" s="113">
        <v>0.0398</v>
      </c>
      <c r="AU42" s="113">
        <v>0.0632</v>
      </c>
      <c r="AV42" s="113">
        <v>0.03545</v>
      </c>
      <c r="AW42" s="113">
        <v>0.02833</v>
      </c>
      <c r="AX42" s="113">
        <v>0.04442</v>
      </c>
      <c r="AY42" s="113">
        <v>0.07791</v>
      </c>
      <c r="AZ42" s="113">
        <v>0.04225</v>
      </c>
      <c r="BA42" s="113">
        <v>0.0557</v>
      </c>
      <c r="BB42" s="113">
        <v>0.03845</v>
      </c>
      <c r="BC42" s="113">
        <v>0.0699</v>
      </c>
      <c r="BD42" s="113">
        <v>0.03755</v>
      </c>
      <c r="BE42" s="113">
        <v>0.05013</v>
      </c>
      <c r="BF42" s="113">
        <v>0.07937</v>
      </c>
      <c r="BG42" s="113">
        <v>0.05628</v>
      </c>
      <c r="BH42" s="113">
        <v>0.04116</v>
      </c>
      <c r="BI42" s="113">
        <v>0.08459</v>
      </c>
      <c r="BJ42" s="113">
        <v>0.09077</v>
      </c>
      <c r="BK42" s="113">
        <v>0.06125</v>
      </c>
      <c r="BL42" s="113">
        <v>0.04315</v>
      </c>
      <c r="BM42" s="113">
        <v>0.0445</v>
      </c>
      <c r="BN42" s="113">
        <v>0.03154</v>
      </c>
      <c r="BO42" s="113">
        <v>0.03947</v>
      </c>
      <c r="BP42" s="113">
        <v>0.06056</v>
      </c>
      <c r="BQ42" s="120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  <c r="DH42" s="121"/>
      <c r="DI42" s="121"/>
      <c r="DJ42" s="121"/>
      <c r="DK42" s="121"/>
      <c r="DL42" s="121"/>
      <c r="DM42" s="121"/>
      <c r="DN42" s="121"/>
      <c r="DO42" s="121"/>
      <c r="DP42" s="121"/>
      <c r="DQ42" s="121"/>
      <c r="DR42" s="121"/>
      <c r="DS42" s="121"/>
      <c r="DT42" s="121"/>
      <c r="DU42" s="121"/>
      <c r="DV42" s="121"/>
      <c r="DW42" s="121"/>
      <c r="DX42" s="121"/>
      <c r="DY42" s="121"/>
      <c r="DZ42" s="121"/>
      <c r="EA42" s="121"/>
      <c r="EB42" s="121"/>
      <c r="EC42" s="121"/>
      <c r="ED42" s="121"/>
      <c r="EE42" s="121"/>
      <c r="EF42" s="121"/>
    </row>
    <row r="43" ht="15" customHeight="1" spans="1:136">
      <c r="A43" s="34">
        <v>33</v>
      </c>
      <c r="B43" s="35"/>
      <c r="C43" s="39"/>
      <c r="D43" s="38" t="s">
        <v>83</v>
      </c>
      <c r="E43" s="49"/>
      <c r="F43" s="50" t="s">
        <v>60</v>
      </c>
      <c r="G43" s="51">
        <v>0</v>
      </c>
      <c r="H43" s="52">
        <v>0.075</v>
      </c>
      <c r="I43" s="52">
        <v>-0.075</v>
      </c>
      <c r="J43" s="59" t="s">
        <v>61</v>
      </c>
      <c r="K43" s="60" t="s">
        <v>62</v>
      </c>
      <c r="L43" s="61">
        <f t="shared" si="9"/>
        <v>0.075</v>
      </c>
      <c r="M43" s="70">
        <f t="shared" si="10"/>
        <v>-0.075</v>
      </c>
      <c r="N43" s="71"/>
      <c r="O43" s="69">
        <f t="shared" si="46"/>
        <v>0.03263</v>
      </c>
      <c r="P43" s="69">
        <f t="shared" si="47"/>
        <v>-0.02337</v>
      </c>
      <c r="Q43" s="69">
        <f t="shared" si="48"/>
        <v>0.0093525</v>
      </c>
      <c r="R43" s="79">
        <f t="shared" si="49"/>
        <v>0.0114709774030222</v>
      </c>
      <c r="S43" s="80">
        <f t="shared" si="36"/>
        <v>2.17941323756888</v>
      </c>
      <c r="T43" s="81">
        <f t="shared" si="16"/>
        <v>0.1247</v>
      </c>
      <c r="U43" s="81" t="str">
        <f t="shared" si="17"/>
        <v>Level A</v>
      </c>
      <c r="V43" s="80">
        <f t="shared" si="37"/>
        <v>1.90764040684404</v>
      </c>
      <c r="W43" s="80">
        <f t="shared" si="38"/>
        <v>2.45118606829372</v>
      </c>
      <c r="X43" s="80">
        <f t="shared" si="44"/>
        <v>1.90764040684404</v>
      </c>
      <c r="Y43" s="89">
        <f t="shared" si="45"/>
        <v>0.999999994764512</v>
      </c>
      <c r="Z43" s="88" t="str">
        <f t="shared" si="20"/>
        <v/>
      </c>
      <c r="AA43" s="88" t="str">
        <f t="shared" si="21"/>
        <v/>
      </c>
      <c r="AB43" s="88">
        <f t="shared" si="22"/>
        <v>-0.0093525</v>
      </c>
      <c r="AC43" s="88" t="str">
        <f t="shared" si="8"/>
        <v/>
      </c>
      <c r="AD43" s="95"/>
      <c r="AE43" s="96" t="str">
        <f t="shared" ref="AE43:AE74" si="50">IF(AD43="","",IF(AD43&gt;=0.966,"Normal","Not Normal"))</f>
        <v/>
      </c>
      <c r="AF43" s="97"/>
      <c r="AG43" s="104"/>
      <c r="AH43" s="104"/>
      <c r="AI43" s="105"/>
      <c r="AJ43" s="107"/>
      <c r="AK43" s="113">
        <v>-0.00288</v>
      </c>
      <c r="AL43" s="113">
        <v>0.01309</v>
      </c>
      <c r="AM43" s="113">
        <v>0.00117</v>
      </c>
      <c r="AN43" s="113">
        <v>0.00237</v>
      </c>
      <c r="AO43" s="113">
        <v>0.01138</v>
      </c>
      <c r="AP43" s="113">
        <v>0.01875</v>
      </c>
      <c r="AQ43" s="113">
        <v>0.01658</v>
      </c>
      <c r="AR43" s="113">
        <v>0.00708</v>
      </c>
      <c r="AS43" s="113">
        <v>0.01304</v>
      </c>
      <c r="AT43" s="113">
        <v>0.00894</v>
      </c>
      <c r="AU43" s="113">
        <v>0.01912</v>
      </c>
      <c r="AV43" s="113">
        <v>0.00399</v>
      </c>
      <c r="AW43" s="113">
        <v>0.00619</v>
      </c>
      <c r="AX43" s="113">
        <v>0.01138</v>
      </c>
      <c r="AY43" s="113">
        <v>0.02343</v>
      </c>
      <c r="AZ43" s="113">
        <v>-0.00072</v>
      </c>
      <c r="BA43" s="113">
        <v>0.01761</v>
      </c>
      <c r="BB43" s="113">
        <v>-0.00268</v>
      </c>
      <c r="BC43" s="113">
        <v>0.01875</v>
      </c>
      <c r="BD43" s="113">
        <v>-0.0026</v>
      </c>
      <c r="BE43" s="113">
        <v>0.00998</v>
      </c>
      <c r="BF43" s="113">
        <v>0.02393</v>
      </c>
      <c r="BG43" s="113">
        <v>-0.02337</v>
      </c>
      <c r="BH43" s="113">
        <v>0.00158</v>
      </c>
      <c r="BI43" s="113">
        <v>0.01949</v>
      </c>
      <c r="BJ43" s="113">
        <v>0.03263</v>
      </c>
      <c r="BK43" s="113">
        <v>0.02097</v>
      </c>
      <c r="BL43" s="113">
        <v>0.02131</v>
      </c>
      <c r="BM43" s="113">
        <v>0.00726</v>
      </c>
      <c r="BN43" s="113">
        <v>-0.01236</v>
      </c>
      <c r="BO43" s="113">
        <v>0.00697</v>
      </c>
      <c r="BP43" s="113">
        <v>0.0069</v>
      </c>
      <c r="BQ43" s="120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3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</row>
    <row r="44" ht="15" customHeight="1" spans="1:136">
      <c r="A44" s="34">
        <v>34</v>
      </c>
      <c r="B44" s="35"/>
      <c r="C44" s="39"/>
      <c r="D44" s="38" t="s">
        <v>84</v>
      </c>
      <c r="E44" s="49"/>
      <c r="F44" s="50" t="s">
        <v>60</v>
      </c>
      <c r="G44" s="51">
        <v>0</v>
      </c>
      <c r="H44" s="52">
        <v>0.075</v>
      </c>
      <c r="I44" s="52">
        <v>-0.075</v>
      </c>
      <c r="J44" s="59" t="s">
        <v>61</v>
      </c>
      <c r="K44" s="60" t="s">
        <v>62</v>
      </c>
      <c r="L44" s="61">
        <f t="shared" si="9"/>
        <v>0.075</v>
      </c>
      <c r="M44" s="70">
        <f t="shared" si="10"/>
        <v>-0.075</v>
      </c>
      <c r="N44" s="71"/>
      <c r="O44" s="69">
        <f t="shared" si="46"/>
        <v>0.03711</v>
      </c>
      <c r="P44" s="69">
        <f t="shared" si="47"/>
        <v>-0.01739</v>
      </c>
      <c r="Q44" s="69">
        <f t="shared" si="48"/>
        <v>0.0131471875</v>
      </c>
      <c r="R44" s="79">
        <f t="shared" si="49"/>
        <v>0.0109408050167857</v>
      </c>
      <c r="S44" s="80">
        <f t="shared" si="36"/>
        <v>2.2850238132975</v>
      </c>
      <c r="T44" s="81">
        <f t="shared" si="16"/>
        <v>0.175295833333333</v>
      </c>
      <c r="U44" s="81" t="str">
        <f t="shared" si="17"/>
        <v>Level B</v>
      </c>
      <c r="V44" s="80">
        <f t="shared" si="37"/>
        <v>1.884468659759</v>
      </c>
      <c r="W44" s="80">
        <f t="shared" si="38"/>
        <v>2.68557896683599</v>
      </c>
      <c r="X44" s="80">
        <f t="shared" si="44"/>
        <v>1.884468659759</v>
      </c>
      <c r="Y44" s="89">
        <f t="shared" si="45"/>
        <v>0.999999992135041</v>
      </c>
      <c r="Z44" s="88" t="str">
        <f t="shared" si="20"/>
        <v/>
      </c>
      <c r="AA44" s="88" t="str">
        <f t="shared" si="21"/>
        <v/>
      </c>
      <c r="AB44" s="88">
        <f t="shared" si="22"/>
        <v>-0.0131471875</v>
      </c>
      <c r="AC44" s="88" t="str">
        <f t="shared" si="8"/>
        <v/>
      </c>
      <c r="AD44" s="95"/>
      <c r="AE44" s="96" t="str">
        <f t="shared" si="50"/>
        <v/>
      </c>
      <c r="AF44" s="97"/>
      <c r="AG44" s="104"/>
      <c r="AH44" s="104"/>
      <c r="AI44" s="105"/>
      <c r="AJ44" s="107"/>
      <c r="AK44" s="113">
        <v>0.00268</v>
      </c>
      <c r="AL44" s="113">
        <v>0.0171</v>
      </c>
      <c r="AM44" s="113">
        <v>0.00762</v>
      </c>
      <c r="AN44" s="113">
        <v>0.00178</v>
      </c>
      <c r="AO44" s="113">
        <v>0.01099</v>
      </c>
      <c r="AP44" s="113">
        <v>0.02116</v>
      </c>
      <c r="AQ44" s="113">
        <v>0.01923</v>
      </c>
      <c r="AR44" s="113">
        <v>0.01218</v>
      </c>
      <c r="AS44" s="113">
        <v>0.01665</v>
      </c>
      <c r="AT44" s="113">
        <v>0.0157</v>
      </c>
      <c r="AU44" s="113">
        <v>0.01829</v>
      </c>
      <c r="AV44" s="113">
        <v>0.00894</v>
      </c>
      <c r="AW44" s="113">
        <v>0.01104</v>
      </c>
      <c r="AX44" s="113">
        <v>0.01164</v>
      </c>
      <c r="AY44" s="113">
        <v>0.02981</v>
      </c>
      <c r="AZ44" s="113">
        <v>0.00634</v>
      </c>
      <c r="BA44" s="113">
        <v>0.02365</v>
      </c>
      <c r="BB44" s="113">
        <v>0.00774</v>
      </c>
      <c r="BC44" s="113">
        <v>0.02337</v>
      </c>
      <c r="BD44" s="113">
        <v>0.00255</v>
      </c>
      <c r="BE44" s="113">
        <v>0.00978</v>
      </c>
      <c r="BF44" s="113">
        <v>0.02871</v>
      </c>
      <c r="BG44" s="113">
        <v>-0.01739</v>
      </c>
      <c r="BH44" s="113">
        <v>0.0114</v>
      </c>
      <c r="BI44" s="113">
        <v>0.02233</v>
      </c>
      <c r="BJ44" s="113">
        <v>0.03711</v>
      </c>
      <c r="BK44" s="113">
        <v>0.02081</v>
      </c>
      <c r="BL44" s="113">
        <v>0.02139</v>
      </c>
      <c r="BM44" s="113">
        <v>0.00719</v>
      </c>
      <c r="BN44" s="113">
        <v>-0.00973</v>
      </c>
      <c r="BO44" s="113">
        <v>0.00717</v>
      </c>
      <c r="BP44" s="113">
        <v>0.01348</v>
      </c>
      <c r="BQ44" s="120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</row>
    <row r="45" ht="15" customHeight="1" spans="1:136">
      <c r="A45" s="34">
        <v>35</v>
      </c>
      <c r="B45" s="35"/>
      <c r="C45" s="39"/>
      <c r="D45" s="38" t="s">
        <v>85</v>
      </c>
      <c r="E45" s="49"/>
      <c r="F45" s="50" t="s">
        <v>60</v>
      </c>
      <c r="G45" s="51">
        <v>0</v>
      </c>
      <c r="H45" s="52">
        <v>0.075</v>
      </c>
      <c r="I45" s="52">
        <v>-0.075</v>
      </c>
      <c r="J45" s="59" t="s">
        <v>61</v>
      </c>
      <c r="K45" s="60" t="s">
        <v>62</v>
      </c>
      <c r="L45" s="61">
        <f t="shared" si="9"/>
        <v>0.075</v>
      </c>
      <c r="M45" s="70">
        <f t="shared" si="10"/>
        <v>-0.075</v>
      </c>
      <c r="N45" s="71"/>
      <c r="O45" s="69">
        <f t="shared" si="46"/>
        <v>0.03877</v>
      </c>
      <c r="P45" s="69">
        <f t="shared" si="47"/>
        <v>-0.01154</v>
      </c>
      <c r="Q45" s="69">
        <f t="shared" si="48"/>
        <v>0.0157403125</v>
      </c>
      <c r="R45" s="79">
        <f t="shared" si="49"/>
        <v>0.0108965023936731</v>
      </c>
      <c r="S45" s="80">
        <f t="shared" si="36"/>
        <v>2.29431418420245</v>
      </c>
      <c r="T45" s="81">
        <f t="shared" si="16"/>
        <v>0.209870833333333</v>
      </c>
      <c r="U45" s="81" t="str">
        <f t="shared" si="17"/>
        <v>Level B</v>
      </c>
      <c r="V45" s="80">
        <f t="shared" si="37"/>
        <v>1.81280455443539</v>
      </c>
      <c r="W45" s="80">
        <f t="shared" si="38"/>
        <v>2.7758238139695</v>
      </c>
      <c r="X45" s="80">
        <f t="shared" si="44"/>
        <v>1.81280455443539</v>
      </c>
      <c r="Y45" s="89">
        <f t="shared" si="45"/>
        <v>0.999999973121476</v>
      </c>
      <c r="Z45" s="88" t="str">
        <f t="shared" si="20"/>
        <v/>
      </c>
      <c r="AA45" s="88" t="str">
        <f t="shared" si="21"/>
        <v/>
      </c>
      <c r="AB45" s="88">
        <f t="shared" si="22"/>
        <v>-0.0157403125</v>
      </c>
      <c r="AC45" s="88" t="str">
        <f t="shared" si="8"/>
        <v/>
      </c>
      <c r="AD45" s="95"/>
      <c r="AE45" s="96" t="str">
        <f t="shared" si="50"/>
        <v/>
      </c>
      <c r="AF45" s="97"/>
      <c r="AG45" s="104"/>
      <c r="AH45" s="104"/>
      <c r="AI45" s="105"/>
      <c r="AJ45" s="107"/>
      <c r="AK45" s="113">
        <v>0.0094</v>
      </c>
      <c r="AL45" s="113">
        <v>0.02015</v>
      </c>
      <c r="AM45" s="113">
        <v>0.01658</v>
      </c>
      <c r="AN45" s="113">
        <v>0.00119</v>
      </c>
      <c r="AO45" s="113">
        <v>0.01078</v>
      </c>
      <c r="AP45" s="113">
        <v>0.02313</v>
      </c>
      <c r="AQ45" s="113">
        <v>0.02042</v>
      </c>
      <c r="AR45" s="113">
        <v>0.01462</v>
      </c>
      <c r="AS45" s="113">
        <v>0.01988</v>
      </c>
      <c r="AT45" s="113">
        <v>0.0199</v>
      </c>
      <c r="AU45" s="113">
        <v>0.01785</v>
      </c>
      <c r="AV45" s="113">
        <v>0.01772</v>
      </c>
      <c r="AW45" s="113">
        <v>0.01386</v>
      </c>
      <c r="AX45" s="113">
        <v>0.00845</v>
      </c>
      <c r="AY45" s="113">
        <v>0.03744</v>
      </c>
      <c r="AZ45" s="113">
        <v>0.01216</v>
      </c>
      <c r="BA45" s="113">
        <v>0.02785</v>
      </c>
      <c r="BB45" s="113">
        <v>0.0118</v>
      </c>
      <c r="BC45" s="113">
        <v>0.02411</v>
      </c>
      <c r="BD45" s="113">
        <v>0.00433</v>
      </c>
      <c r="BE45" s="113">
        <v>0.0095</v>
      </c>
      <c r="BF45" s="113">
        <v>0.03222</v>
      </c>
      <c r="BG45" s="113">
        <v>-0.00844</v>
      </c>
      <c r="BH45" s="113">
        <v>0.02058</v>
      </c>
      <c r="BI45" s="113">
        <v>0.01916</v>
      </c>
      <c r="BJ45" s="113">
        <v>0.03877</v>
      </c>
      <c r="BK45" s="113">
        <v>0.01696</v>
      </c>
      <c r="BL45" s="113">
        <v>0.02158</v>
      </c>
      <c r="BM45" s="113">
        <v>0.0082</v>
      </c>
      <c r="BN45" s="113">
        <v>-0.01154</v>
      </c>
      <c r="BO45" s="113">
        <v>0.00791</v>
      </c>
      <c r="BP45" s="113">
        <v>0.01717</v>
      </c>
      <c r="BQ45" s="120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121"/>
      <c r="CN45" s="121"/>
      <c r="CO45" s="121"/>
      <c r="CP45" s="121"/>
      <c r="CQ45" s="121"/>
      <c r="CR45" s="121"/>
      <c r="CS45" s="121"/>
      <c r="CT45" s="121"/>
      <c r="CU45" s="121"/>
      <c r="CV45" s="121"/>
      <c r="CW45" s="121"/>
      <c r="CX45" s="121"/>
      <c r="CY45" s="121"/>
      <c r="CZ45" s="121"/>
      <c r="DA45" s="121"/>
      <c r="DB45" s="121"/>
      <c r="DC45" s="121"/>
      <c r="DD45" s="121"/>
      <c r="DE45" s="121"/>
      <c r="DF45" s="121"/>
      <c r="DG45" s="121"/>
      <c r="DH45" s="121"/>
      <c r="DI45" s="121"/>
      <c r="DJ45" s="121"/>
      <c r="DK45" s="121"/>
      <c r="DL45" s="121"/>
      <c r="DM45" s="121"/>
      <c r="DN45" s="121"/>
      <c r="DO45" s="121"/>
      <c r="DP45" s="121"/>
      <c r="DQ45" s="121"/>
      <c r="DR45" s="121"/>
      <c r="DS45" s="121"/>
      <c r="DT45" s="121"/>
      <c r="DU45" s="121"/>
      <c r="DV45" s="121"/>
      <c r="DW45" s="121"/>
      <c r="DX45" s="121"/>
      <c r="DY45" s="121"/>
      <c r="DZ45" s="121"/>
      <c r="EA45" s="121"/>
      <c r="EB45" s="121"/>
      <c r="EC45" s="121"/>
      <c r="ED45" s="121"/>
      <c r="EE45" s="121"/>
      <c r="EF45" s="121"/>
    </row>
    <row r="46" ht="15" customHeight="1" spans="1:136">
      <c r="A46" s="40">
        <v>36</v>
      </c>
      <c r="B46" s="35"/>
      <c r="C46" s="39"/>
      <c r="D46" s="38" t="s">
        <v>86</v>
      </c>
      <c r="E46" s="49"/>
      <c r="F46" s="50" t="s">
        <v>60</v>
      </c>
      <c r="G46" s="51">
        <v>0</v>
      </c>
      <c r="H46" s="52">
        <v>0.075</v>
      </c>
      <c r="I46" s="52">
        <v>-0.075</v>
      </c>
      <c r="J46" s="59" t="s">
        <v>61</v>
      </c>
      <c r="K46" s="60" t="s">
        <v>62</v>
      </c>
      <c r="L46" s="61">
        <f t="shared" si="9"/>
        <v>0.075</v>
      </c>
      <c r="M46" s="70">
        <f t="shared" si="10"/>
        <v>-0.075</v>
      </c>
      <c r="N46" s="72"/>
      <c r="O46" s="69">
        <f t="shared" si="46"/>
        <v>0.04539</v>
      </c>
      <c r="P46" s="69">
        <f t="shared" si="47"/>
        <v>-0.00811</v>
      </c>
      <c r="Q46" s="69">
        <f t="shared" si="48"/>
        <v>0.0234921875</v>
      </c>
      <c r="R46" s="79">
        <f t="shared" si="49"/>
        <v>0.0109892178049081</v>
      </c>
      <c r="S46" s="80">
        <f t="shared" si="36"/>
        <v>2.27495718474469</v>
      </c>
      <c r="T46" s="81">
        <f t="shared" si="16"/>
        <v>0.313229166666667</v>
      </c>
      <c r="U46" s="81" t="str">
        <f t="shared" si="17"/>
        <v>Level C</v>
      </c>
      <c r="V46" s="80">
        <f t="shared" si="37"/>
        <v>1.56237424156476</v>
      </c>
      <c r="W46" s="80">
        <f t="shared" si="38"/>
        <v>2.98754012792461</v>
      </c>
      <c r="X46" s="80">
        <f t="shared" si="44"/>
        <v>1.56237424156476</v>
      </c>
      <c r="Y46" s="89">
        <f t="shared" si="45"/>
        <v>0.999998614635844</v>
      </c>
      <c r="Z46" s="88" t="str">
        <f t="shared" si="20"/>
        <v/>
      </c>
      <c r="AA46" s="88" t="str">
        <f t="shared" si="21"/>
        <v/>
      </c>
      <c r="AB46" s="88">
        <f t="shared" si="22"/>
        <v>-0.0234921875</v>
      </c>
      <c r="AC46" s="88" t="str">
        <f t="shared" si="8"/>
        <v/>
      </c>
      <c r="AD46" s="95"/>
      <c r="AE46" s="96" t="str">
        <f t="shared" si="50"/>
        <v/>
      </c>
      <c r="AF46" s="97"/>
      <c r="AG46" s="104"/>
      <c r="AH46" s="104"/>
      <c r="AI46" s="105"/>
      <c r="AJ46" s="107"/>
      <c r="AK46" s="113">
        <v>0.01682</v>
      </c>
      <c r="AL46" s="113">
        <v>0.0227</v>
      </c>
      <c r="AM46" s="113">
        <v>0.01822</v>
      </c>
      <c r="AN46" s="113">
        <v>0.01605</v>
      </c>
      <c r="AO46" s="113">
        <v>0.03159</v>
      </c>
      <c r="AP46" s="113">
        <v>0.03048</v>
      </c>
      <c r="AQ46" s="113">
        <v>0.03073</v>
      </c>
      <c r="AR46" s="113">
        <v>0.02027</v>
      </c>
      <c r="AS46" s="113">
        <v>0.0224</v>
      </c>
      <c r="AT46" s="113">
        <v>0.01922</v>
      </c>
      <c r="AU46" s="113">
        <v>0.0316</v>
      </c>
      <c r="AV46" s="113">
        <v>0.01573</v>
      </c>
      <c r="AW46" s="113">
        <v>0.01217</v>
      </c>
      <c r="AX46" s="113">
        <v>0.02221</v>
      </c>
      <c r="AY46" s="113">
        <v>0.03896</v>
      </c>
      <c r="AZ46" s="113">
        <v>0.02112</v>
      </c>
      <c r="BA46" s="113">
        <v>0.02577</v>
      </c>
      <c r="BB46" s="113">
        <v>0.00106</v>
      </c>
      <c r="BC46" s="113">
        <v>0.03417</v>
      </c>
      <c r="BD46" s="113">
        <v>0.01878</v>
      </c>
      <c r="BE46" s="113">
        <v>0.02507</v>
      </c>
      <c r="BF46" s="113">
        <v>0.03968</v>
      </c>
      <c r="BG46" s="113">
        <v>-0.00811</v>
      </c>
      <c r="BH46" s="113">
        <v>0.02052</v>
      </c>
      <c r="BI46" s="113">
        <v>0.04229</v>
      </c>
      <c r="BJ46" s="113">
        <v>0.04539</v>
      </c>
      <c r="BK46" s="113">
        <v>0.03047</v>
      </c>
      <c r="BL46" s="113">
        <v>0.01967</v>
      </c>
      <c r="BM46" s="113">
        <v>0.02225</v>
      </c>
      <c r="BN46" s="113">
        <v>0.01577</v>
      </c>
      <c r="BO46" s="113">
        <v>0.01974</v>
      </c>
      <c r="BP46" s="113">
        <v>0.02896</v>
      </c>
      <c r="BQ46" s="120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  <c r="CV46" s="121"/>
      <c r="CW46" s="121"/>
      <c r="CX46" s="121"/>
      <c r="CY46" s="121"/>
      <c r="CZ46" s="121"/>
      <c r="DA46" s="121"/>
      <c r="DB46" s="121"/>
      <c r="DC46" s="121"/>
      <c r="DD46" s="121"/>
      <c r="DE46" s="121"/>
      <c r="DF46" s="121"/>
      <c r="DG46" s="121"/>
      <c r="DH46" s="121"/>
      <c r="DI46" s="121"/>
      <c r="DJ46" s="121"/>
      <c r="DK46" s="121"/>
      <c r="DL46" s="121"/>
      <c r="DM46" s="121"/>
      <c r="DN46" s="121"/>
      <c r="DO46" s="121"/>
      <c r="DP46" s="121"/>
      <c r="DQ46" s="121"/>
      <c r="DR46" s="121"/>
      <c r="DS46" s="121"/>
      <c r="DT46" s="121"/>
      <c r="DU46" s="121"/>
      <c r="DV46" s="121"/>
      <c r="DW46" s="121"/>
      <c r="DX46" s="121"/>
      <c r="DY46" s="121"/>
      <c r="DZ46" s="121"/>
      <c r="EA46" s="121"/>
      <c r="EB46" s="121"/>
      <c r="EC46" s="121"/>
      <c r="ED46" s="121"/>
      <c r="EE46" s="121"/>
      <c r="EF46" s="121"/>
    </row>
    <row r="47" ht="15" customHeight="1" spans="1:136">
      <c r="A47" s="34">
        <v>37</v>
      </c>
      <c r="B47" s="35"/>
      <c r="C47" s="39"/>
      <c r="D47" s="38" t="s">
        <v>87</v>
      </c>
      <c r="E47" s="49"/>
      <c r="F47" s="50" t="s">
        <v>60</v>
      </c>
      <c r="G47" s="51">
        <v>0</v>
      </c>
      <c r="H47" s="52">
        <v>0.075</v>
      </c>
      <c r="I47" s="52">
        <v>-0.075</v>
      </c>
      <c r="J47" s="59" t="s">
        <v>61</v>
      </c>
      <c r="K47" s="60" t="s">
        <v>62</v>
      </c>
      <c r="L47" s="61">
        <f t="shared" si="9"/>
        <v>0.075</v>
      </c>
      <c r="M47" s="70">
        <f t="shared" si="10"/>
        <v>-0.075</v>
      </c>
      <c r="N47" s="71"/>
      <c r="O47" s="69">
        <f t="shared" si="46"/>
        <v>0.04417</v>
      </c>
      <c r="P47" s="69">
        <f t="shared" si="47"/>
        <v>-0.01377</v>
      </c>
      <c r="Q47" s="69">
        <f t="shared" si="48"/>
        <v>0.0214225</v>
      </c>
      <c r="R47" s="79">
        <f t="shared" si="49"/>
        <v>0.011323928988736</v>
      </c>
      <c r="S47" s="80">
        <f t="shared" si="36"/>
        <v>2.20771430347786</v>
      </c>
      <c r="T47" s="81">
        <f t="shared" si="16"/>
        <v>0.285633333333333</v>
      </c>
      <c r="U47" s="81" t="str">
        <f t="shared" si="17"/>
        <v>Level C</v>
      </c>
      <c r="V47" s="80">
        <f t="shared" si="37"/>
        <v>1.5771175079278</v>
      </c>
      <c r="W47" s="80">
        <f t="shared" si="38"/>
        <v>2.83831109902791</v>
      </c>
      <c r="X47" s="80">
        <f t="shared" si="44"/>
        <v>1.5771175079278</v>
      </c>
      <c r="Y47" s="89">
        <f t="shared" si="45"/>
        <v>0.999998884855905</v>
      </c>
      <c r="Z47" s="88" t="str">
        <f t="shared" si="20"/>
        <v/>
      </c>
      <c r="AA47" s="88" t="str">
        <f t="shared" si="21"/>
        <v/>
      </c>
      <c r="AB47" s="88">
        <f t="shared" si="22"/>
        <v>-0.0214225</v>
      </c>
      <c r="AC47" s="88" t="str">
        <f t="shared" si="8"/>
        <v/>
      </c>
      <c r="AD47" s="95"/>
      <c r="AE47" s="96" t="str">
        <f t="shared" si="50"/>
        <v/>
      </c>
      <c r="AF47" s="97"/>
      <c r="AG47" s="104"/>
      <c r="AH47" s="104"/>
      <c r="AI47" s="105"/>
      <c r="AJ47" s="107"/>
      <c r="AK47" s="113">
        <v>0.01198</v>
      </c>
      <c r="AL47" s="113">
        <v>0.02478</v>
      </c>
      <c r="AM47" s="113">
        <v>0.01376</v>
      </c>
      <c r="AN47" s="113">
        <v>0.01498</v>
      </c>
      <c r="AO47" s="113">
        <v>0.02924</v>
      </c>
      <c r="AP47" s="113">
        <v>0.02849</v>
      </c>
      <c r="AQ47" s="113">
        <v>0.02888</v>
      </c>
      <c r="AR47" s="113">
        <v>0.0239</v>
      </c>
      <c r="AS47" s="113">
        <v>0.02089</v>
      </c>
      <c r="AT47" s="113">
        <v>0.01915</v>
      </c>
      <c r="AU47" s="113">
        <v>0.03076</v>
      </c>
      <c r="AV47" s="113">
        <v>0.0091</v>
      </c>
      <c r="AW47" s="113">
        <v>0.00913</v>
      </c>
      <c r="AX47" s="113">
        <v>0.01895</v>
      </c>
      <c r="AY47" s="113">
        <v>0.03506</v>
      </c>
      <c r="AZ47" s="113">
        <v>0.01759</v>
      </c>
      <c r="BA47" s="113">
        <v>0.02022</v>
      </c>
      <c r="BB47" s="113">
        <v>0.00406</v>
      </c>
      <c r="BC47" s="113">
        <v>0.03495</v>
      </c>
      <c r="BD47" s="113">
        <v>0.01638</v>
      </c>
      <c r="BE47" s="113">
        <v>0.02234</v>
      </c>
      <c r="BF47" s="113">
        <v>0.03432</v>
      </c>
      <c r="BG47" s="113">
        <v>-0.01377</v>
      </c>
      <c r="BH47" s="113">
        <v>0.02054</v>
      </c>
      <c r="BI47" s="113">
        <v>0.03812</v>
      </c>
      <c r="BJ47" s="113">
        <v>0.04417</v>
      </c>
      <c r="BK47" s="113">
        <v>0.03062</v>
      </c>
      <c r="BL47" s="113">
        <v>0.01336</v>
      </c>
      <c r="BM47" s="113">
        <v>0.02091</v>
      </c>
      <c r="BN47" s="113">
        <v>0.01514</v>
      </c>
      <c r="BO47" s="113">
        <v>0.01724</v>
      </c>
      <c r="BP47" s="113">
        <v>0.03028</v>
      </c>
      <c r="BQ47" s="120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  <c r="CV47" s="121"/>
      <c r="CW47" s="121"/>
      <c r="CX47" s="121"/>
      <c r="CY47" s="121"/>
      <c r="CZ47" s="121"/>
      <c r="DA47" s="121"/>
      <c r="DB47" s="121"/>
      <c r="DC47" s="121"/>
      <c r="DD47" s="121"/>
      <c r="DE47" s="121"/>
      <c r="DF47" s="121"/>
      <c r="DG47" s="121"/>
      <c r="DH47" s="121"/>
      <c r="DI47" s="121"/>
      <c r="DJ47" s="121"/>
      <c r="DK47" s="121"/>
      <c r="DL47" s="121"/>
      <c r="DM47" s="121"/>
      <c r="DN47" s="121"/>
      <c r="DO47" s="121"/>
      <c r="DP47" s="121"/>
      <c r="DQ47" s="121"/>
      <c r="DR47" s="121"/>
      <c r="DS47" s="121"/>
      <c r="DT47" s="121"/>
      <c r="DU47" s="121"/>
      <c r="DV47" s="121"/>
      <c r="DW47" s="121"/>
      <c r="DX47" s="121"/>
      <c r="DY47" s="121"/>
      <c r="DZ47" s="121"/>
      <c r="EA47" s="121"/>
      <c r="EB47" s="121"/>
      <c r="EC47" s="121"/>
      <c r="ED47" s="121"/>
      <c r="EE47" s="121"/>
      <c r="EF47" s="121"/>
    </row>
    <row r="48" ht="15" customHeight="1" spans="1:136">
      <c r="A48" s="34">
        <v>38</v>
      </c>
      <c r="B48" s="35"/>
      <c r="C48" s="39"/>
      <c r="D48" s="38" t="s">
        <v>93</v>
      </c>
      <c r="E48" s="49"/>
      <c r="F48" s="50" t="s">
        <v>60</v>
      </c>
      <c r="G48" s="51">
        <v>0</v>
      </c>
      <c r="H48" s="52">
        <v>0.075</v>
      </c>
      <c r="I48" s="52">
        <v>-0.075</v>
      </c>
      <c r="J48" s="59" t="s">
        <v>61</v>
      </c>
      <c r="K48" s="60" t="s">
        <v>62</v>
      </c>
      <c r="L48" s="61">
        <f t="shared" si="9"/>
        <v>0.075</v>
      </c>
      <c r="M48" s="70">
        <f t="shared" si="10"/>
        <v>-0.075</v>
      </c>
      <c r="N48" s="71"/>
      <c r="O48" s="69">
        <f t="shared" si="46"/>
        <v>0.04006</v>
      </c>
      <c r="P48" s="69">
        <f t="shared" si="47"/>
        <v>-0.02162</v>
      </c>
      <c r="Q48" s="69">
        <f t="shared" si="48"/>
        <v>0.015841875</v>
      </c>
      <c r="R48" s="79">
        <f t="shared" si="49"/>
        <v>0.0116284749055511</v>
      </c>
      <c r="S48" s="80">
        <f t="shared" si="36"/>
        <v>2.14989499509223</v>
      </c>
      <c r="T48" s="81">
        <f t="shared" si="16"/>
        <v>0.211225</v>
      </c>
      <c r="U48" s="81" t="str">
        <f t="shared" si="17"/>
        <v>Level B</v>
      </c>
      <c r="V48" s="80">
        <f t="shared" si="37"/>
        <v>1.69578342475388</v>
      </c>
      <c r="W48" s="80">
        <f t="shared" si="38"/>
        <v>2.60400656543059</v>
      </c>
      <c r="X48" s="80">
        <f t="shared" si="44"/>
        <v>1.69578342475388</v>
      </c>
      <c r="Y48" s="89">
        <f t="shared" si="45"/>
        <v>0.999999818449577</v>
      </c>
      <c r="Z48" s="88" t="str">
        <f t="shared" si="20"/>
        <v/>
      </c>
      <c r="AA48" s="88" t="str">
        <f t="shared" si="21"/>
        <v/>
      </c>
      <c r="AB48" s="88">
        <f t="shared" si="22"/>
        <v>-0.015841875</v>
      </c>
      <c r="AC48" s="88" t="str">
        <f t="shared" si="8"/>
        <v/>
      </c>
      <c r="AD48" s="95"/>
      <c r="AE48" s="96" t="str">
        <f t="shared" si="50"/>
        <v/>
      </c>
      <c r="AF48" s="97"/>
      <c r="AG48" s="104"/>
      <c r="AH48" s="104"/>
      <c r="AI48" s="105"/>
      <c r="AJ48" s="107"/>
      <c r="AK48" s="113">
        <v>0.00724</v>
      </c>
      <c r="AL48" s="113">
        <v>0.01954</v>
      </c>
      <c r="AM48" s="113">
        <v>0.00749</v>
      </c>
      <c r="AN48" s="113">
        <v>0.00741</v>
      </c>
      <c r="AO48" s="113">
        <v>0.02082</v>
      </c>
      <c r="AP48" s="113">
        <v>0.02398</v>
      </c>
      <c r="AQ48" s="113">
        <v>0.02274</v>
      </c>
      <c r="AR48" s="113">
        <v>0.02073</v>
      </c>
      <c r="AS48" s="113">
        <v>0.0164</v>
      </c>
      <c r="AT48" s="113">
        <v>0.01626</v>
      </c>
      <c r="AU48" s="113">
        <v>0.0215</v>
      </c>
      <c r="AV48" s="113">
        <v>0.00116</v>
      </c>
      <c r="AW48" s="113">
        <v>0.00601</v>
      </c>
      <c r="AX48" s="113">
        <v>0.01398</v>
      </c>
      <c r="AY48" s="113">
        <v>0.02915</v>
      </c>
      <c r="AZ48" s="113">
        <v>0.0137</v>
      </c>
      <c r="BA48" s="113">
        <v>0.0146</v>
      </c>
      <c r="BB48" s="113">
        <v>0.00356</v>
      </c>
      <c r="BC48" s="113">
        <v>0.03263</v>
      </c>
      <c r="BD48" s="113">
        <v>0.01085</v>
      </c>
      <c r="BE48" s="113">
        <v>0.01291</v>
      </c>
      <c r="BF48" s="113">
        <v>0.02733</v>
      </c>
      <c r="BG48" s="113">
        <v>-0.02162</v>
      </c>
      <c r="BH48" s="113">
        <v>0.01706</v>
      </c>
      <c r="BI48" s="113">
        <v>0.03103</v>
      </c>
      <c r="BJ48" s="113">
        <v>0.04006</v>
      </c>
      <c r="BK48" s="113">
        <v>0.02432</v>
      </c>
      <c r="BL48" s="113">
        <v>0.00523</v>
      </c>
      <c r="BM48" s="113">
        <v>0.01244</v>
      </c>
      <c r="BN48" s="113">
        <v>0.01153</v>
      </c>
      <c r="BO48" s="113">
        <v>0.00794</v>
      </c>
      <c r="BP48" s="113">
        <v>0.02896</v>
      </c>
      <c r="BQ48" s="120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3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  <c r="CV48" s="121"/>
      <c r="CW48" s="121"/>
      <c r="CX48" s="121"/>
      <c r="CY48" s="121"/>
      <c r="CZ48" s="121"/>
      <c r="DA48" s="121"/>
      <c r="DB48" s="121"/>
      <c r="DC48" s="121"/>
      <c r="DD48" s="121"/>
      <c r="DE48" s="121"/>
      <c r="DF48" s="121"/>
      <c r="DG48" s="121"/>
      <c r="DH48" s="121"/>
      <c r="DI48" s="121"/>
      <c r="DJ48" s="121"/>
      <c r="DK48" s="121"/>
      <c r="DL48" s="121"/>
      <c r="DM48" s="121"/>
      <c r="DN48" s="121"/>
      <c r="DO48" s="121"/>
      <c r="DP48" s="121"/>
      <c r="DQ48" s="121"/>
      <c r="DR48" s="121"/>
      <c r="DS48" s="121"/>
      <c r="DT48" s="121"/>
      <c r="DU48" s="121"/>
      <c r="DV48" s="121"/>
      <c r="DW48" s="121"/>
      <c r="DX48" s="121"/>
      <c r="DY48" s="121"/>
      <c r="DZ48" s="121"/>
      <c r="EA48" s="121"/>
      <c r="EB48" s="121"/>
      <c r="EC48" s="121"/>
      <c r="ED48" s="121"/>
      <c r="EE48" s="121"/>
      <c r="EF48" s="121"/>
    </row>
    <row r="49" ht="15" customHeight="1" spans="1:136">
      <c r="A49" s="34">
        <v>39</v>
      </c>
      <c r="B49" s="35"/>
      <c r="C49" s="39"/>
      <c r="D49" s="38" t="s">
        <v>94</v>
      </c>
      <c r="E49" s="49"/>
      <c r="F49" s="50" t="s">
        <v>60</v>
      </c>
      <c r="G49" s="51">
        <v>0</v>
      </c>
      <c r="H49" s="52">
        <v>0.075</v>
      </c>
      <c r="I49" s="52">
        <v>-0.075</v>
      </c>
      <c r="J49" s="59" t="s">
        <v>61</v>
      </c>
      <c r="K49" s="60" t="s">
        <v>62</v>
      </c>
      <c r="L49" s="61">
        <f t="shared" si="9"/>
        <v>0.075</v>
      </c>
      <c r="M49" s="70">
        <f t="shared" si="10"/>
        <v>-0.075</v>
      </c>
      <c r="N49" s="71"/>
      <c r="O49" s="69">
        <f t="shared" si="46"/>
        <v>0.03474</v>
      </c>
      <c r="P49" s="69">
        <f t="shared" si="47"/>
        <v>-0.00579</v>
      </c>
      <c r="Q49" s="69">
        <f t="shared" si="48"/>
        <v>0.014375</v>
      </c>
      <c r="R49" s="79">
        <f t="shared" si="49"/>
        <v>0.0101927615049492</v>
      </c>
      <c r="S49" s="80">
        <f t="shared" si="36"/>
        <v>2.4527209812435</v>
      </c>
      <c r="T49" s="81">
        <f t="shared" si="16"/>
        <v>0.191666666666667</v>
      </c>
      <c r="U49" s="81" t="str">
        <f t="shared" si="17"/>
        <v>Level B</v>
      </c>
      <c r="V49" s="80">
        <f t="shared" si="37"/>
        <v>1.98261612650517</v>
      </c>
      <c r="W49" s="80">
        <f t="shared" si="38"/>
        <v>2.92282583598184</v>
      </c>
      <c r="X49" s="80">
        <f t="shared" si="44"/>
        <v>1.98261612650517</v>
      </c>
      <c r="Y49" s="89">
        <f t="shared" si="45"/>
        <v>0.99999999864155</v>
      </c>
      <c r="Z49" s="88" t="str">
        <f t="shared" si="20"/>
        <v/>
      </c>
      <c r="AA49" s="88" t="str">
        <f t="shared" si="21"/>
        <v/>
      </c>
      <c r="AB49" s="88">
        <f t="shared" si="22"/>
        <v>-0.014375</v>
      </c>
      <c r="AC49" s="88" t="str">
        <f t="shared" si="8"/>
        <v/>
      </c>
      <c r="AD49" s="95"/>
      <c r="AE49" s="96" t="str">
        <f t="shared" si="50"/>
        <v/>
      </c>
      <c r="AF49" s="97"/>
      <c r="AG49" s="104"/>
      <c r="AH49" s="104"/>
      <c r="AI49" s="105"/>
      <c r="AJ49" s="107"/>
      <c r="AK49" s="113">
        <v>0.01148</v>
      </c>
      <c r="AL49" s="113">
        <v>0.01389</v>
      </c>
      <c r="AM49" s="113">
        <v>0.01244</v>
      </c>
      <c r="AN49" s="113">
        <v>0.00757</v>
      </c>
      <c r="AO49" s="113">
        <v>0.01624</v>
      </c>
      <c r="AP49" s="113">
        <v>0.01985</v>
      </c>
      <c r="AQ49" s="113">
        <v>0.01556</v>
      </c>
      <c r="AR49" s="113">
        <v>0.02103</v>
      </c>
      <c r="AS49" s="113">
        <v>0.01397</v>
      </c>
      <c r="AT49" s="113">
        <v>0.00558</v>
      </c>
      <c r="AU49" s="113">
        <v>0.01717</v>
      </c>
      <c r="AV49" s="113">
        <v>0.00741</v>
      </c>
      <c r="AW49" s="113">
        <v>-0.00029</v>
      </c>
      <c r="AX49" s="113">
        <v>0.00689</v>
      </c>
      <c r="AY49" s="113">
        <v>0.03474</v>
      </c>
      <c r="AZ49" s="113">
        <v>0.01863</v>
      </c>
      <c r="BA49" s="113">
        <v>0.01756</v>
      </c>
      <c r="BB49" s="113">
        <v>-0.00579</v>
      </c>
      <c r="BC49" s="113">
        <v>0.02347</v>
      </c>
      <c r="BD49" s="113">
        <v>0.01415</v>
      </c>
      <c r="BE49" s="113">
        <v>0.01367</v>
      </c>
      <c r="BF49" s="113">
        <v>0.02913</v>
      </c>
      <c r="BG49" s="113">
        <v>-0.00516</v>
      </c>
      <c r="BH49" s="113">
        <v>0.01465</v>
      </c>
      <c r="BI49" s="113">
        <v>0.03206</v>
      </c>
      <c r="BJ49" s="113">
        <v>0.03437</v>
      </c>
      <c r="BK49" s="113">
        <v>0.01624</v>
      </c>
      <c r="BL49" s="113">
        <v>0.00101</v>
      </c>
      <c r="BM49" s="113">
        <v>0.00745</v>
      </c>
      <c r="BN49" s="113">
        <v>0.01322</v>
      </c>
      <c r="BO49" s="113">
        <v>0.00598</v>
      </c>
      <c r="BP49" s="113">
        <v>0.02583</v>
      </c>
      <c r="BQ49" s="120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  <c r="CV49" s="121"/>
      <c r="CW49" s="121"/>
      <c r="CX49" s="121"/>
      <c r="CY49" s="121"/>
      <c r="CZ49" s="121"/>
      <c r="DA49" s="121"/>
      <c r="DB49" s="121"/>
      <c r="DC49" s="121"/>
      <c r="DD49" s="121"/>
      <c r="DE49" s="121"/>
      <c r="DF49" s="121"/>
      <c r="DG49" s="121"/>
      <c r="DH49" s="121"/>
      <c r="DI49" s="121"/>
      <c r="DJ49" s="121"/>
      <c r="DK49" s="121"/>
      <c r="DL49" s="121"/>
      <c r="DM49" s="121"/>
      <c r="DN49" s="121"/>
      <c r="DO49" s="121"/>
      <c r="DP49" s="121"/>
      <c r="DQ49" s="121"/>
      <c r="DR49" s="121"/>
      <c r="DS49" s="121"/>
      <c r="DT49" s="121"/>
      <c r="DU49" s="121"/>
      <c r="DV49" s="121"/>
      <c r="DW49" s="121"/>
      <c r="DX49" s="121"/>
      <c r="DY49" s="121"/>
      <c r="DZ49" s="121"/>
      <c r="EA49" s="121"/>
      <c r="EB49" s="121"/>
      <c r="EC49" s="121"/>
      <c r="ED49" s="121"/>
      <c r="EE49" s="121"/>
      <c r="EF49" s="121"/>
    </row>
    <row r="50" ht="15" customHeight="1" spans="1:136">
      <c r="A50" s="34">
        <v>40</v>
      </c>
      <c r="B50" s="35"/>
      <c r="C50" s="39"/>
      <c r="D50" s="38" t="s">
        <v>95</v>
      </c>
      <c r="E50" s="49"/>
      <c r="F50" s="50" t="s">
        <v>60</v>
      </c>
      <c r="G50" s="51">
        <v>0</v>
      </c>
      <c r="H50" s="52">
        <v>0.075</v>
      </c>
      <c r="I50" s="52">
        <v>-0.075</v>
      </c>
      <c r="J50" s="59" t="s">
        <v>61</v>
      </c>
      <c r="K50" s="60" t="s">
        <v>62</v>
      </c>
      <c r="L50" s="61">
        <f t="shared" si="9"/>
        <v>0.075</v>
      </c>
      <c r="M50" s="70">
        <f t="shared" si="10"/>
        <v>-0.075</v>
      </c>
      <c r="N50" s="71"/>
      <c r="O50" s="69">
        <f t="shared" si="46"/>
        <v>0.0265</v>
      </c>
      <c r="P50" s="69">
        <f t="shared" si="47"/>
        <v>-0.01771</v>
      </c>
      <c r="Q50" s="69">
        <f t="shared" si="48"/>
        <v>0.006716875</v>
      </c>
      <c r="R50" s="79">
        <f t="shared" si="49"/>
        <v>0.0107459413005787</v>
      </c>
      <c r="S50" s="80">
        <f t="shared" si="36"/>
        <v>2.32645975822086</v>
      </c>
      <c r="T50" s="81">
        <f t="shared" si="16"/>
        <v>0.0895583333333334</v>
      </c>
      <c r="U50" s="81" t="str">
        <f t="shared" si="17"/>
        <v>Level A</v>
      </c>
      <c r="V50" s="80">
        <f t="shared" si="37"/>
        <v>2.11810589970753</v>
      </c>
      <c r="W50" s="80">
        <f t="shared" si="38"/>
        <v>2.53481361673419</v>
      </c>
      <c r="X50" s="80">
        <f t="shared" si="44"/>
        <v>2.11810589970753</v>
      </c>
      <c r="Y50" s="89">
        <f t="shared" si="45"/>
        <v>0.999999999895309</v>
      </c>
      <c r="Z50" s="88" t="str">
        <f t="shared" si="20"/>
        <v/>
      </c>
      <c r="AA50" s="88" t="str">
        <f t="shared" si="21"/>
        <v/>
      </c>
      <c r="AB50" s="88">
        <f t="shared" si="22"/>
        <v>-0.006716875</v>
      </c>
      <c r="AC50" s="88" t="str">
        <f t="shared" si="8"/>
        <v/>
      </c>
      <c r="AD50" s="95"/>
      <c r="AE50" s="96" t="str">
        <f t="shared" si="50"/>
        <v/>
      </c>
      <c r="AF50" s="97"/>
      <c r="AG50" s="104"/>
      <c r="AH50" s="104"/>
      <c r="AI50" s="105"/>
      <c r="AJ50" s="107"/>
      <c r="AK50" s="113">
        <v>0.00217</v>
      </c>
      <c r="AL50" s="113">
        <v>0.01088</v>
      </c>
      <c r="AM50" s="113">
        <v>0.00168</v>
      </c>
      <c r="AN50" s="113">
        <v>0.00229</v>
      </c>
      <c r="AO50" s="113">
        <v>0.00773</v>
      </c>
      <c r="AP50" s="113">
        <v>0.01316</v>
      </c>
      <c r="AQ50" s="113">
        <v>0.00806</v>
      </c>
      <c r="AR50" s="113">
        <v>0.00718</v>
      </c>
      <c r="AS50" s="113">
        <v>0.00816</v>
      </c>
      <c r="AT50" s="113">
        <v>0.00027</v>
      </c>
      <c r="AU50" s="113">
        <v>0.011</v>
      </c>
      <c r="AV50" s="113">
        <v>-0.00316</v>
      </c>
      <c r="AW50" s="113">
        <v>-0.00739</v>
      </c>
      <c r="AX50" s="113">
        <v>-0.00108</v>
      </c>
      <c r="AY50" s="113">
        <v>0.02571</v>
      </c>
      <c r="AZ50" s="113">
        <v>0.01035</v>
      </c>
      <c r="BA50" s="113">
        <v>0.00617</v>
      </c>
      <c r="BB50" s="113">
        <v>-0.01273</v>
      </c>
      <c r="BC50" s="113">
        <v>0.0191</v>
      </c>
      <c r="BD50" s="113">
        <v>0.00673</v>
      </c>
      <c r="BE50" s="113">
        <v>0.00664</v>
      </c>
      <c r="BF50" s="113">
        <v>0.01996</v>
      </c>
      <c r="BG50" s="113">
        <v>-0.01771</v>
      </c>
      <c r="BH50" s="113">
        <v>0.00964</v>
      </c>
      <c r="BI50" s="113">
        <v>0.02504</v>
      </c>
      <c r="BJ50" s="113">
        <v>0.0265</v>
      </c>
      <c r="BK50" s="113">
        <v>0.00875</v>
      </c>
      <c r="BL50" s="113">
        <v>-0.00972</v>
      </c>
      <c r="BM50" s="113">
        <v>0.0009</v>
      </c>
      <c r="BN50" s="113">
        <v>0.00736</v>
      </c>
      <c r="BO50" s="113">
        <v>-0.00118</v>
      </c>
      <c r="BP50" s="113">
        <v>0.02248</v>
      </c>
      <c r="BQ50" s="120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  <c r="CV50" s="121"/>
      <c r="CW50" s="121"/>
      <c r="CX50" s="121"/>
      <c r="CY50" s="121"/>
      <c r="CZ50" s="121"/>
      <c r="DA50" s="121"/>
      <c r="DB50" s="121"/>
      <c r="DC50" s="121"/>
      <c r="DD50" s="121"/>
      <c r="DE50" s="121"/>
      <c r="DF50" s="121"/>
      <c r="DG50" s="121"/>
      <c r="DH50" s="121"/>
      <c r="DI50" s="121"/>
      <c r="DJ50" s="121"/>
      <c r="DK50" s="121"/>
      <c r="DL50" s="121"/>
      <c r="DM50" s="121"/>
      <c r="DN50" s="121"/>
      <c r="DO50" s="121"/>
      <c r="DP50" s="121"/>
      <c r="DQ50" s="121"/>
      <c r="DR50" s="121"/>
      <c r="DS50" s="121"/>
      <c r="DT50" s="121"/>
      <c r="DU50" s="121"/>
      <c r="DV50" s="121"/>
      <c r="DW50" s="121"/>
      <c r="DX50" s="121"/>
      <c r="DY50" s="121"/>
      <c r="DZ50" s="121"/>
      <c r="EA50" s="121"/>
      <c r="EB50" s="121"/>
      <c r="EC50" s="121"/>
      <c r="ED50" s="121"/>
      <c r="EE50" s="121"/>
      <c r="EF50" s="121"/>
    </row>
    <row r="51" ht="15" customHeight="1" spans="1:136">
      <c r="A51" s="34">
        <v>41</v>
      </c>
      <c r="B51" s="35"/>
      <c r="C51" s="39"/>
      <c r="D51" s="38" t="s">
        <v>96</v>
      </c>
      <c r="E51" s="49"/>
      <c r="F51" s="50" t="s">
        <v>60</v>
      </c>
      <c r="G51" s="51">
        <v>0</v>
      </c>
      <c r="H51" s="52">
        <v>0.075</v>
      </c>
      <c r="I51" s="52">
        <v>-0.075</v>
      </c>
      <c r="J51" s="59" t="s">
        <v>61</v>
      </c>
      <c r="K51" s="60" t="s">
        <v>62</v>
      </c>
      <c r="L51" s="61">
        <f t="shared" si="9"/>
        <v>0.075</v>
      </c>
      <c r="M51" s="70">
        <f t="shared" si="10"/>
        <v>-0.075</v>
      </c>
      <c r="N51" s="71"/>
      <c r="O51" s="69">
        <f t="shared" si="46"/>
        <v>0.01939</v>
      </c>
      <c r="P51" s="69">
        <f t="shared" si="47"/>
        <v>-0.02814</v>
      </c>
      <c r="Q51" s="69">
        <f t="shared" si="48"/>
        <v>-0.0003703125</v>
      </c>
      <c r="R51" s="79">
        <f t="shared" si="49"/>
        <v>0.0116647003983413</v>
      </c>
      <c r="S51" s="80">
        <f t="shared" si="36"/>
        <v>2.14321835505993</v>
      </c>
      <c r="T51" s="81">
        <f t="shared" si="16"/>
        <v>-0.0049375</v>
      </c>
      <c r="U51" s="81" t="str">
        <f t="shared" si="17"/>
        <v>Level A</v>
      </c>
      <c r="V51" s="80">
        <f t="shared" si="37"/>
        <v>2.15380049568804</v>
      </c>
      <c r="W51" s="80">
        <f t="shared" si="38"/>
        <v>2.13263621443182</v>
      </c>
      <c r="X51" s="80">
        <f t="shared" si="44"/>
        <v>2.13263621443182</v>
      </c>
      <c r="Y51" s="89">
        <f t="shared" si="45"/>
        <v>0.999999999869371</v>
      </c>
      <c r="Z51" s="88" t="str">
        <f t="shared" si="20"/>
        <v/>
      </c>
      <c r="AA51" s="88" t="str">
        <f t="shared" si="21"/>
        <v/>
      </c>
      <c r="AB51" s="88">
        <f t="shared" si="22"/>
        <v>0.0003703125</v>
      </c>
      <c r="AC51" s="88" t="str">
        <f t="shared" si="8"/>
        <v/>
      </c>
      <c r="AD51" s="95"/>
      <c r="AE51" s="96" t="str">
        <f t="shared" si="50"/>
        <v/>
      </c>
      <c r="AF51" s="97"/>
      <c r="AG51" s="104"/>
      <c r="AH51" s="104"/>
      <c r="AI51" s="105"/>
      <c r="AJ51" s="107"/>
      <c r="AK51" s="113">
        <v>-0.00581</v>
      </c>
      <c r="AL51" s="113">
        <v>0.00543</v>
      </c>
      <c r="AM51" s="113">
        <v>-0.00794</v>
      </c>
      <c r="AN51" s="113">
        <v>-0.0038</v>
      </c>
      <c r="AO51" s="113">
        <v>0.00088</v>
      </c>
      <c r="AP51" s="113">
        <v>0.00646</v>
      </c>
      <c r="AQ51" s="113">
        <v>0.00135</v>
      </c>
      <c r="AR51" s="113">
        <v>0.00294</v>
      </c>
      <c r="AS51" s="113">
        <v>0.00401</v>
      </c>
      <c r="AT51" s="113">
        <v>-0.00397</v>
      </c>
      <c r="AU51" s="113">
        <v>0.004</v>
      </c>
      <c r="AV51" s="113">
        <v>-0.01324</v>
      </c>
      <c r="AW51" s="113">
        <v>-0.01416</v>
      </c>
      <c r="AX51" s="113">
        <v>-0.00866</v>
      </c>
      <c r="AY51" s="113">
        <v>0.01714</v>
      </c>
      <c r="AZ51" s="113">
        <v>0.00342</v>
      </c>
      <c r="BA51" s="113">
        <v>-0.00368</v>
      </c>
      <c r="BB51" s="113">
        <v>-0.01922</v>
      </c>
      <c r="BC51" s="113">
        <v>0.01548</v>
      </c>
      <c r="BD51" s="113">
        <v>-0.00049</v>
      </c>
      <c r="BE51" s="113">
        <v>-0.002</v>
      </c>
      <c r="BF51" s="113">
        <v>0.00949</v>
      </c>
      <c r="BG51" s="113">
        <v>-0.02814</v>
      </c>
      <c r="BH51" s="113">
        <v>0.00678</v>
      </c>
      <c r="BI51" s="113">
        <v>0.01679</v>
      </c>
      <c r="BJ51" s="113">
        <v>0.01917</v>
      </c>
      <c r="BK51" s="113">
        <v>0.00367</v>
      </c>
      <c r="BL51" s="113">
        <v>-0.02087</v>
      </c>
      <c r="BM51" s="113">
        <v>-0.008</v>
      </c>
      <c r="BN51" s="113">
        <v>0.00284</v>
      </c>
      <c r="BO51" s="113">
        <v>-0.01111</v>
      </c>
      <c r="BP51" s="113">
        <v>0.01939</v>
      </c>
      <c r="BQ51" s="120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  <c r="CV51" s="121"/>
      <c r="CW51" s="121"/>
      <c r="CX51" s="121"/>
      <c r="CY51" s="121"/>
      <c r="CZ51" s="121"/>
      <c r="DA51" s="121"/>
      <c r="DB51" s="121"/>
      <c r="DC51" s="121"/>
      <c r="DD51" s="121"/>
      <c r="DE51" s="121"/>
      <c r="DF51" s="121"/>
      <c r="DG51" s="121"/>
      <c r="DH51" s="121"/>
      <c r="DI51" s="121"/>
      <c r="DJ51" s="121"/>
      <c r="DK51" s="121"/>
      <c r="DL51" s="121"/>
      <c r="DM51" s="121"/>
      <c r="DN51" s="121"/>
      <c r="DO51" s="121"/>
      <c r="DP51" s="121"/>
      <c r="DQ51" s="121"/>
      <c r="DR51" s="121"/>
      <c r="DS51" s="121"/>
      <c r="DT51" s="121"/>
      <c r="DU51" s="121"/>
      <c r="DV51" s="121"/>
      <c r="DW51" s="121"/>
      <c r="DX51" s="121"/>
      <c r="DY51" s="121"/>
      <c r="DZ51" s="121"/>
      <c r="EA51" s="121"/>
      <c r="EB51" s="121"/>
      <c r="EC51" s="121"/>
      <c r="ED51" s="121"/>
      <c r="EE51" s="121"/>
      <c r="EF51" s="121"/>
    </row>
    <row r="52" ht="15" customHeight="1" spans="1:136">
      <c r="A52" s="34">
        <v>42</v>
      </c>
      <c r="B52" s="35" t="s">
        <v>105</v>
      </c>
      <c r="C52" s="39" t="s">
        <v>106</v>
      </c>
      <c r="D52" s="38" t="s">
        <v>104</v>
      </c>
      <c r="E52" s="49">
        <v>1.33</v>
      </c>
      <c r="F52" s="50" t="s">
        <v>82</v>
      </c>
      <c r="G52" s="51"/>
      <c r="H52" s="52">
        <v>0.15</v>
      </c>
      <c r="I52" s="52"/>
      <c r="J52" s="59" t="s">
        <v>61</v>
      </c>
      <c r="K52" s="60" t="s">
        <v>62</v>
      </c>
      <c r="L52" s="61">
        <f t="shared" si="9"/>
        <v>0.15</v>
      </c>
      <c r="M52" s="70" t="str">
        <f t="shared" si="10"/>
        <v/>
      </c>
      <c r="N52" s="71"/>
      <c r="O52" s="69">
        <f t="shared" si="46"/>
        <v>0.06118</v>
      </c>
      <c r="P52" s="69">
        <f t="shared" si="47"/>
        <v>0.02657</v>
      </c>
      <c r="Q52" s="69">
        <f t="shared" si="48"/>
        <v>0.0406528125</v>
      </c>
      <c r="R52" s="79">
        <f t="shared" si="49"/>
        <v>0.00921892381738815</v>
      </c>
      <c r="S52" s="80">
        <f t="shared" si="36"/>
        <v>3.95372206365911</v>
      </c>
      <c r="T52" s="81">
        <f t="shared" si="16"/>
        <v>0.27101875</v>
      </c>
      <c r="U52" s="81" t="str">
        <f t="shared" si="17"/>
        <v>Level C</v>
      </c>
      <c r="V52" s="80">
        <f t="shared" si="37"/>
        <v>3.95372206365911</v>
      </c>
      <c r="W52" s="80" t="str">
        <f t="shared" si="38"/>
        <v/>
      </c>
      <c r="X52" s="80">
        <f t="shared" si="44"/>
        <v>3.95372206365911</v>
      </c>
      <c r="Y52" s="89">
        <f t="shared" si="45"/>
        <v>1</v>
      </c>
      <c r="Z52" s="88" t="str">
        <f t="shared" si="20"/>
        <v/>
      </c>
      <c r="AA52" s="88" t="str">
        <f t="shared" si="21"/>
        <v/>
      </c>
      <c r="AB52" s="88" t="str">
        <f t="shared" si="22"/>
        <v/>
      </c>
      <c r="AC52" s="88" t="str">
        <f t="shared" si="8"/>
        <v/>
      </c>
      <c r="AD52" s="95"/>
      <c r="AE52" s="96" t="str">
        <f t="shared" si="50"/>
        <v/>
      </c>
      <c r="AF52" s="97"/>
      <c r="AG52" s="104"/>
      <c r="AH52" s="104"/>
      <c r="AI52" s="105"/>
      <c r="AJ52" s="107"/>
      <c r="AK52" s="113">
        <v>0.0414</v>
      </c>
      <c r="AL52" s="113">
        <v>0.03876</v>
      </c>
      <c r="AM52" s="113">
        <v>0.03852</v>
      </c>
      <c r="AN52" s="113">
        <v>0.03624</v>
      </c>
      <c r="AO52" s="113">
        <v>0.05088</v>
      </c>
      <c r="AP52" s="113">
        <v>0.05477</v>
      </c>
      <c r="AQ52" s="113">
        <v>0.05447</v>
      </c>
      <c r="AR52" s="113">
        <v>0.03986</v>
      </c>
      <c r="AS52" s="113">
        <v>0.03023</v>
      </c>
      <c r="AT52" s="113">
        <v>0.05263</v>
      </c>
      <c r="AU52" s="113">
        <v>0.04019</v>
      </c>
      <c r="AV52" s="113">
        <v>0.03264</v>
      </c>
      <c r="AW52" s="113">
        <v>0.02723</v>
      </c>
      <c r="AX52" s="113">
        <v>0.03975</v>
      </c>
      <c r="AY52" s="113">
        <v>0.03257</v>
      </c>
      <c r="AZ52" s="113">
        <v>0.03767</v>
      </c>
      <c r="BA52" s="113">
        <v>0.03485</v>
      </c>
      <c r="BB52" s="113">
        <v>0.0606</v>
      </c>
      <c r="BC52" s="113">
        <v>0.02657</v>
      </c>
      <c r="BD52" s="113">
        <v>0.03506</v>
      </c>
      <c r="BE52" s="113">
        <v>0.06118</v>
      </c>
      <c r="BF52" s="113">
        <v>0.04351</v>
      </c>
      <c r="BG52" s="113">
        <v>0.0336</v>
      </c>
      <c r="BH52" s="113">
        <v>0.03815</v>
      </c>
      <c r="BI52" s="113">
        <v>0.04643</v>
      </c>
      <c r="BJ52" s="113">
        <v>0.04166</v>
      </c>
      <c r="BK52" s="113">
        <v>0.04142</v>
      </c>
      <c r="BL52" s="113">
        <v>0.03264</v>
      </c>
      <c r="BM52" s="113">
        <v>0.05345</v>
      </c>
      <c r="BN52" s="113">
        <v>0.03523</v>
      </c>
      <c r="BO52" s="113">
        <v>0.03762</v>
      </c>
      <c r="BP52" s="113">
        <v>0.03111</v>
      </c>
      <c r="BQ52" s="120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  <c r="CV52" s="121"/>
      <c r="CW52" s="121"/>
      <c r="CX52" s="121"/>
      <c r="CY52" s="121"/>
      <c r="CZ52" s="121"/>
      <c r="DA52" s="121"/>
      <c r="DB52" s="121"/>
      <c r="DC52" s="121"/>
      <c r="DD52" s="121"/>
      <c r="DE52" s="121"/>
      <c r="DF52" s="121"/>
      <c r="DG52" s="121"/>
      <c r="DH52" s="121"/>
      <c r="DI52" s="121"/>
      <c r="DJ52" s="121"/>
      <c r="DK52" s="121"/>
      <c r="DL52" s="121"/>
      <c r="DM52" s="121"/>
      <c r="DN52" s="121"/>
      <c r="DO52" s="121"/>
      <c r="DP52" s="121"/>
      <c r="DQ52" s="121"/>
      <c r="DR52" s="121"/>
      <c r="DS52" s="121"/>
      <c r="DT52" s="121"/>
      <c r="DU52" s="121"/>
      <c r="DV52" s="121"/>
      <c r="DW52" s="121"/>
      <c r="DX52" s="121"/>
      <c r="DY52" s="121"/>
      <c r="DZ52" s="121"/>
      <c r="EA52" s="121"/>
      <c r="EB52" s="121"/>
      <c r="EC52" s="121"/>
      <c r="ED52" s="121"/>
      <c r="EE52" s="121"/>
      <c r="EF52" s="121"/>
    </row>
    <row r="53" ht="15" customHeight="1" spans="1:136">
      <c r="A53" s="34">
        <v>43</v>
      </c>
      <c r="B53" s="35"/>
      <c r="C53" s="39"/>
      <c r="D53" s="38" t="s">
        <v>83</v>
      </c>
      <c r="E53" s="49"/>
      <c r="F53" s="50" t="s">
        <v>60</v>
      </c>
      <c r="G53" s="51">
        <v>0</v>
      </c>
      <c r="H53" s="52">
        <v>0.075</v>
      </c>
      <c r="I53" s="52">
        <v>-0.075</v>
      </c>
      <c r="J53" s="59" t="s">
        <v>61</v>
      </c>
      <c r="K53" s="60" t="s">
        <v>62</v>
      </c>
      <c r="L53" s="61">
        <f t="shared" si="9"/>
        <v>0.075</v>
      </c>
      <c r="M53" s="70">
        <f t="shared" si="10"/>
        <v>-0.075</v>
      </c>
      <c r="N53" s="71"/>
      <c r="O53" s="69">
        <f t="shared" si="46"/>
        <v>2e-5</v>
      </c>
      <c r="P53" s="69">
        <f t="shared" si="47"/>
        <v>-0.00265</v>
      </c>
      <c r="Q53" s="69">
        <f t="shared" si="48"/>
        <v>-0.0015725</v>
      </c>
      <c r="R53" s="79">
        <f t="shared" si="49"/>
        <v>0.000664539617499067</v>
      </c>
      <c r="S53" s="80">
        <f t="shared" si="36"/>
        <v>37.6200294785812</v>
      </c>
      <c r="T53" s="81">
        <f t="shared" si="16"/>
        <v>-0.0209666666666667</v>
      </c>
      <c r="U53" s="81" t="str">
        <f t="shared" si="17"/>
        <v>Level A</v>
      </c>
      <c r="V53" s="80">
        <f t="shared" si="37"/>
        <v>38.4087960966488</v>
      </c>
      <c r="W53" s="80">
        <f t="shared" si="38"/>
        <v>36.8312628605136</v>
      </c>
      <c r="X53" s="80">
        <f t="shared" si="44"/>
        <v>36.8312628605136</v>
      </c>
      <c r="Y53" s="89">
        <f t="shared" si="45"/>
        <v>1</v>
      </c>
      <c r="Z53" s="88" t="str">
        <f t="shared" si="20"/>
        <v/>
      </c>
      <c r="AA53" s="88" t="str">
        <f t="shared" si="21"/>
        <v/>
      </c>
      <c r="AB53" s="88">
        <f t="shared" si="22"/>
        <v>0.0015725</v>
      </c>
      <c r="AC53" s="88" t="str">
        <f t="shared" si="8"/>
        <v/>
      </c>
      <c r="AD53" s="95"/>
      <c r="AE53" s="96" t="str">
        <f t="shared" si="50"/>
        <v/>
      </c>
      <c r="AF53" s="97"/>
      <c r="AG53" s="104"/>
      <c r="AH53" s="104"/>
      <c r="AI53" s="105"/>
      <c r="AJ53" s="107"/>
      <c r="AK53" s="113">
        <v>-0.00094</v>
      </c>
      <c r="AL53" s="113">
        <v>-0.00194</v>
      </c>
      <c r="AM53" s="113">
        <v>-0.00016</v>
      </c>
      <c r="AN53" s="113">
        <v>-0.00187</v>
      </c>
      <c r="AO53" s="113">
        <v>-0.00257</v>
      </c>
      <c r="AP53" s="113">
        <v>-0.00214</v>
      </c>
      <c r="AQ53" s="113">
        <v>-0.0018</v>
      </c>
      <c r="AR53" s="113">
        <v>2e-5</v>
      </c>
      <c r="AS53" s="113">
        <v>-0.00265</v>
      </c>
      <c r="AT53" s="113">
        <v>-0.00076</v>
      </c>
      <c r="AU53" s="113">
        <v>-0.00142</v>
      </c>
      <c r="AV53" s="113">
        <v>-0.0013</v>
      </c>
      <c r="AW53" s="113">
        <v>-0.00219</v>
      </c>
      <c r="AX53" s="113">
        <v>-0.00138</v>
      </c>
      <c r="AY53" s="113">
        <v>-0.00175</v>
      </c>
      <c r="AZ53" s="113">
        <v>-0.00209</v>
      </c>
      <c r="BA53" s="113">
        <v>-0.00189</v>
      </c>
      <c r="BB53" s="113">
        <v>-0.00183</v>
      </c>
      <c r="BC53" s="113">
        <v>-0.0023</v>
      </c>
      <c r="BD53" s="113">
        <v>-0.00131</v>
      </c>
      <c r="BE53" s="113">
        <v>-0.00096</v>
      </c>
      <c r="BF53" s="113">
        <v>-0.00189</v>
      </c>
      <c r="BG53" s="113">
        <v>-0.00137</v>
      </c>
      <c r="BH53" s="113">
        <v>-0.00114</v>
      </c>
      <c r="BI53" s="113">
        <v>-0.00084</v>
      </c>
      <c r="BJ53" s="113">
        <v>-0.0024</v>
      </c>
      <c r="BK53" s="113">
        <v>-0.0025</v>
      </c>
      <c r="BL53" s="113">
        <v>-0.00194</v>
      </c>
      <c r="BM53" s="113">
        <v>-0.00131</v>
      </c>
      <c r="BN53" s="113">
        <v>-0.00174</v>
      </c>
      <c r="BO53" s="113">
        <v>-0.00113</v>
      </c>
      <c r="BP53" s="113">
        <v>-0.00083</v>
      </c>
      <c r="BQ53" s="120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  <c r="CV53" s="121"/>
      <c r="CW53" s="121"/>
      <c r="CX53" s="121"/>
      <c r="CY53" s="121"/>
      <c r="CZ53" s="121"/>
      <c r="DA53" s="121"/>
      <c r="DB53" s="121"/>
      <c r="DC53" s="121"/>
      <c r="DD53" s="121"/>
      <c r="DE53" s="121"/>
      <c r="DF53" s="121"/>
      <c r="DG53" s="121"/>
      <c r="DH53" s="121"/>
      <c r="DI53" s="121"/>
      <c r="DJ53" s="121"/>
      <c r="DK53" s="121"/>
      <c r="DL53" s="121"/>
      <c r="DM53" s="121"/>
      <c r="DN53" s="121"/>
      <c r="DO53" s="121"/>
      <c r="DP53" s="121"/>
      <c r="DQ53" s="121"/>
      <c r="DR53" s="121"/>
      <c r="DS53" s="121"/>
      <c r="DT53" s="121"/>
      <c r="DU53" s="121"/>
      <c r="DV53" s="121"/>
      <c r="DW53" s="121"/>
      <c r="DX53" s="121"/>
      <c r="DY53" s="121"/>
      <c r="DZ53" s="121"/>
      <c r="EA53" s="121"/>
      <c r="EB53" s="121"/>
      <c r="EC53" s="121"/>
      <c r="ED53" s="121"/>
      <c r="EE53" s="121"/>
      <c r="EF53" s="121"/>
    </row>
    <row r="54" ht="15" customHeight="1" spans="1:136">
      <c r="A54" s="34">
        <v>44</v>
      </c>
      <c r="B54" s="35"/>
      <c r="C54" s="39"/>
      <c r="D54" s="38" t="s">
        <v>84</v>
      </c>
      <c r="E54" s="49"/>
      <c r="F54" s="50" t="s">
        <v>60</v>
      </c>
      <c r="G54" s="51">
        <v>0</v>
      </c>
      <c r="H54" s="52">
        <v>0.075</v>
      </c>
      <c r="I54" s="52">
        <v>-0.075</v>
      </c>
      <c r="J54" s="59" t="s">
        <v>61</v>
      </c>
      <c r="K54" s="60" t="s">
        <v>62</v>
      </c>
      <c r="L54" s="61">
        <f t="shared" si="9"/>
        <v>0.075</v>
      </c>
      <c r="M54" s="70">
        <f t="shared" si="10"/>
        <v>-0.075</v>
      </c>
      <c r="N54" s="71"/>
      <c r="O54" s="69">
        <f t="shared" si="46"/>
        <v>0.013</v>
      </c>
      <c r="P54" s="69">
        <f t="shared" si="47"/>
        <v>0.00266</v>
      </c>
      <c r="Q54" s="69">
        <f t="shared" si="48"/>
        <v>0.00676125</v>
      </c>
      <c r="R54" s="79">
        <f t="shared" si="49"/>
        <v>0.00232140495556935</v>
      </c>
      <c r="S54" s="80">
        <f t="shared" si="36"/>
        <v>10.7693403255739</v>
      </c>
      <c r="T54" s="81">
        <f t="shared" si="16"/>
        <v>0.09015</v>
      </c>
      <c r="U54" s="81" t="str">
        <f t="shared" si="17"/>
        <v>Level A</v>
      </c>
      <c r="V54" s="80">
        <f t="shared" si="37"/>
        <v>9.79848429522338</v>
      </c>
      <c r="W54" s="80">
        <f t="shared" si="38"/>
        <v>11.7401963559243</v>
      </c>
      <c r="X54" s="80">
        <f t="shared" si="44"/>
        <v>9.79848429522338</v>
      </c>
      <c r="Y54" s="89">
        <f t="shared" si="45"/>
        <v>1</v>
      </c>
      <c r="Z54" s="88" t="str">
        <f t="shared" si="20"/>
        <v/>
      </c>
      <c r="AA54" s="88" t="str">
        <f t="shared" si="21"/>
        <v/>
      </c>
      <c r="AB54" s="88">
        <f t="shared" si="22"/>
        <v>-0.00676125</v>
      </c>
      <c r="AC54" s="88" t="str">
        <f t="shared" si="8"/>
        <v/>
      </c>
      <c r="AD54" s="95"/>
      <c r="AE54" s="96" t="str">
        <f t="shared" si="50"/>
        <v/>
      </c>
      <c r="AF54" s="97"/>
      <c r="AG54" s="104"/>
      <c r="AH54" s="104"/>
      <c r="AI54" s="105"/>
      <c r="AJ54" s="107"/>
      <c r="AK54" s="113">
        <v>0.00506</v>
      </c>
      <c r="AL54" s="113">
        <v>0.00791</v>
      </c>
      <c r="AM54" s="113">
        <v>0.00566</v>
      </c>
      <c r="AN54" s="113">
        <v>0.00743</v>
      </c>
      <c r="AO54" s="113">
        <v>0.00805</v>
      </c>
      <c r="AP54" s="113">
        <v>0.0075</v>
      </c>
      <c r="AQ54" s="113">
        <v>0.0085</v>
      </c>
      <c r="AR54" s="113">
        <v>0.00774</v>
      </c>
      <c r="AS54" s="113">
        <v>0.00465</v>
      </c>
      <c r="AT54" s="113">
        <v>0.00611</v>
      </c>
      <c r="AU54" s="113">
        <v>0.01045</v>
      </c>
      <c r="AV54" s="113">
        <v>0.00613</v>
      </c>
      <c r="AW54" s="113">
        <v>0.00266</v>
      </c>
      <c r="AX54" s="113">
        <v>0.0084</v>
      </c>
      <c r="AY54" s="113">
        <v>0.0054</v>
      </c>
      <c r="AZ54" s="113">
        <v>0.00436</v>
      </c>
      <c r="BA54" s="113">
        <v>0.00347</v>
      </c>
      <c r="BB54" s="113">
        <v>0.00411</v>
      </c>
      <c r="BC54" s="113">
        <v>0.00558</v>
      </c>
      <c r="BD54" s="113">
        <v>0.00583</v>
      </c>
      <c r="BE54" s="113">
        <v>0.013</v>
      </c>
      <c r="BF54" s="113">
        <v>0.00698</v>
      </c>
      <c r="BG54" s="113">
        <v>0.00443</v>
      </c>
      <c r="BH54" s="113">
        <v>0.00312</v>
      </c>
      <c r="BI54" s="113">
        <v>0.00966</v>
      </c>
      <c r="BJ54" s="113">
        <v>0.00583</v>
      </c>
      <c r="BK54" s="113">
        <v>0.00834</v>
      </c>
      <c r="BL54" s="113">
        <v>0.00628</v>
      </c>
      <c r="BM54" s="113">
        <v>0.0104</v>
      </c>
      <c r="BN54" s="113">
        <v>0.00837</v>
      </c>
      <c r="BO54" s="113">
        <v>0.00639</v>
      </c>
      <c r="BP54" s="113">
        <v>0.00856</v>
      </c>
      <c r="BQ54" s="120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  <c r="CV54" s="121"/>
      <c r="CW54" s="121"/>
      <c r="CX54" s="121"/>
      <c r="CY54" s="121"/>
      <c r="CZ54" s="121"/>
      <c r="DA54" s="121"/>
      <c r="DB54" s="121"/>
      <c r="DC54" s="121"/>
      <c r="DD54" s="121"/>
      <c r="DE54" s="121"/>
      <c r="DF54" s="121"/>
      <c r="DG54" s="121"/>
      <c r="DH54" s="121"/>
      <c r="DI54" s="121"/>
      <c r="DJ54" s="121"/>
      <c r="DK54" s="121"/>
      <c r="DL54" s="121"/>
      <c r="DM54" s="121"/>
      <c r="DN54" s="121"/>
      <c r="DO54" s="121"/>
      <c r="DP54" s="121"/>
      <c r="DQ54" s="121"/>
      <c r="DR54" s="121"/>
      <c r="DS54" s="121"/>
      <c r="DT54" s="121"/>
      <c r="DU54" s="121"/>
      <c r="DV54" s="121"/>
      <c r="DW54" s="121"/>
      <c r="DX54" s="121"/>
      <c r="DY54" s="121"/>
      <c r="DZ54" s="121"/>
      <c r="EA54" s="121"/>
      <c r="EB54" s="121"/>
      <c r="EC54" s="121"/>
      <c r="ED54" s="121"/>
      <c r="EE54" s="121"/>
      <c r="EF54" s="121"/>
    </row>
    <row r="55" ht="15" customHeight="1" spans="1:136">
      <c r="A55" s="34">
        <v>45</v>
      </c>
      <c r="B55" s="35"/>
      <c r="C55" s="39"/>
      <c r="D55" s="38" t="s">
        <v>85</v>
      </c>
      <c r="E55" s="49"/>
      <c r="F55" s="50" t="s">
        <v>60</v>
      </c>
      <c r="G55" s="51">
        <v>0</v>
      </c>
      <c r="H55" s="52">
        <v>0.075</v>
      </c>
      <c r="I55" s="52">
        <v>-0.075</v>
      </c>
      <c r="J55" s="59" t="s">
        <v>61</v>
      </c>
      <c r="K55" s="60" t="s">
        <v>62</v>
      </c>
      <c r="L55" s="61">
        <f t="shared" si="9"/>
        <v>0.075</v>
      </c>
      <c r="M55" s="70">
        <f t="shared" si="10"/>
        <v>-0.075</v>
      </c>
      <c r="N55" s="71"/>
      <c r="O55" s="69">
        <f t="shared" si="46"/>
        <v>0.0243</v>
      </c>
      <c r="P55" s="69">
        <f t="shared" si="47"/>
        <v>0.00495</v>
      </c>
      <c r="Q55" s="69">
        <f t="shared" si="48"/>
        <v>0.01292125</v>
      </c>
      <c r="R55" s="79">
        <f t="shared" si="49"/>
        <v>0.00464471308881607</v>
      </c>
      <c r="S55" s="80">
        <f t="shared" si="36"/>
        <v>5.38246378666469</v>
      </c>
      <c r="T55" s="81">
        <f t="shared" si="16"/>
        <v>0.172283333333333</v>
      </c>
      <c r="U55" s="81" t="str">
        <f t="shared" si="17"/>
        <v>Level B</v>
      </c>
      <c r="V55" s="80">
        <f t="shared" si="37"/>
        <v>4.45515498395214</v>
      </c>
      <c r="W55" s="80">
        <f t="shared" si="38"/>
        <v>6.30977258937723</v>
      </c>
      <c r="X55" s="80">
        <f t="shared" si="44"/>
        <v>4.45515498395214</v>
      </c>
      <c r="Y55" s="89">
        <f t="shared" si="45"/>
        <v>1</v>
      </c>
      <c r="Z55" s="88" t="str">
        <f t="shared" si="20"/>
        <v/>
      </c>
      <c r="AA55" s="88" t="str">
        <f t="shared" si="21"/>
        <v/>
      </c>
      <c r="AB55" s="88">
        <f t="shared" si="22"/>
        <v>-0.01292125</v>
      </c>
      <c r="AC55" s="88" t="str">
        <f t="shared" si="8"/>
        <v/>
      </c>
      <c r="AD55" s="95"/>
      <c r="AE55" s="96" t="str">
        <f t="shared" si="50"/>
        <v/>
      </c>
      <c r="AF55" s="97"/>
      <c r="AG55" s="104"/>
      <c r="AH55" s="104"/>
      <c r="AI55" s="105"/>
      <c r="AJ55" s="107"/>
      <c r="AK55" s="113">
        <v>0.00951</v>
      </c>
      <c r="AL55" s="113">
        <v>0.0164</v>
      </c>
      <c r="AM55" s="113">
        <v>0.00928</v>
      </c>
      <c r="AN55" s="113">
        <v>0.01576</v>
      </c>
      <c r="AO55" s="113">
        <v>0.01654</v>
      </c>
      <c r="AP55" s="113">
        <v>0.01568</v>
      </c>
      <c r="AQ55" s="113">
        <v>0.01684</v>
      </c>
      <c r="AR55" s="113">
        <v>0.01391</v>
      </c>
      <c r="AS55" s="113">
        <v>0.01035</v>
      </c>
      <c r="AT55" s="113">
        <v>0.0104</v>
      </c>
      <c r="AU55" s="113">
        <v>0.01989</v>
      </c>
      <c r="AV55" s="113">
        <v>0.01269</v>
      </c>
      <c r="AW55" s="113">
        <v>0.00495</v>
      </c>
      <c r="AX55" s="113">
        <v>0.01685</v>
      </c>
      <c r="AY55" s="113">
        <v>0.00751</v>
      </c>
      <c r="AZ55" s="113">
        <v>0.00859</v>
      </c>
      <c r="BA55" s="113">
        <v>0.00654</v>
      </c>
      <c r="BB55" s="113">
        <v>0.00929</v>
      </c>
      <c r="BC55" s="113">
        <v>0.01074</v>
      </c>
      <c r="BD55" s="113">
        <v>0.01049</v>
      </c>
      <c r="BE55" s="113">
        <v>0.0243</v>
      </c>
      <c r="BF55" s="113">
        <v>0.01121</v>
      </c>
      <c r="BG55" s="113">
        <v>0.00746</v>
      </c>
      <c r="BH55" s="113">
        <v>0.00532</v>
      </c>
      <c r="BI55" s="113">
        <v>0.0181</v>
      </c>
      <c r="BJ55" s="113">
        <v>0.01144</v>
      </c>
      <c r="BK55" s="113">
        <v>0.01633</v>
      </c>
      <c r="BL55" s="113">
        <v>0.01152</v>
      </c>
      <c r="BM55" s="113">
        <v>0.01939</v>
      </c>
      <c r="BN55" s="113">
        <v>0.01762</v>
      </c>
      <c r="BO55" s="113">
        <v>0.01302</v>
      </c>
      <c r="BP55" s="113">
        <v>0.01556</v>
      </c>
      <c r="BQ55" s="120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  <c r="CV55" s="121"/>
      <c r="CW55" s="121"/>
      <c r="CX55" s="121"/>
      <c r="CY55" s="121"/>
      <c r="CZ55" s="121"/>
      <c r="DA55" s="121"/>
      <c r="DB55" s="121"/>
      <c r="DC55" s="121"/>
      <c r="DD55" s="121"/>
      <c r="DE55" s="121"/>
      <c r="DF55" s="121"/>
      <c r="DG55" s="121"/>
      <c r="DH55" s="121"/>
      <c r="DI55" s="121"/>
      <c r="DJ55" s="121"/>
      <c r="DK55" s="121"/>
      <c r="DL55" s="121"/>
      <c r="DM55" s="121"/>
      <c r="DN55" s="121"/>
      <c r="DO55" s="121"/>
      <c r="DP55" s="121"/>
      <c r="DQ55" s="121"/>
      <c r="DR55" s="121"/>
      <c r="DS55" s="121"/>
      <c r="DT55" s="121"/>
      <c r="DU55" s="121"/>
      <c r="DV55" s="121"/>
      <c r="DW55" s="121"/>
      <c r="DX55" s="121"/>
      <c r="DY55" s="121"/>
      <c r="DZ55" s="121"/>
      <c r="EA55" s="121"/>
      <c r="EB55" s="121"/>
      <c r="EC55" s="121"/>
      <c r="ED55" s="121"/>
      <c r="EE55" s="121"/>
      <c r="EF55" s="121"/>
    </row>
    <row r="56" ht="15" customHeight="1" spans="1:136">
      <c r="A56" s="34">
        <v>46</v>
      </c>
      <c r="B56" s="35"/>
      <c r="C56" s="39"/>
      <c r="D56" s="38" t="s">
        <v>86</v>
      </c>
      <c r="E56" s="49"/>
      <c r="F56" s="50" t="s">
        <v>60</v>
      </c>
      <c r="G56" s="51">
        <v>0</v>
      </c>
      <c r="H56" s="52">
        <v>0.075</v>
      </c>
      <c r="I56" s="52">
        <v>-0.075</v>
      </c>
      <c r="J56" s="59" t="s">
        <v>61</v>
      </c>
      <c r="K56" s="60" t="s">
        <v>62</v>
      </c>
      <c r="L56" s="61">
        <f t="shared" si="9"/>
        <v>0.075</v>
      </c>
      <c r="M56" s="70">
        <f t="shared" si="10"/>
        <v>-0.075</v>
      </c>
      <c r="N56" s="71"/>
      <c r="O56" s="69">
        <f t="shared" si="46"/>
        <v>-0.00864</v>
      </c>
      <c r="P56" s="69">
        <f t="shared" si="47"/>
        <v>-0.01641</v>
      </c>
      <c r="Q56" s="69">
        <f t="shared" si="48"/>
        <v>-0.0123471875</v>
      </c>
      <c r="R56" s="79">
        <f t="shared" si="49"/>
        <v>0.00218220402696966</v>
      </c>
      <c r="S56" s="80">
        <f t="shared" si="36"/>
        <v>11.4563073347072</v>
      </c>
      <c r="T56" s="81">
        <f t="shared" si="16"/>
        <v>-0.164629166666667</v>
      </c>
      <c r="U56" s="81" t="str">
        <f t="shared" si="17"/>
        <v>Level B</v>
      </c>
      <c r="V56" s="80">
        <f t="shared" si="37"/>
        <v>13.3423496642972</v>
      </c>
      <c r="W56" s="80">
        <f t="shared" si="38"/>
        <v>9.57026500511711</v>
      </c>
      <c r="X56" s="80">
        <f t="shared" si="44"/>
        <v>9.57026500511711</v>
      </c>
      <c r="Y56" s="89">
        <f t="shared" si="45"/>
        <v>1</v>
      </c>
      <c r="Z56" s="88" t="str">
        <f t="shared" si="20"/>
        <v/>
      </c>
      <c r="AA56" s="88" t="str">
        <f t="shared" si="21"/>
        <v/>
      </c>
      <c r="AB56" s="88">
        <f t="shared" si="22"/>
        <v>0.0123471875</v>
      </c>
      <c r="AC56" s="88" t="str">
        <f t="shared" si="8"/>
        <v/>
      </c>
      <c r="AD56" s="95"/>
      <c r="AE56" s="96" t="str">
        <f t="shared" si="50"/>
        <v/>
      </c>
      <c r="AF56" s="97"/>
      <c r="AG56" s="104"/>
      <c r="AH56" s="104"/>
      <c r="AI56" s="105"/>
      <c r="AJ56" s="107"/>
      <c r="AK56" s="113">
        <v>-0.0119</v>
      </c>
      <c r="AL56" s="113">
        <v>-0.00941</v>
      </c>
      <c r="AM56" s="113">
        <v>-0.00892</v>
      </c>
      <c r="AN56" s="113">
        <v>-0.01474</v>
      </c>
      <c r="AO56" s="113">
        <v>-0.01641</v>
      </c>
      <c r="AP56" s="113">
        <v>-0.01216</v>
      </c>
      <c r="AQ56" s="113">
        <v>-0.01248</v>
      </c>
      <c r="AR56" s="113">
        <v>-0.01172</v>
      </c>
      <c r="AS56" s="113">
        <v>-0.01013</v>
      </c>
      <c r="AT56" s="113">
        <v>-0.01162</v>
      </c>
      <c r="AU56" s="113">
        <v>-0.01326</v>
      </c>
      <c r="AV56" s="113">
        <v>-0.01006</v>
      </c>
      <c r="AW56" s="113">
        <v>-0.01035</v>
      </c>
      <c r="AX56" s="113">
        <v>-0.01404</v>
      </c>
      <c r="AY56" s="113">
        <v>-0.00956</v>
      </c>
      <c r="AZ56" s="113">
        <v>-0.01205</v>
      </c>
      <c r="BA56" s="113">
        <v>-0.01254</v>
      </c>
      <c r="BB56" s="113">
        <v>-0.00864</v>
      </c>
      <c r="BC56" s="113">
        <v>-0.01145</v>
      </c>
      <c r="BD56" s="113">
        <v>-0.01395</v>
      </c>
      <c r="BE56" s="113">
        <v>-0.0143</v>
      </c>
      <c r="BF56" s="113">
        <v>-0.01572</v>
      </c>
      <c r="BG56" s="113">
        <v>-0.01308</v>
      </c>
      <c r="BH56" s="113">
        <v>-0.01176</v>
      </c>
      <c r="BI56" s="113">
        <v>-0.01592</v>
      </c>
      <c r="BJ56" s="113">
        <v>-0.01186</v>
      </c>
      <c r="BK56" s="113">
        <v>-0.01266</v>
      </c>
      <c r="BL56" s="113">
        <v>-0.01045</v>
      </c>
      <c r="BM56" s="113">
        <v>-0.01464</v>
      </c>
      <c r="BN56" s="113">
        <v>-0.01524</v>
      </c>
      <c r="BO56" s="113">
        <v>-0.01473</v>
      </c>
      <c r="BP56" s="113">
        <v>-0.00936</v>
      </c>
      <c r="BQ56" s="120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  <c r="DS56" s="121"/>
      <c r="DT56" s="121"/>
      <c r="DU56" s="121"/>
      <c r="DV56" s="121"/>
      <c r="DW56" s="121"/>
      <c r="DX56" s="121"/>
      <c r="DY56" s="121"/>
      <c r="DZ56" s="121"/>
      <c r="EA56" s="121"/>
      <c r="EB56" s="121"/>
      <c r="EC56" s="121"/>
      <c r="ED56" s="121"/>
      <c r="EE56" s="121"/>
      <c r="EF56" s="121"/>
    </row>
    <row r="57" ht="15" customHeight="1" spans="1:136">
      <c r="A57" s="34">
        <v>47</v>
      </c>
      <c r="B57" s="35"/>
      <c r="C57" s="39"/>
      <c r="D57" s="38" t="s">
        <v>87</v>
      </c>
      <c r="E57" s="49"/>
      <c r="F57" s="50" t="s">
        <v>60</v>
      </c>
      <c r="G57" s="51">
        <v>0</v>
      </c>
      <c r="H57" s="52">
        <v>0.075</v>
      </c>
      <c r="I57" s="52">
        <v>-0.075</v>
      </c>
      <c r="J57" s="59" t="s">
        <v>61</v>
      </c>
      <c r="K57" s="60" t="s">
        <v>62</v>
      </c>
      <c r="L57" s="61">
        <f t="shared" si="9"/>
        <v>0.075</v>
      </c>
      <c r="M57" s="70">
        <f t="shared" si="10"/>
        <v>-0.075</v>
      </c>
      <c r="N57" s="71"/>
      <c r="O57" s="69">
        <f t="shared" si="46"/>
        <v>-0.00086</v>
      </c>
      <c r="P57" s="69">
        <f t="shared" si="47"/>
        <v>-0.01057</v>
      </c>
      <c r="Q57" s="69">
        <f t="shared" si="48"/>
        <v>-0.0067975</v>
      </c>
      <c r="R57" s="79">
        <f t="shared" si="49"/>
        <v>0.00206672094968599</v>
      </c>
      <c r="S57" s="80">
        <f t="shared" si="36"/>
        <v>12.0964564682999</v>
      </c>
      <c r="T57" s="81">
        <f t="shared" si="16"/>
        <v>-0.0906333333333333</v>
      </c>
      <c r="U57" s="81" t="str">
        <f t="shared" si="17"/>
        <v>Level A</v>
      </c>
      <c r="V57" s="80">
        <f t="shared" si="37"/>
        <v>13.1927986395435</v>
      </c>
      <c r="W57" s="80">
        <f t="shared" si="38"/>
        <v>11.0001142970563</v>
      </c>
      <c r="X57" s="80">
        <f t="shared" si="44"/>
        <v>11.0001142970563</v>
      </c>
      <c r="Y57" s="89">
        <f t="shared" si="45"/>
        <v>1</v>
      </c>
      <c r="Z57" s="88" t="str">
        <f t="shared" si="20"/>
        <v/>
      </c>
      <c r="AA57" s="88" t="str">
        <f t="shared" si="21"/>
        <v/>
      </c>
      <c r="AB57" s="88">
        <f t="shared" si="22"/>
        <v>0.0067975</v>
      </c>
      <c r="AC57" s="88" t="str">
        <f t="shared" si="8"/>
        <v/>
      </c>
      <c r="AD57" s="95"/>
      <c r="AE57" s="96" t="str">
        <f t="shared" si="50"/>
        <v/>
      </c>
      <c r="AF57" s="97"/>
      <c r="AG57" s="104"/>
      <c r="AH57" s="104"/>
      <c r="AI57" s="105"/>
      <c r="AJ57" s="107"/>
      <c r="AK57" s="113">
        <v>-0.00544</v>
      </c>
      <c r="AL57" s="113">
        <v>-0.00345</v>
      </c>
      <c r="AM57" s="113">
        <v>-0.00443</v>
      </c>
      <c r="AN57" s="113">
        <v>-0.00873</v>
      </c>
      <c r="AO57" s="113">
        <v>-0.00929</v>
      </c>
      <c r="AP57" s="113">
        <v>-0.00536</v>
      </c>
      <c r="AQ57" s="113">
        <v>-0.00538</v>
      </c>
      <c r="AR57" s="113">
        <v>-0.00568</v>
      </c>
      <c r="AS57" s="113">
        <v>-0.0073</v>
      </c>
      <c r="AT57" s="113">
        <v>-0.00493</v>
      </c>
      <c r="AU57" s="113">
        <v>-0.0073</v>
      </c>
      <c r="AV57" s="113">
        <v>-0.0052</v>
      </c>
      <c r="AW57" s="113">
        <v>-0.00786</v>
      </c>
      <c r="AX57" s="113">
        <v>-0.00864</v>
      </c>
      <c r="AY57" s="113">
        <v>-0.00552</v>
      </c>
      <c r="AZ57" s="113">
        <v>-0.00638</v>
      </c>
      <c r="BA57" s="113">
        <v>-0.00751</v>
      </c>
      <c r="BB57" s="113">
        <v>-0.00086</v>
      </c>
      <c r="BC57" s="113">
        <v>-0.00757</v>
      </c>
      <c r="BD57" s="113">
        <v>-0.00894</v>
      </c>
      <c r="BE57" s="113">
        <v>-0.00531</v>
      </c>
      <c r="BF57" s="113">
        <v>-0.00821</v>
      </c>
      <c r="BG57" s="113">
        <v>-0.00637</v>
      </c>
      <c r="BH57" s="113">
        <v>-0.00615</v>
      </c>
      <c r="BI57" s="113">
        <v>-0.00937</v>
      </c>
      <c r="BJ57" s="113">
        <v>-0.00689</v>
      </c>
      <c r="BK57" s="113">
        <v>-0.00811</v>
      </c>
      <c r="BL57" s="113">
        <v>-0.00794</v>
      </c>
      <c r="BM57" s="113">
        <v>-0.00724</v>
      </c>
      <c r="BN57" s="113">
        <v>-0.01042</v>
      </c>
      <c r="BO57" s="113">
        <v>-0.01057</v>
      </c>
      <c r="BP57" s="113">
        <v>-0.00517</v>
      </c>
      <c r="BQ57" s="120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</row>
    <row r="58" ht="15" customHeight="1" spans="1:136">
      <c r="A58" s="34">
        <v>48</v>
      </c>
      <c r="B58" s="35"/>
      <c r="C58" s="39"/>
      <c r="D58" s="38" t="s">
        <v>93</v>
      </c>
      <c r="E58" s="49"/>
      <c r="F58" s="50" t="s">
        <v>60</v>
      </c>
      <c r="G58" s="51">
        <v>0</v>
      </c>
      <c r="H58" s="52">
        <v>0.075</v>
      </c>
      <c r="I58" s="52">
        <v>-0.075</v>
      </c>
      <c r="J58" s="59" t="s">
        <v>61</v>
      </c>
      <c r="K58" s="60" t="s">
        <v>62</v>
      </c>
      <c r="L58" s="61">
        <f t="shared" si="9"/>
        <v>0.075</v>
      </c>
      <c r="M58" s="70">
        <f t="shared" si="10"/>
        <v>-0.075</v>
      </c>
      <c r="N58" s="71"/>
      <c r="O58" s="69">
        <f t="shared" si="46"/>
        <v>0.00703</v>
      </c>
      <c r="P58" s="69">
        <f t="shared" si="47"/>
        <v>-0.0042</v>
      </c>
      <c r="Q58" s="69">
        <f t="shared" si="48"/>
        <v>-6.9375e-5</v>
      </c>
      <c r="R58" s="79">
        <f t="shared" si="49"/>
        <v>0.00262481942543274</v>
      </c>
      <c r="S58" s="80">
        <f t="shared" si="36"/>
        <v>9.52446471470259</v>
      </c>
      <c r="T58" s="81">
        <f t="shared" si="16"/>
        <v>-0.000925</v>
      </c>
      <c r="U58" s="81" t="str">
        <f t="shared" si="17"/>
        <v>Level A</v>
      </c>
      <c r="V58" s="80">
        <f t="shared" si="37"/>
        <v>9.53327484456368</v>
      </c>
      <c r="W58" s="80">
        <f t="shared" si="38"/>
        <v>9.51565458484149</v>
      </c>
      <c r="X58" s="80">
        <f t="shared" si="44"/>
        <v>9.51565458484149</v>
      </c>
      <c r="Y58" s="89">
        <f t="shared" si="45"/>
        <v>1</v>
      </c>
      <c r="Z58" s="88" t="str">
        <f t="shared" si="20"/>
        <v/>
      </c>
      <c r="AA58" s="88" t="str">
        <f t="shared" si="21"/>
        <v/>
      </c>
      <c r="AB58" s="88">
        <f t="shared" si="22"/>
        <v>6.9375e-5</v>
      </c>
      <c r="AC58" s="88" t="str">
        <f t="shared" si="8"/>
        <v/>
      </c>
      <c r="AD58" s="95"/>
      <c r="AE58" s="96" t="str">
        <f t="shared" si="50"/>
        <v/>
      </c>
      <c r="AF58" s="97"/>
      <c r="AG58" s="104"/>
      <c r="AH58" s="104"/>
      <c r="AI58" s="105"/>
      <c r="AJ58" s="107"/>
      <c r="AK58" s="113">
        <v>0.00031</v>
      </c>
      <c r="AL58" s="113">
        <v>0.00274</v>
      </c>
      <c r="AM58" s="113">
        <v>0.00103</v>
      </c>
      <c r="AN58" s="113">
        <v>-0.00197</v>
      </c>
      <c r="AO58" s="113">
        <v>-0.00039</v>
      </c>
      <c r="AP58" s="113">
        <v>0.00297</v>
      </c>
      <c r="AQ58" s="113">
        <v>0.0025</v>
      </c>
      <c r="AR58" s="113">
        <v>0.00081</v>
      </c>
      <c r="AS58" s="113">
        <v>-0.00178</v>
      </c>
      <c r="AT58" s="113">
        <v>0.00204</v>
      </c>
      <c r="AU58" s="113">
        <v>-0.00023</v>
      </c>
      <c r="AV58" s="113">
        <v>0.00136</v>
      </c>
      <c r="AW58" s="113">
        <v>-0.00321</v>
      </c>
      <c r="AX58" s="113">
        <v>-0.00171</v>
      </c>
      <c r="AY58" s="113">
        <v>-0.00133</v>
      </c>
      <c r="AZ58" s="113">
        <v>0.00032</v>
      </c>
      <c r="BA58" s="113">
        <v>-0.00192</v>
      </c>
      <c r="BB58" s="113">
        <v>0.00703</v>
      </c>
      <c r="BC58" s="113">
        <v>-0.00305</v>
      </c>
      <c r="BD58" s="113">
        <v>-0.00284</v>
      </c>
      <c r="BE58" s="113">
        <v>0.00595</v>
      </c>
      <c r="BF58" s="113">
        <v>-0.00093</v>
      </c>
      <c r="BG58" s="113">
        <v>-0.002</v>
      </c>
      <c r="BH58" s="113">
        <v>-0.00102</v>
      </c>
      <c r="BI58" s="113">
        <v>0.00013</v>
      </c>
      <c r="BJ58" s="113">
        <v>-0.00025</v>
      </c>
      <c r="BK58" s="113">
        <v>-0.00081</v>
      </c>
      <c r="BL58" s="113">
        <v>-0.00201</v>
      </c>
      <c r="BM58" s="113">
        <v>0.00319</v>
      </c>
      <c r="BN58" s="113">
        <v>-0.00395</v>
      </c>
      <c r="BO58" s="113">
        <v>-0.0042</v>
      </c>
      <c r="BP58" s="113">
        <v>0.001</v>
      </c>
      <c r="BQ58" s="120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  <c r="CV58" s="121"/>
      <c r="CW58" s="121"/>
      <c r="CX58" s="121"/>
      <c r="CY58" s="121"/>
      <c r="CZ58" s="121"/>
      <c r="DA58" s="121"/>
      <c r="DB58" s="121"/>
      <c r="DC58" s="121"/>
      <c r="DD58" s="121"/>
      <c r="DE58" s="121"/>
      <c r="DF58" s="121"/>
      <c r="DG58" s="121"/>
      <c r="DH58" s="121"/>
      <c r="DI58" s="121"/>
      <c r="DJ58" s="121"/>
      <c r="DK58" s="121"/>
      <c r="DL58" s="121"/>
      <c r="DM58" s="121"/>
      <c r="DN58" s="121"/>
      <c r="DO58" s="121"/>
      <c r="DP58" s="121"/>
      <c r="DQ58" s="121"/>
      <c r="DR58" s="121"/>
      <c r="DS58" s="121"/>
      <c r="DT58" s="121"/>
      <c r="DU58" s="121"/>
      <c r="DV58" s="121"/>
      <c r="DW58" s="121"/>
      <c r="DX58" s="121"/>
      <c r="DY58" s="121"/>
      <c r="DZ58" s="121"/>
      <c r="EA58" s="121"/>
      <c r="EB58" s="121"/>
      <c r="EC58" s="121"/>
      <c r="ED58" s="121"/>
      <c r="EE58" s="121"/>
      <c r="EF58" s="121"/>
    </row>
    <row r="59" ht="15" customHeight="1" spans="1:136">
      <c r="A59" s="34">
        <v>2</v>
      </c>
      <c r="B59" s="35"/>
      <c r="C59" s="39"/>
      <c r="D59" s="36" t="s">
        <v>94</v>
      </c>
      <c r="E59" s="49"/>
      <c r="F59" s="50" t="s">
        <v>60</v>
      </c>
      <c r="G59" s="51">
        <v>0</v>
      </c>
      <c r="H59" s="52">
        <v>0.075</v>
      </c>
      <c r="I59" s="52">
        <v>-0.075</v>
      </c>
      <c r="J59" s="59" t="s">
        <v>61</v>
      </c>
      <c r="K59" s="60" t="s">
        <v>62</v>
      </c>
      <c r="L59" s="61">
        <f t="shared" ref="L59:L97" si="51">IF(AND(G59="",H59=""),"",IF(G59="",H59,G59+H59))</f>
        <v>0.075</v>
      </c>
      <c r="M59" s="70">
        <f t="shared" ref="M59:M97" si="52">IF(AND(G59="",I59=""),"",IF(G59="",I59,G59+I59))</f>
        <v>-0.075</v>
      </c>
      <c r="N59" s="68"/>
      <c r="O59" s="69">
        <f t="shared" si="46"/>
        <v>0.00228</v>
      </c>
      <c r="P59" s="69">
        <f t="shared" si="47"/>
        <v>-0.00313</v>
      </c>
      <c r="Q59" s="69">
        <f t="shared" si="48"/>
        <v>-0.0008815625</v>
      </c>
      <c r="R59" s="79">
        <f t="shared" si="49"/>
        <v>0.00119070353119219</v>
      </c>
      <c r="S59" s="80">
        <f t="shared" si="36"/>
        <v>20.9959904754535</v>
      </c>
      <c r="T59" s="81">
        <f t="shared" si="16"/>
        <v>-0.0117541666666667</v>
      </c>
      <c r="U59" s="81" t="str">
        <f t="shared" si="17"/>
        <v>Level A</v>
      </c>
      <c r="V59" s="80">
        <f t="shared" si="37"/>
        <v>21.2427808468337</v>
      </c>
      <c r="W59" s="80">
        <f t="shared" si="38"/>
        <v>20.7492001040732</v>
      </c>
      <c r="X59" s="80">
        <f t="shared" si="44"/>
        <v>20.7492001040732</v>
      </c>
      <c r="Y59" s="87">
        <f t="shared" si="45"/>
        <v>1</v>
      </c>
      <c r="Z59" s="88" t="str">
        <f t="shared" ref="Z59:Z97" si="53">IF($Q59="","",IF(F59="Tolerance",IF(($E59*3*R59+Q59)-G59&lt;H59,"",($E59*3*R59+Q59)-G59),IF(OR(F59="GD&amp;T",F59="MAX"),IF(($E59*3*R59+Q59)&lt;H59,"",($E59*3*R59+Q59)),"")))</f>
        <v/>
      </c>
      <c r="AA59" s="88" t="str">
        <f t="shared" ref="AA59:AA97" si="54">IF(Q59="","",IF(F59="Tolerance",IF(-(($E59*3*R59)-Q59)-G59&gt;I59,"",-(($E59*3*R59)-Q59)-G59),IF(F59="MIN",IF(-(($E59*3*R59)-Q59)&gt;I59,"",-(($E59*3*R59)-Q59)),"")))</f>
        <v/>
      </c>
      <c r="AB59" s="88">
        <f t="shared" ref="AB59:AB97" si="55">IF(OR(G59="",Q59=""),"",(L59+M59)/2-Q59)</f>
        <v>0.0008815625</v>
      </c>
      <c r="AC59" s="88" t="str">
        <f t="shared" si="8"/>
        <v/>
      </c>
      <c r="AD59" s="95"/>
      <c r="AE59" s="96" t="str">
        <f t="shared" si="50"/>
        <v/>
      </c>
      <c r="AF59" s="97"/>
      <c r="AG59" s="104"/>
      <c r="AH59" s="104"/>
      <c r="AI59" s="105"/>
      <c r="AJ59" s="106"/>
      <c r="AK59" s="113">
        <v>-0.0009</v>
      </c>
      <c r="AL59" s="113">
        <v>-0.00013</v>
      </c>
      <c r="AM59" s="113">
        <v>-0.00127</v>
      </c>
      <c r="AN59" s="113">
        <v>-0.0023</v>
      </c>
      <c r="AO59" s="113">
        <v>-0.0004</v>
      </c>
      <c r="AP59" s="113">
        <v>0.00121</v>
      </c>
      <c r="AQ59" s="113">
        <v>0.00046</v>
      </c>
      <c r="AR59" s="113">
        <v>-0.00153</v>
      </c>
      <c r="AS59" s="113">
        <v>-0.00043</v>
      </c>
      <c r="AT59" s="113">
        <v>-0.00107</v>
      </c>
      <c r="AU59" s="113">
        <v>-0.00074</v>
      </c>
      <c r="AV59" s="113">
        <v>-0.00095</v>
      </c>
      <c r="AW59" s="113">
        <v>-0.00223</v>
      </c>
      <c r="AX59" s="113">
        <v>-0.00096</v>
      </c>
      <c r="AY59" s="113">
        <v>-0.00078</v>
      </c>
      <c r="AZ59" s="113">
        <v>-0.0009</v>
      </c>
      <c r="BA59" s="113">
        <v>-0.00123</v>
      </c>
      <c r="BB59" s="113">
        <v>0.00228</v>
      </c>
      <c r="BC59" s="113">
        <v>-0.00197</v>
      </c>
      <c r="BD59" s="113">
        <v>-0.00262</v>
      </c>
      <c r="BE59" s="113">
        <v>0.00137</v>
      </c>
      <c r="BF59" s="113">
        <v>-0.0016</v>
      </c>
      <c r="BG59" s="113">
        <v>-0.00107</v>
      </c>
      <c r="BH59" s="113">
        <v>-0.00313</v>
      </c>
      <c r="BI59" s="113">
        <v>-0.00121</v>
      </c>
      <c r="BJ59" s="113">
        <v>-0.00039</v>
      </c>
      <c r="BK59" s="113">
        <v>9e-5</v>
      </c>
      <c r="BL59" s="113">
        <v>-0.00047</v>
      </c>
      <c r="BM59" s="113">
        <v>0.00016</v>
      </c>
      <c r="BN59" s="113">
        <v>-0.00244</v>
      </c>
      <c r="BO59" s="113">
        <v>-0.00239</v>
      </c>
      <c r="BP59" s="113">
        <v>-0.00067</v>
      </c>
      <c r="BQ59" s="120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  <c r="CV59" s="121"/>
      <c r="CW59" s="121"/>
      <c r="CX59" s="121"/>
      <c r="CY59" s="121"/>
      <c r="CZ59" s="121"/>
      <c r="DA59" s="121"/>
      <c r="DB59" s="121"/>
      <c r="DC59" s="121"/>
      <c r="DD59" s="121"/>
      <c r="DE59" s="121"/>
      <c r="DF59" s="121"/>
      <c r="DG59" s="121"/>
      <c r="DH59" s="121"/>
      <c r="DI59" s="121"/>
      <c r="DJ59" s="121"/>
      <c r="DK59" s="121"/>
      <c r="DL59" s="121"/>
      <c r="DM59" s="121"/>
      <c r="DN59" s="121"/>
      <c r="DO59" s="121"/>
      <c r="DP59" s="121"/>
      <c r="DQ59" s="121"/>
      <c r="DR59" s="121"/>
      <c r="DS59" s="121"/>
      <c r="DT59" s="121"/>
      <c r="DU59" s="121"/>
      <c r="DV59" s="121"/>
      <c r="DW59" s="121"/>
      <c r="DX59" s="121"/>
      <c r="DY59" s="121"/>
      <c r="DZ59" s="121"/>
      <c r="EA59" s="121"/>
      <c r="EB59" s="121"/>
      <c r="EC59" s="121"/>
      <c r="ED59" s="121"/>
      <c r="EE59" s="121"/>
      <c r="EF59" s="121"/>
    </row>
    <row r="60" ht="15" customHeight="1" spans="1:136">
      <c r="A60" s="34">
        <v>2</v>
      </c>
      <c r="B60" s="35"/>
      <c r="C60" s="39"/>
      <c r="D60" s="36" t="s">
        <v>95</v>
      </c>
      <c r="E60" s="49"/>
      <c r="F60" s="50" t="s">
        <v>60</v>
      </c>
      <c r="G60" s="51">
        <v>0</v>
      </c>
      <c r="H60" s="52">
        <v>0.075</v>
      </c>
      <c r="I60" s="52">
        <v>-0.075</v>
      </c>
      <c r="J60" s="59" t="s">
        <v>61</v>
      </c>
      <c r="K60" s="60" t="s">
        <v>62</v>
      </c>
      <c r="L60" s="61">
        <f t="shared" si="51"/>
        <v>0.075</v>
      </c>
      <c r="M60" s="70">
        <f t="shared" si="52"/>
        <v>-0.075</v>
      </c>
      <c r="N60" s="68"/>
      <c r="O60" s="69">
        <f t="shared" si="46"/>
        <v>0.01787</v>
      </c>
      <c r="P60" s="69">
        <f t="shared" si="47"/>
        <v>0.00627</v>
      </c>
      <c r="Q60" s="69">
        <f t="shared" si="48"/>
        <v>0.010686875</v>
      </c>
      <c r="R60" s="79">
        <f t="shared" si="49"/>
        <v>0.00283982102741387</v>
      </c>
      <c r="S60" s="80">
        <f t="shared" si="36"/>
        <v>8.80337167682947</v>
      </c>
      <c r="T60" s="81">
        <f t="shared" si="16"/>
        <v>0.142491666666667</v>
      </c>
      <c r="U60" s="81" t="str">
        <f t="shared" si="17"/>
        <v>Level B</v>
      </c>
      <c r="V60" s="80">
        <f t="shared" si="37"/>
        <v>7.54896457431192</v>
      </c>
      <c r="W60" s="80">
        <f t="shared" si="38"/>
        <v>10.057778779347</v>
      </c>
      <c r="X60" s="80">
        <f t="shared" si="44"/>
        <v>7.54896457431192</v>
      </c>
      <c r="Y60" s="87">
        <f t="shared" si="45"/>
        <v>1</v>
      </c>
      <c r="Z60" s="88" t="str">
        <f t="shared" si="53"/>
        <v/>
      </c>
      <c r="AA60" s="88" t="str">
        <f t="shared" si="54"/>
        <v/>
      </c>
      <c r="AB60" s="88">
        <f t="shared" si="55"/>
        <v>-0.010686875</v>
      </c>
      <c r="AC60" s="88" t="str">
        <f t="shared" si="8"/>
        <v/>
      </c>
      <c r="AD60" s="95"/>
      <c r="AE60" s="96" t="str">
        <f t="shared" si="50"/>
        <v/>
      </c>
      <c r="AF60" s="97"/>
      <c r="AG60" s="104"/>
      <c r="AH60" s="104"/>
      <c r="AI60" s="105"/>
      <c r="AJ60" s="106"/>
      <c r="AK60" s="113">
        <v>0.01135</v>
      </c>
      <c r="AL60" s="113">
        <v>0.01075</v>
      </c>
      <c r="AM60" s="113">
        <v>0.00943</v>
      </c>
      <c r="AN60" s="113">
        <v>0.00831</v>
      </c>
      <c r="AO60" s="113">
        <v>0.0131</v>
      </c>
      <c r="AP60" s="113">
        <v>0.01489</v>
      </c>
      <c r="AQ60" s="113">
        <v>0.01498</v>
      </c>
      <c r="AR60" s="113">
        <v>0.01014</v>
      </c>
      <c r="AS60" s="113">
        <v>0.00895</v>
      </c>
      <c r="AT60" s="113">
        <v>0.01395</v>
      </c>
      <c r="AU60" s="113">
        <v>0.01007</v>
      </c>
      <c r="AV60" s="113">
        <v>0.00845</v>
      </c>
      <c r="AW60" s="113">
        <v>0.0064</v>
      </c>
      <c r="AX60" s="113">
        <v>0.01042</v>
      </c>
      <c r="AY60" s="113">
        <v>0.00888</v>
      </c>
      <c r="AZ60" s="113">
        <v>0.01072</v>
      </c>
      <c r="BA60" s="113">
        <v>0.00863</v>
      </c>
      <c r="BB60" s="113">
        <v>0.01787</v>
      </c>
      <c r="BC60" s="113">
        <v>0.00627</v>
      </c>
      <c r="BD60" s="113">
        <v>0.00851</v>
      </c>
      <c r="BE60" s="113">
        <v>0.01702</v>
      </c>
      <c r="BF60" s="113">
        <v>0.01104</v>
      </c>
      <c r="BG60" s="113">
        <v>0.00926</v>
      </c>
      <c r="BH60" s="113">
        <v>0.0092</v>
      </c>
      <c r="BI60" s="113">
        <v>0.01149</v>
      </c>
      <c r="BJ60" s="113">
        <v>0.01055</v>
      </c>
      <c r="BK60" s="113">
        <v>0.01104</v>
      </c>
      <c r="BL60" s="113">
        <v>0.01098</v>
      </c>
      <c r="BM60" s="113">
        <v>0.01433</v>
      </c>
      <c r="BN60" s="113">
        <v>0.0068</v>
      </c>
      <c r="BO60" s="113">
        <v>0.0096</v>
      </c>
      <c r="BP60" s="113">
        <v>0.0086</v>
      </c>
      <c r="BQ60" s="120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  <c r="CV60" s="121"/>
      <c r="CW60" s="121"/>
      <c r="CX60" s="121"/>
      <c r="CY60" s="121"/>
      <c r="CZ60" s="121"/>
      <c r="DA60" s="121"/>
      <c r="DB60" s="121"/>
      <c r="DC60" s="121"/>
      <c r="DD60" s="121"/>
      <c r="DE60" s="121"/>
      <c r="DF60" s="121"/>
      <c r="DG60" s="121"/>
      <c r="DH60" s="121"/>
      <c r="DI60" s="121"/>
      <c r="DJ60" s="121"/>
      <c r="DK60" s="121"/>
      <c r="DL60" s="121"/>
      <c r="DM60" s="121"/>
      <c r="DN60" s="121"/>
      <c r="DO60" s="121"/>
      <c r="DP60" s="121"/>
      <c r="DQ60" s="121"/>
      <c r="DR60" s="121"/>
      <c r="DS60" s="121"/>
      <c r="DT60" s="121"/>
      <c r="DU60" s="121"/>
      <c r="DV60" s="121"/>
      <c r="DW60" s="121"/>
      <c r="DX60" s="121"/>
      <c r="DY60" s="121"/>
      <c r="DZ60" s="121"/>
      <c r="EA60" s="121"/>
      <c r="EB60" s="121"/>
      <c r="EC60" s="121"/>
      <c r="ED60" s="121"/>
      <c r="EE60" s="121"/>
      <c r="EF60" s="121"/>
    </row>
    <row r="61" ht="15" customHeight="1" spans="1:136">
      <c r="A61" s="34">
        <v>12</v>
      </c>
      <c r="B61" s="35"/>
      <c r="C61" s="39"/>
      <c r="D61" s="38" t="s">
        <v>96</v>
      </c>
      <c r="E61" s="49"/>
      <c r="F61" s="50" t="s">
        <v>60</v>
      </c>
      <c r="G61" s="51">
        <v>0</v>
      </c>
      <c r="H61" s="52">
        <v>0.075</v>
      </c>
      <c r="I61" s="52">
        <v>-0.075</v>
      </c>
      <c r="J61" s="59" t="s">
        <v>61</v>
      </c>
      <c r="K61" s="60" t="s">
        <v>62</v>
      </c>
      <c r="L61" s="61">
        <f t="shared" si="51"/>
        <v>0.075</v>
      </c>
      <c r="M61" s="70">
        <f t="shared" si="52"/>
        <v>-0.075</v>
      </c>
      <c r="N61" s="71"/>
      <c r="O61" s="69">
        <f t="shared" ref="O61:O99" si="56">IF(OR($AK61="",ISNUMBER($AK61)=FALSE),"",MAX(AK61:EF61))</f>
        <v>0.03059</v>
      </c>
      <c r="P61" s="69">
        <f t="shared" ref="P61:P99" si="57">IF(OR($AK61="",ISNUMBER($AK61)=FALSE),"",MIN(AK61:EF61))</f>
        <v>0.01329</v>
      </c>
      <c r="Q61" s="69">
        <f t="shared" ref="Q61:Q99" si="58">IF(OR($AK61="",ISNUMBER($AK61)=FALSE),"",AVERAGE(AK61:EF61))</f>
        <v>0.0202215625</v>
      </c>
      <c r="R61" s="79">
        <f t="shared" ref="R61:R99" si="59">IF(OR($AK61="",ISNUMBER($AK61)=FALSE),"",STDEV(AK61:EF61))</f>
        <v>0.00470874211637762</v>
      </c>
      <c r="S61" s="80">
        <f t="shared" si="36"/>
        <v>5.30927355589229</v>
      </c>
      <c r="T61" s="81">
        <f t="shared" si="16"/>
        <v>0.269620833333333</v>
      </c>
      <c r="U61" s="81" t="str">
        <f t="shared" si="17"/>
        <v>Level C</v>
      </c>
      <c r="V61" s="80">
        <f t="shared" si="37"/>
        <v>3.87778279535798</v>
      </c>
      <c r="W61" s="80">
        <f t="shared" si="38"/>
        <v>6.7407643164266</v>
      </c>
      <c r="X61" s="80">
        <f t="shared" si="44"/>
        <v>3.87778279535798</v>
      </c>
      <c r="Y61" s="87">
        <f t="shared" si="45"/>
        <v>1</v>
      </c>
      <c r="Z61" s="88" t="str">
        <f t="shared" si="53"/>
        <v/>
      </c>
      <c r="AA61" s="88" t="str">
        <f t="shared" si="54"/>
        <v/>
      </c>
      <c r="AB61" s="88">
        <f t="shared" si="55"/>
        <v>-0.0202215625</v>
      </c>
      <c r="AC61" s="88" t="str">
        <f t="shared" si="8"/>
        <v/>
      </c>
      <c r="AD61" s="95"/>
      <c r="AE61" s="96" t="str">
        <f t="shared" si="50"/>
        <v/>
      </c>
      <c r="AF61" s="97"/>
      <c r="AG61" s="104"/>
      <c r="AH61" s="104"/>
      <c r="AI61" s="105"/>
      <c r="AJ61" s="107"/>
      <c r="AK61" s="113">
        <v>0.0207</v>
      </c>
      <c r="AL61" s="113">
        <v>0.01938</v>
      </c>
      <c r="AM61" s="113">
        <v>0.01926</v>
      </c>
      <c r="AN61" s="113">
        <v>0.01812</v>
      </c>
      <c r="AO61" s="113">
        <v>0.02544</v>
      </c>
      <c r="AP61" s="113">
        <v>0.02739</v>
      </c>
      <c r="AQ61" s="113">
        <v>0.02724</v>
      </c>
      <c r="AR61" s="113">
        <v>0.01993</v>
      </c>
      <c r="AS61" s="113">
        <v>0.01512</v>
      </c>
      <c r="AT61" s="113">
        <v>0.02632</v>
      </c>
      <c r="AU61" s="113">
        <v>0.02009</v>
      </c>
      <c r="AV61" s="113">
        <v>0.01632</v>
      </c>
      <c r="AW61" s="113">
        <v>0.01361</v>
      </c>
      <c r="AX61" s="113">
        <v>0.01988</v>
      </c>
      <c r="AY61" s="113">
        <v>0.01629</v>
      </c>
      <c r="AZ61" s="113">
        <v>0.01883</v>
      </c>
      <c r="BA61" s="113">
        <v>0.01743</v>
      </c>
      <c r="BB61" s="113">
        <v>0.0303</v>
      </c>
      <c r="BC61" s="113">
        <v>0.01329</v>
      </c>
      <c r="BD61" s="113">
        <v>0.01753</v>
      </c>
      <c r="BE61" s="113">
        <v>0.03059</v>
      </c>
      <c r="BF61" s="113">
        <v>0.02176</v>
      </c>
      <c r="BG61" s="113">
        <v>0.0168</v>
      </c>
      <c r="BH61" s="113">
        <v>0.01908</v>
      </c>
      <c r="BI61" s="113">
        <v>0.02321</v>
      </c>
      <c r="BJ61" s="113">
        <v>0.02083</v>
      </c>
      <c r="BK61" s="113">
        <v>0.02071</v>
      </c>
      <c r="BL61" s="113">
        <v>0.01632</v>
      </c>
      <c r="BM61" s="113">
        <v>0.02672</v>
      </c>
      <c r="BN61" s="113">
        <v>0.01462</v>
      </c>
      <c r="BO61" s="113">
        <v>0.01881</v>
      </c>
      <c r="BP61" s="113">
        <v>0.01517</v>
      </c>
      <c r="BQ61" s="120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3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</row>
    <row r="62" ht="15" customHeight="1" spans="1:136">
      <c r="A62" s="34">
        <v>13</v>
      </c>
      <c r="B62" s="35" t="s">
        <v>107</v>
      </c>
      <c r="C62" s="39" t="s">
        <v>107</v>
      </c>
      <c r="D62" s="38" t="s">
        <v>108</v>
      </c>
      <c r="E62" s="49">
        <v>1.33</v>
      </c>
      <c r="F62" s="50" t="s">
        <v>60</v>
      </c>
      <c r="G62" s="51">
        <v>3.05</v>
      </c>
      <c r="H62" s="52">
        <v>0.24</v>
      </c>
      <c r="I62" s="52">
        <v>-0.24</v>
      </c>
      <c r="J62" s="59" t="s">
        <v>109</v>
      </c>
      <c r="K62" s="60" t="s">
        <v>62</v>
      </c>
      <c r="L62" s="61">
        <f t="shared" si="51"/>
        <v>3.29</v>
      </c>
      <c r="M62" s="70">
        <f t="shared" si="52"/>
        <v>2.81</v>
      </c>
      <c r="N62" s="71"/>
      <c r="O62" s="69">
        <f t="shared" si="56"/>
        <v>3.1118</v>
      </c>
      <c r="P62" s="69">
        <f t="shared" si="57"/>
        <v>2.9461</v>
      </c>
      <c r="Q62" s="69">
        <f t="shared" si="58"/>
        <v>3.05305625</v>
      </c>
      <c r="R62" s="79">
        <f t="shared" si="59"/>
        <v>0.0361406297810061</v>
      </c>
      <c r="S62" s="80">
        <f t="shared" si="36"/>
        <v>2.21357515031585</v>
      </c>
      <c r="T62" s="81">
        <f t="shared" si="16"/>
        <v>0.0127343750000045</v>
      </c>
      <c r="U62" s="81" t="str">
        <f t="shared" si="17"/>
        <v>Level A</v>
      </c>
      <c r="V62" s="80">
        <f t="shared" si="37"/>
        <v>2.18538665426104</v>
      </c>
      <c r="W62" s="80">
        <f t="shared" si="38"/>
        <v>2.24176364637066</v>
      </c>
      <c r="X62" s="80">
        <f t="shared" si="44"/>
        <v>2.18538665426104</v>
      </c>
      <c r="Y62" s="87">
        <f t="shared" si="45"/>
        <v>0.999999999963632</v>
      </c>
      <c r="Z62" s="88" t="str">
        <f t="shared" si="53"/>
        <v/>
      </c>
      <c r="AA62" s="88" t="str">
        <f t="shared" si="54"/>
        <v/>
      </c>
      <c r="AB62" s="88">
        <f t="shared" si="55"/>
        <v>-0.00305625000000109</v>
      </c>
      <c r="AC62" s="88" t="str">
        <f t="shared" si="8"/>
        <v/>
      </c>
      <c r="AD62" s="95"/>
      <c r="AE62" s="96" t="str">
        <f t="shared" si="50"/>
        <v/>
      </c>
      <c r="AF62" s="97"/>
      <c r="AG62" s="104"/>
      <c r="AH62" s="104"/>
      <c r="AI62" s="105"/>
      <c r="AJ62" s="107"/>
      <c r="AK62" s="113">
        <v>3.0609</v>
      </c>
      <c r="AL62" s="113">
        <v>3.1084</v>
      </c>
      <c r="AM62" s="113">
        <v>3.0495</v>
      </c>
      <c r="AN62" s="113">
        <v>3.1001</v>
      </c>
      <c r="AO62" s="113">
        <v>3.0204</v>
      </c>
      <c r="AP62" s="113">
        <v>3.058</v>
      </c>
      <c r="AQ62" s="113">
        <v>2.9934</v>
      </c>
      <c r="AR62" s="113">
        <v>3.0708</v>
      </c>
      <c r="AS62" s="113">
        <v>3.0592</v>
      </c>
      <c r="AT62" s="113">
        <v>3.0401</v>
      </c>
      <c r="AU62" s="113">
        <v>3.0566</v>
      </c>
      <c r="AV62" s="113">
        <v>3.0703</v>
      </c>
      <c r="AW62" s="113">
        <v>3.0208</v>
      </c>
      <c r="AX62" s="113">
        <v>3.0183</v>
      </c>
      <c r="AY62" s="113">
        <v>3.092</v>
      </c>
      <c r="AZ62" s="113">
        <v>3.1118</v>
      </c>
      <c r="BA62" s="113">
        <v>3.1053</v>
      </c>
      <c r="BB62" s="113">
        <v>3.0595</v>
      </c>
      <c r="BC62" s="113">
        <v>3.0478</v>
      </c>
      <c r="BD62" s="113">
        <v>3.111</v>
      </c>
      <c r="BE62" s="113">
        <v>3.0437</v>
      </c>
      <c r="BF62" s="113">
        <v>3.0443</v>
      </c>
      <c r="BG62" s="113">
        <v>3.0759</v>
      </c>
      <c r="BH62" s="113">
        <v>3.0096</v>
      </c>
      <c r="BI62" s="113">
        <v>3.0661</v>
      </c>
      <c r="BJ62" s="113">
        <v>3.056</v>
      </c>
      <c r="BK62" s="113">
        <v>2.9461</v>
      </c>
      <c r="BL62" s="113">
        <v>3.0318</v>
      </c>
      <c r="BM62" s="113">
        <v>3.0214</v>
      </c>
      <c r="BN62" s="113">
        <v>3.0303</v>
      </c>
      <c r="BO62" s="113">
        <v>3.0641</v>
      </c>
      <c r="BP62" s="113">
        <v>3.0543</v>
      </c>
      <c r="BQ62" s="120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  <c r="CV62" s="121"/>
      <c r="CW62" s="121"/>
      <c r="CX62" s="121"/>
      <c r="CY62" s="121"/>
      <c r="CZ62" s="121"/>
      <c r="DA62" s="121"/>
      <c r="DB62" s="121"/>
      <c r="DC62" s="121"/>
      <c r="DD62" s="121"/>
      <c r="DE62" s="121"/>
      <c r="DF62" s="121"/>
      <c r="DG62" s="121"/>
      <c r="DH62" s="121"/>
      <c r="DI62" s="121"/>
      <c r="DJ62" s="121"/>
      <c r="DK62" s="121"/>
      <c r="DL62" s="121"/>
      <c r="DM62" s="121"/>
      <c r="DN62" s="121"/>
      <c r="DO62" s="121"/>
      <c r="DP62" s="121"/>
      <c r="DQ62" s="121"/>
      <c r="DR62" s="121"/>
      <c r="DS62" s="121"/>
      <c r="DT62" s="121"/>
      <c r="DU62" s="121"/>
      <c r="DV62" s="121"/>
      <c r="DW62" s="121"/>
      <c r="DX62" s="121"/>
      <c r="DY62" s="121"/>
      <c r="DZ62" s="121"/>
      <c r="EA62" s="121"/>
      <c r="EB62" s="121"/>
      <c r="EC62" s="121"/>
      <c r="ED62" s="121"/>
      <c r="EE62" s="121"/>
      <c r="EF62" s="121"/>
    </row>
    <row r="63" ht="15" customHeight="1" spans="1:136">
      <c r="A63" s="34">
        <v>14</v>
      </c>
      <c r="B63" s="35" t="s">
        <v>107</v>
      </c>
      <c r="C63" s="39" t="s">
        <v>107</v>
      </c>
      <c r="D63" s="38" t="s">
        <v>110</v>
      </c>
      <c r="E63" s="49">
        <v>1.33</v>
      </c>
      <c r="F63" s="50" t="s">
        <v>111</v>
      </c>
      <c r="G63" s="51"/>
      <c r="H63" s="53">
        <v>0.05</v>
      </c>
      <c r="I63" s="52"/>
      <c r="J63" s="59" t="s">
        <v>109</v>
      </c>
      <c r="K63" s="60" t="s">
        <v>62</v>
      </c>
      <c r="L63" s="61">
        <f t="shared" si="51"/>
        <v>0.05</v>
      </c>
      <c r="M63" s="70" t="str">
        <f t="shared" si="52"/>
        <v/>
      </c>
      <c r="N63" s="68"/>
      <c r="O63" s="69">
        <f t="shared" si="56"/>
        <v>0.0193208399787347</v>
      </c>
      <c r="P63" s="69">
        <f t="shared" si="57"/>
        <v>0.00513025921583965</v>
      </c>
      <c r="Q63" s="69">
        <f t="shared" si="58"/>
        <v>0.00915086129734696</v>
      </c>
      <c r="R63" s="79">
        <f t="shared" si="59"/>
        <v>0.00332055056577334</v>
      </c>
      <c r="S63" s="80">
        <f t="shared" si="36"/>
        <v>4.10063912530114</v>
      </c>
      <c r="T63" s="81" t="str">
        <f t="shared" si="16"/>
        <v/>
      </c>
      <c r="U63" s="81" t="str">
        <f t="shared" si="17"/>
        <v/>
      </c>
      <c r="V63" s="80">
        <f t="shared" si="37"/>
        <v>4.10063912530114</v>
      </c>
      <c r="W63" s="80" t="str">
        <f t="shared" si="38"/>
        <v/>
      </c>
      <c r="X63" s="80">
        <f t="shared" si="44"/>
        <v>4.10063912530114</v>
      </c>
      <c r="Y63" s="87">
        <f t="shared" si="45"/>
        <v>1</v>
      </c>
      <c r="Z63" s="88" t="str">
        <f t="shared" si="53"/>
        <v/>
      </c>
      <c r="AA63" s="88" t="str">
        <f t="shared" si="54"/>
        <v/>
      </c>
      <c r="AB63" s="88" t="str">
        <f t="shared" si="55"/>
        <v/>
      </c>
      <c r="AC63" s="88" t="str">
        <f t="shared" si="8"/>
        <v/>
      </c>
      <c r="AD63" s="95"/>
      <c r="AE63" s="96" t="str">
        <f t="shared" si="50"/>
        <v/>
      </c>
      <c r="AF63" s="97"/>
      <c r="AG63" s="104"/>
      <c r="AH63" s="104"/>
      <c r="AI63" s="105"/>
      <c r="AJ63" s="106"/>
      <c r="AK63" s="113">
        <v>0.0136902545003104</v>
      </c>
      <c r="AL63" s="113">
        <v>0.00721979153262125</v>
      </c>
      <c r="AM63" s="113">
        <v>0.00873831775700937</v>
      </c>
      <c r="AN63" s="113">
        <v>0.00896761394793708</v>
      </c>
      <c r="AO63" s="113">
        <v>0.00675473447225536</v>
      </c>
      <c r="AP63" s="113">
        <v>0.00853172007848257</v>
      </c>
      <c r="AQ63" s="113">
        <v>0.00857453063406158</v>
      </c>
      <c r="AR63" s="113">
        <v>0.00513025921583965</v>
      </c>
      <c r="AS63" s="113">
        <v>0.00725549163179928</v>
      </c>
      <c r="AT63" s="113">
        <v>0.0148680964441959</v>
      </c>
      <c r="AU63" s="113">
        <v>0.00729012628410656</v>
      </c>
      <c r="AV63" s="113">
        <v>0.00714962707227312</v>
      </c>
      <c r="AW63" s="113">
        <v>0.0138056144067796</v>
      </c>
      <c r="AX63" s="113">
        <v>0.0101353410860418</v>
      </c>
      <c r="AY63" s="113">
        <v>0.0129236739974127</v>
      </c>
      <c r="AZ63" s="113">
        <v>0.00544990037920184</v>
      </c>
      <c r="BA63" s="113">
        <v>0.0119236466685989</v>
      </c>
      <c r="BB63" s="113">
        <v>0.0106545187122079</v>
      </c>
      <c r="BC63" s="113">
        <v>0.00693582256053547</v>
      </c>
      <c r="BD63" s="113">
        <v>0.00522500803600133</v>
      </c>
      <c r="BE63" s="113">
        <v>0.00710270394585529</v>
      </c>
      <c r="BF63" s="113">
        <v>0.00825197910849771</v>
      </c>
      <c r="BG63" s="113">
        <v>0.0104618160538379</v>
      </c>
      <c r="BH63" s="113">
        <v>0.0193208399787347</v>
      </c>
      <c r="BI63" s="113">
        <v>0.0080983986171358</v>
      </c>
      <c r="BJ63" s="113">
        <v>0.0128861256544503</v>
      </c>
      <c r="BK63" s="113">
        <v>0.00788517022504319</v>
      </c>
      <c r="BL63" s="113">
        <v>0.00598951118147639</v>
      </c>
      <c r="BM63" s="113">
        <v>0.00599291719070619</v>
      </c>
      <c r="BN63" s="113">
        <v>0.00856400356400361</v>
      </c>
      <c r="BO63" s="113">
        <v>0.0118535622205541</v>
      </c>
      <c r="BP63" s="113">
        <v>0.00519644435713582</v>
      </c>
      <c r="BQ63" s="120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3"/>
      <c r="CG63" s="121"/>
      <c r="CH63" s="121"/>
      <c r="CI63" s="121"/>
      <c r="CJ63" s="123"/>
      <c r="CK63" s="123"/>
      <c r="CL63" s="121"/>
      <c r="CM63" s="123"/>
      <c r="CN63" s="121"/>
      <c r="CO63" s="121"/>
      <c r="CP63" s="121"/>
      <c r="CQ63" s="121"/>
      <c r="CR63" s="121"/>
      <c r="CS63" s="121"/>
      <c r="CT63" s="121"/>
      <c r="CU63" s="121"/>
      <c r="CV63" s="121"/>
      <c r="CW63" s="121"/>
      <c r="CX63" s="121"/>
      <c r="CY63" s="121"/>
      <c r="CZ63" s="121"/>
      <c r="DA63" s="121"/>
      <c r="DB63" s="121"/>
      <c r="DC63" s="121"/>
      <c r="DD63" s="121"/>
      <c r="DE63" s="121"/>
      <c r="DF63" s="121"/>
      <c r="DG63" s="121"/>
      <c r="DH63" s="121"/>
      <c r="DI63" s="121"/>
      <c r="DJ63" s="121"/>
      <c r="DK63" s="121"/>
      <c r="DL63" s="121"/>
      <c r="DM63" s="121"/>
      <c r="DN63" s="121"/>
      <c r="DO63" s="121"/>
      <c r="DP63" s="121"/>
      <c r="DQ63" s="121"/>
      <c r="DR63" s="121"/>
      <c r="DS63" s="121"/>
      <c r="DT63" s="121"/>
      <c r="DU63" s="121"/>
      <c r="DV63" s="121"/>
      <c r="DW63" s="121"/>
      <c r="DX63" s="121"/>
      <c r="DY63" s="121"/>
      <c r="DZ63" s="121"/>
      <c r="EA63" s="121"/>
      <c r="EB63" s="121"/>
      <c r="EC63" s="121"/>
      <c r="ED63" s="121"/>
      <c r="EE63" s="121"/>
      <c r="EF63" s="121"/>
    </row>
    <row r="64" ht="15" customHeight="1" spans="1:136">
      <c r="A64" s="34">
        <v>15</v>
      </c>
      <c r="B64" s="35" t="s">
        <v>107</v>
      </c>
      <c r="C64" s="39" t="s">
        <v>107</v>
      </c>
      <c r="D64" s="36" t="s">
        <v>112</v>
      </c>
      <c r="E64" s="49">
        <v>1.33</v>
      </c>
      <c r="F64" s="50" t="s">
        <v>111</v>
      </c>
      <c r="G64" s="51"/>
      <c r="H64" s="53">
        <v>0.05</v>
      </c>
      <c r="I64" s="52"/>
      <c r="J64" s="59" t="s">
        <v>109</v>
      </c>
      <c r="K64" s="60" t="s">
        <v>62</v>
      </c>
      <c r="L64" s="61">
        <f t="shared" si="51"/>
        <v>0.05</v>
      </c>
      <c r="M64" s="70" t="str">
        <f t="shared" si="52"/>
        <v/>
      </c>
      <c r="N64" s="68"/>
      <c r="O64" s="69">
        <f t="shared" si="56"/>
        <v>0.00780066402346646</v>
      </c>
      <c r="P64" s="69">
        <f t="shared" si="57"/>
        <v>9.8544821469548e-5</v>
      </c>
      <c r="Q64" s="69">
        <f t="shared" si="58"/>
        <v>0.00217673187187508</v>
      </c>
      <c r="R64" s="79">
        <f t="shared" si="59"/>
        <v>0.00189688217986731</v>
      </c>
      <c r="S64" s="80">
        <f t="shared" si="36"/>
        <v>8.40383738391002</v>
      </c>
      <c r="T64" s="81" t="str">
        <f t="shared" si="16"/>
        <v/>
      </c>
      <c r="U64" s="81" t="str">
        <f t="shared" si="17"/>
        <v/>
      </c>
      <c r="V64" s="80">
        <f t="shared" si="37"/>
        <v>8.40383738391002</v>
      </c>
      <c r="W64" s="80" t="str">
        <f t="shared" si="38"/>
        <v/>
      </c>
      <c r="X64" s="80">
        <f t="shared" si="44"/>
        <v>8.40383738391002</v>
      </c>
      <c r="Y64" s="87">
        <f t="shared" si="45"/>
        <v>1</v>
      </c>
      <c r="Z64" s="88" t="str">
        <f t="shared" si="53"/>
        <v/>
      </c>
      <c r="AA64" s="88" t="str">
        <f t="shared" si="54"/>
        <v/>
      </c>
      <c r="AB64" s="88" t="str">
        <f t="shared" si="55"/>
        <v/>
      </c>
      <c r="AC64" s="88" t="str">
        <f t="shared" si="8"/>
        <v/>
      </c>
      <c r="AD64" s="95"/>
      <c r="AE64" s="96" t="str">
        <f t="shared" si="50"/>
        <v/>
      </c>
      <c r="AF64" s="97"/>
      <c r="AG64" s="104"/>
      <c r="AH64" s="104"/>
      <c r="AI64" s="105"/>
      <c r="AJ64" s="106"/>
      <c r="AK64" s="113">
        <v>0.00195223530942923</v>
      </c>
      <c r="AL64" s="113">
        <v>0.00780066402346646</v>
      </c>
      <c r="AM64" s="113">
        <v>0.00149105367793232</v>
      </c>
      <c r="AN64" s="113">
        <v>0.00654325452931321</v>
      </c>
      <c r="AO64" s="113">
        <v>0.00177488059894155</v>
      </c>
      <c r="AP64" s="113">
        <v>0.00164680809842104</v>
      </c>
      <c r="AQ64" s="113">
        <v>0.00226236925800843</v>
      </c>
      <c r="AR64" s="113">
        <v>0.00254212430336003</v>
      </c>
      <c r="AS64" s="113">
        <v>0.0014578203965272</v>
      </c>
      <c r="AT64" s="113">
        <v>0.000560908011086193</v>
      </c>
      <c r="AU64" s="113">
        <v>0.000361818301427571</v>
      </c>
      <c r="AV64" s="113">
        <v>0.00237029233605467</v>
      </c>
      <c r="AW64" s="113">
        <v>9.8544821469548e-5</v>
      </c>
      <c r="AX64" s="113">
        <v>0.000754890376788752</v>
      </c>
      <c r="AY64" s="113">
        <v>0.00109054857898211</v>
      </c>
      <c r="AZ64" s="113">
        <v>0.000954984028715496</v>
      </c>
      <c r="BA64" s="113">
        <v>0.000782447103315533</v>
      </c>
      <c r="BB64" s="113">
        <v>0.0022333535398654</v>
      </c>
      <c r="BC64" s="113">
        <v>0.000423149534535538</v>
      </c>
      <c r="BD64" s="113">
        <v>0.000892202784947308</v>
      </c>
      <c r="BE64" s="113">
        <v>0.00480674906807924</v>
      </c>
      <c r="BF64" s="113">
        <v>0.000776397515528008</v>
      </c>
      <c r="BG64" s="113">
        <v>0.000131156141386306</v>
      </c>
      <c r="BH64" s="113">
        <v>0.00440672433491107</v>
      </c>
      <c r="BI64" s="113">
        <v>0.00121169605561048</v>
      </c>
      <c r="BJ64" s="113">
        <v>0.00513242309590395</v>
      </c>
      <c r="BK64" s="113">
        <v>0.00465178992786363</v>
      </c>
      <c r="BL64" s="113">
        <v>0.00151324897775207</v>
      </c>
      <c r="BM64" s="113">
        <v>0.00075239621839117</v>
      </c>
      <c r="BN64" s="113">
        <v>0.00295742606434843</v>
      </c>
      <c r="BO64" s="113">
        <v>0.00232527674068248</v>
      </c>
      <c r="BP64" s="113">
        <v>0.00299578614695801</v>
      </c>
      <c r="BQ64" s="120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  <c r="CV64" s="121"/>
      <c r="CW64" s="121"/>
      <c r="CX64" s="121"/>
      <c r="CY64" s="121"/>
      <c r="CZ64" s="121"/>
      <c r="DA64" s="121"/>
      <c r="DB64" s="121"/>
      <c r="DC64" s="121"/>
      <c r="DD64" s="121"/>
      <c r="DE64" s="121"/>
      <c r="DF64" s="121"/>
      <c r="DG64" s="121"/>
      <c r="DH64" s="121"/>
      <c r="DI64" s="121"/>
      <c r="DJ64" s="121"/>
      <c r="DK64" s="121"/>
      <c r="DL64" s="121"/>
      <c r="DM64" s="121"/>
      <c r="DN64" s="121"/>
      <c r="DO64" s="121"/>
      <c r="DP64" s="121"/>
      <c r="DQ64" s="121"/>
      <c r="DR64" s="121"/>
      <c r="DS64" s="121"/>
      <c r="DT64" s="121"/>
      <c r="DU64" s="121"/>
      <c r="DV64" s="121"/>
      <c r="DW64" s="121"/>
      <c r="DX64" s="121"/>
      <c r="DY64" s="121"/>
      <c r="DZ64" s="121"/>
      <c r="EA64" s="121"/>
      <c r="EB64" s="121"/>
      <c r="EC64" s="121"/>
      <c r="ED64" s="121"/>
      <c r="EE64" s="121"/>
      <c r="EF64" s="121"/>
    </row>
    <row r="65" ht="15" customHeight="1" spans="1:136">
      <c r="A65" s="34">
        <v>15</v>
      </c>
      <c r="B65" s="125"/>
      <c r="C65" s="126"/>
      <c r="D65" s="127"/>
      <c r="E65" s="49"/>
      <c r="F65" s="50"/>
      <c r="G65" s="51"/>
      <c r="H65" s="52"/>
      <c r="I65" s="52"/>
      <c r="J65" s="59"/>
      <c r="K65" s="60"/>
      <c r="L65" s="61" t="str">
        <f t="shared" si="51"/>
        <v/>
      </c>
      <c r="M65" s="70" t="str">
        <f t="shared" si="52"/>
        <v/>
      </c>
      <c r="N65" s="68"/>
      <c r="O65" s="69" t="str">
        <f t="shared" si="56"/>
        <v/>
      </c>
      <c r="P65" s="69" t="str">
        <f t="shared" si="57"/>
        <v/>
      </c>
      <c r="Q65" s="69" t="str">
        <f t="shared" si="58"/>
        <v/>
      </c>
      <c r="R65" s="79" t="str">
        <f t="shared" si="59"/>
        <v/>
      </c>
      <c r="S65" s="80" t="str">
        <f t="shared" si="36"/>
        <v/>
      </c>
      <c r="T65" s="81" t="str">
        <f t="shared" si="16"/>
        <v/>
      </c>
      <c r="U65" s="81" t="str">
        <f t="shared" si="17"/>
        <v/>
      </c>
      <c r="V65" s="80" t="str">
        <f t="shared" si="37"/>
        <v/>
      </c>
      <c r="W65" s="80" t="str">
        <f t="shared" si="38"/>
        <v/>
      </c>
      <c r="X65" s="80" t="str">
        <f t="shared" si="44"/>
        <v/>
      </c>
      <c r="Y65" s="87" t="str">
        <f t="shared" si="45"/>
        <v/>
      </c>
      <c r="Z65" s="88" t="str">
        <f t="shared" si="53"/>
        <v/>
      </c>
      <c r="AA65" s="88" t="str">
        <f t="shared" si="54"/>
        <v/>
      </c>
      <c r="AB65" s="88" t="str">
        <f t="shared" si="55"/>
        <v/>
      </c>
      <c r="AC65" s="88" t="str">
        <f t="shared" si="8"/>
        <v/>
      </c>
      <c r="AD65" s="95"/>
      <c r="AE65" s="96" t="str">
        <f t="shared" si="50"/>
        <v/>
      </c>
      <c r="AF65" s="97"/>
      <c r="AG65" s="104"/>
      <c r="AH65" s="104"/>
      <c r="AI65" s="105"/>
      <c r="AJ65" s="106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20"/>
      <c r="BR65" s="121"/>
      <c r="BS65" s="121"/>
      <c r="BT65" s="121"/>
      <c r="BU65" s="121"/>
      <c r="BV65" s="121"/>
      <c r="BW65" s="121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1"/>
      <c r="CU65" s="121"/>
      <c r="CV65" s="121"/>
      <c r="CW65" s="121"/>
      <c r="CX65" s="121"/>
      <c r="CY65" s="121"/>
      <c r="CZ65" s="121"/>
      <c r="DA65" s="121"/>
      <c r="DB65" s="121"/>
      <c r="DC65" s="121"/>
      <c r="DD65" s="121"/>
      <c r="DE65" s="121"/>
      <c r="DF65" s="121"/>
      <c r="DG65" s="121"/>
      <c r="DH65" s="121"/>
      <c r="DI65" s="121"/>
      <c r="DJ65" s="121"/>
      <c r="DK65" s="121"/>
      <c r="DL65" s="121"/>
      <c r="DM65" s="121"/>
      <c r="DN65" s="121"/>
      <c r="DO65" s="121"/>
      <c r="DP65" s="121"/>
      <c r="DQ65" s="121"/>
      <c r="DR65" s="121"/>
      <c r="DS65" s="121"/>
      <c r="DT65" s="121"/>
      <c r="DU65" s="121"/>
      <c r="DV65" s="121"/>
      <c r="DW65" s="121"/>
      <c r="DX65" s="121"/>
      <c r="DY65" s="121"/>
      <c r="DZ65" s="121"/>
      <c r="EA65" s="121"/>
      <c r="EB65" s="121"/>
      <c r="EC65" s="121"/>
      <c r="ED65" s="121"/>
      <c r="EE65" s="121"/>
      <c r="EF65" s="121"/>
    </row>
    <row r="66" ht="15" customHeight="1" spans="1:136">
      <c r="A66" s="34">
        <v>17</v>
      </c>
      <c r="B66" s="125"/>
      <c r="C66" s="126"/>
      <c r="D66" s="127"/>
      <c r="E66" s="49"/>
      <c r="F66" s="50"/>
      <c r="G66" s="51"/>
      <c r="H66" s="52"/>
      <c r="I66" s="52"/>
      <c r="J66" s="59"/>
      <c r="K66" s="60"/>
      <c r="L66" s="61" t="str">
        <f t="shared" si="51"/>
        <v/>
      </c>
      <c r="M66" s="70" t="str">
        <f t="shared" si="52"/>
        <v/>
      </c>
      <c r="N66" s="71"/>
      <c r="O66" s="69" t="str">
        <f t="shared" si="56"/>
        <v/>
      </c>
      <c r="P66" s="69" t="str">
        <f t="shared" si="57"/>
        <v/>
      </c>
      <c r="Q66" s="69" t="str">
        <f t="shared" si="58"/>
        <v/>
      </c>
      <c r="R66" s="79" t="str">
        <f t="shared" si="59"/>
        <v/>
      </c>
      <c r="S66" s="80" t="str">
        <f t="shared" si="36"/>
        <v/>
      </c>
      <c r="T66" s="81" t="str">
        <f t="shared" si="16"/>
        <v/>
      </c>
      <c r="U66" s="81" t="str">
        <f t="shared" si="17"/>
        <v/>
      </c>
      <c r="V66" s="80" t="str">
        <f t="shared" si="37"/>
        <v/>
      </c>
      <c r="W66" s="80" t="str">
        <f t="shared" si="38"/>
        <v/>
      </c>
      <c r="X66" s="80" t="str">
        <f t="shared" si="44"/>
        <v/>
      </c>
      <c r="Y66" s="87" t="str">
        <f t="shared" si="45"/>
        <v/>
      </c>
      <c r="Z66" s="88" t="str">
        <f t="shared" si="53"/>
        <v/>
      </c>
      <c r="AA66" s="88" t="str">
        <f t="shared" si="54"/>
        <v/>
      </c>
      <c r="AB66" s="88" t="str">
        <f t="shared" si="55"/>
        <v/>
      </c>
      <c r="AC66" s="88" t="str">
        <f t="shared" si="8"/>
        <v/>
      </c>
      <c r="AD66" s="95"/>
      <c r="AE66" s="96" t="str">
        <f t="shared" si="50"/>
        <v/>
      </c>
      <c r="AF66" s="97"/>
      <c r="AG66" s="104"/>
      <c r="AH66" s="104"/>
      <c r="AI66" s="105"/>
      <c r="AJ66" s="107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20"/>
      <c r="BR66" s="121"/>
      <c r="BS66" s="121"/>
      <c r="BT66" s="121"/>
      <c r="BU66" s="121"/>
      <c r="BV66" s="121"/>
      <c r="BW66" s="121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1"/>
      <c r="CU66" s="121"/>
      <c r="CV66" s="121"/>
      <c r="CW66" s="121"/>
      <c r="CX66" s="121"/>
      <c r="CY66" s="121"/>
      <c r="CZ66" s="121"/>
      <c r="DA66" s="121"/>
      <c r="DB66" s="121"/>
      <c r="DC66" s="121"/>
      <c r="DD66" s="121"/>
      <c r="DE66" s="121"/>
      <c r="DF66" s="121"/>
      <c r="DG66" s="121"/>
      <c r="DH66" s="121"/>
      <c r="DI66" s="121"/>
      <c r="DJ66" s="121"/>
      <c r="DK66" s="121"/>
      <c r="DL66" s="121"/>
      <c r="DM66" s="121"/>
      <c r="DN66" s="121"/>
      <c r="DO66" s="121"/>
      <c r="DP66" s="121"/>
      <c r="DQ66" s="121"/>
      <c r="DR66" s="121"/>
      <c r="DS66" s="121"/>
      <c r="DT66" s="121"/>
      <c r="DU66" s="121"/>
      <c r="DV66" s="121"/>
      <c r="DW66" s="121"/>
      <c r="DX66" s="121"/>
      <c r="DY66" s="121"/>
      <c r="DZ66" s="121"/>
      <c r="EA66" s="121"/>
      <c r="EB66" s="121"/>
      <c r="EC66" s="121"/>
      <c r="ED66" s="121"/>
      <c r="EE66" s="121"/>
      <c r="EF66" s="121"/>
    </row>
    <row r="67" ht="15" customHeight="1" spans="1:136">
      <c r="A67" s="34">
        <v>18</v>
      </c>
      <c r="B67" s="125"/>
      <c r="C67" s="126"/>
      <c r="D67" s="128"/>
      <c r="E67" s="49"/>
      <c r="F67" s="50"/>
      <c r="G67" s="51"/>
      <c r="H67" s="52"/>
      <c r="I67" s="52"/>
      <c r="J67" s="59"/>
      <c r="K67" s="60"/>
      <c r="L67" s="61" t="str">
        <f t="shared" si="51"/>
        <v/>
      </c>
      <c r="M67" s="70" t="str">
        <f t="shared" si="52"/>
        <v/>
      </c>
      <c r="N67" s="71"/>
      <c r="O67" s="69" t="str">
        <f t="shared" si="56"/>
        <v/>
      </c>
      <c r="P67" s="69" t="str">
        <f t="shared" si="57"/>
        <v/>
      </c>
      <c r="Q67" s="69" t="str">
        <f t="shared" si="58"/>
        <v/>
      </c>
      <c r="R67" s="79" t="str">
        <f t="shared" si="59"/>
        <v/>
      </c>
      <c r="S67" s="80" t="str">
        <f t="shared" si="36"/>
        <v/>
      </c>
      <c r="T67" s="81" t="str">
        <f t="shared" si="16"/>
        <v/>
      </c>
      <c r="U67" s="81" t="str">
        <f t="shared" si="17"/>
        <v/>
      </c>
      <c r="V67" s="80" t="str">
        <f t="shared" si="37"/>
        <v/>
      </c>
      <c r="W67" s="80" t="str">
        <f t="shared" si="38"/>
        <v/>
      </c>
      <c r="X67" s="80" t="str">
        <f t="shared" si="44"/>
        <v/>
      </c>
      <c r="Y67" s="87" t="str">
        <f t="shared" si="45"/>
        <v/>
      </c>
      <c r="Z67" s="88" t="str">
        <f t="shared" si="53"/>
        <v/>
      </c>
      <c r="AA67" s="88" t="str">
        <f t="shared" si="54"/>
        <v/>
      </c>
      <c r="AB67" s="88" t="str">
        <f t="shared" si="55"/>
        <v/>
      </c>
      <c r="AC67" s="88" t="str">
        <f t="shared" si="8"/>
        <v/>
      </c>
      <c r="AD67" s="95"/>
      <c r="AE67" s="96" t="str">
        <f t="shared" si="50"/>
        <v/>
      </c>
      <c r="AF67" s="97"/>
      <c r="AG67" s="104"/>
      <c r="AH67" s="104"/>
      <c r="AI67" s="105"/>
      <c r="AJ67" s="107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20"/>
      <c r="BR67" s="121"/>
      <c r="BS67" s="121"/>
      <c r="BT67" s="121"/>
      <c r="BU67" s="121"/>
      <c r="BV67" s="121"/>
      <c r="BW67" s="121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1"/>
      <c r="CU67" s="121"/>
      <c r="CV67" s="121"/>
      <c r="CW67" s="121"/>
      <c r="CX67" s="121"/>
      <c r="CY67" s="121"/>
      <c r="CZ67" s="121"/>
      <c r="DA67" s="121"/>
      <c r="DB67" s="121"/>
      <c r="DC67" s="121"/>
      <c r="DD67" s="121"/>
      <c r="DE67" s="121"/>
      <c r="DF67" s="121"/>
      <c r="DG67" s="121"/>
      <c r="DH67" s="121"/>
      <c r="DI67" s="121"/>
      <c r="DJ67" s="121"/>
      <c r="DK67" s="121"/>
      <c r="DL67" s="121"/>
      <c r="DM67" s="121"/>
      <c r="DN67" s="121"/>
      <c r="DO67" s="121"/>
      <c r="DP67" s="121"/>
      <c r="DQ67" s="121"/>
      <c r="DR67" s="121"/>
      <c r="DS67" s="121"/>
      <c r="DT67" s="121"/>
      <c r="DU67" s="121"/>
      <c r="DV67" s="121"/>
      <c r="DW67" s="121"/>
      <c r="DX67" s="121"/>
      <c r="DY67" s="121"/>
      <c r="DZ67" s="121"/>
      <c r="EA67" s="121"/>
      <c r="EB67" s="121"/>
      <c r="EC67" s="121"/>
      <c r="ED67" s="121"/>
      <c r="EE67" s="121"/>
      <c r="EF67" s="121"/>
    </row>
    <row r="68" ht="15" customHeight="1" spans="1:136">
      <c r="A68" s="34">
        <v>19</v>
      </c>
      <c r="B68" s="125"/>
      <c r="C68" s="126"/>
      <c r="D68" s="128"/>
      <c r="E68" s="49"/>
      <c r="F68" s="50"/>
      <c r="G68" s="51"/>
      <c r="H68" s="52"/>
      <c r="I68" s="52"/>
      <c r="J68" s="59"/>
      <c r="K68" s="60"/>
      <c r="L68" s="61" t="str">
        <f t="shared" si="51"/>
        <v/>
      </c>
      <c r="M68" s="70" t="str">
        <f t="shared" si="52"/>
        <v/>
      </c>
      <c r="N68" s="71"/>
      <c r="O68" s="69" t="str">
        <f t="shared" si="56"/>
        <v/>
      </c>
      <c r="P68" s="69" t="str">
        <f t="shared" si="57"/>
        <v/>
      </c>
      <c r="Q68" s="69" t="str">
        <f t="shared" si="58"/>
        <v/>
      </c>
      <c r="R68" s="79" t="str">
        <f t="shared" si="59"/>
        <v/>
      </c>
      <c r="S68" s="80" t="str">
        <f t="shared" si="36"/>
        <v/>
      </c>
      <c r="T68" s="81" t="str">
        <f t="shared" si="16"/>
        <v/>
      </c>
      <c r="U68" s="81" t="str">
        <f t="shared" si="17"/>
        <v/>
      </c>
      <c r="V68" s="80" t="str">
        <f t="shared" si="37"/>
        <v/>
      </c>
      <c r="W68" s="80" t="str">
        <f t="shared" si="38"/>
        <v/>
      </c>
      <c r="X68" s="80" t="str">
        <f t="shared" si="44"/>
        <v/>
      </c>
      <c r="Y68" s="87" t="str">
        <f t="shared" si="45"/>
        <v/>
      </c>
      <c r="Z68" s="88" t="str">
        <f t="shared" si="53"/>
        <v/>
      </c>
      <c r="AA68" s="88" t="str">
        <f t="shared" si="54"/>
        <v/>
      </c>
      <c r="AB68" s="88" t="str">
        <f t="shared" si="55"/>
        <v/>
      </c>
      <c r="AC68" s="88" t="str">
        <f t="shared" si="8"/>
        <v/>
      </c>
      <c r="AD68" s="95"/>
      <c r="AE68" s="96" t="str">
        <f t="shared" si="50"/>
        <v/>
      </c>
      <c r="AF68" s="97"/>
      <c r="AG68" s="104"/>
      <c r="AH68" s="104"/>
      <c r="AI68" s="105"/>
      <c r="AJ68" s="107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20"/>
      <c r="BR68" s="121"/>
      <c r="BS68" s="121"/>
      <c r="BT68" s="121"/>
      <c r="BU68" s="121"/>
      <c r="BV68" s="121"/>
      <c r="BW68" s="121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1"/>
      <c r="CU68" s="121"/>
      <c r="CV68" s="121"/>
      <c r="CW68" s="121"/>
      <c r="CX68" s="121"/>
      <c r="CY68" s="121"/>
      <c r="CZ68" s="121"/>
      <c r="DA68" s="121"/>
      <c r="DB68" s="121"/>
      <c r="DC68" s="121"/>
      <c r="DD68" s="121"/>
      <c r="DE68" s="121"/>
      <c r="DF68" s="121"/>
      <c r="DG68" s="121"/>
      <c r="DH68" s="121"/>
      <c r="DI68" s="121"/>
      <c r="DJ68" s="121"/>
      <c r="DK68" s="121"/>
      <c r="DL68" s="121"/>
      <c r="DM68" s="121"/>
      <c r="DN68" s="121"/>
      <c r="DO68" s="121"/>
      <c r="DP68" s="121"/>
      <c r="DQ68" s="121"/>
      <c r="DR68" s="121"/>
      <c r="DS68" s="121"/>
      <c r="DT68" s="121"/>
      <c r="DU68" s="121"/>
      <c r="DV68" s="121"/>
      <c r="DW68" s="121"/>
      <c r="DX68" s="121"/>
      <c r="DY68" s="121"/>
      <c r="DZ68" s="121"/>
      <c r="EA68" s="121"/>
      <c r="EB68" s="121"/>
      <c r="EC68" s="121"/>
      <c r="ED68" s="121"/>
      <c r="EE68" s="121"/>
      <c r="EF68" s="121"/>
    </row>
    <row r="69" ht="15" customHeight="1" spans="1:136">
      <c r="A69" s="34">
        <v>20</v>
      </c>
      <c r="B69" s="125"/>
      <c r="C69" s="126"/>
      <c r="D69" s="128"/>
      <c r="E69" s="49"/>
      <c r="F69" s="50"/>
      <c r="G69" s="51"/>
      <c r="H69" s="52"/>
      <c r="I69" s="52"/>
      <c r="J69" s="59"/>
      <c r="K69" s="60"/>
      <c r="L69" s="61" t="str">
        <f t="shared" si="51"/>
        <v/>
      </c>
      <c r="M69" s="70" t="str">
        <f t="shared" si="52"/>
        <v/>
      </c>
      <c r="N69" s="71"/>
      <c r="O69" s="69" t="str">
        <f t="shared" si="56"/>
        <v/>
      </c>
      <c r="P69" s="69" t="str">
        <f t="shared" si="57"/>
        <v/>
      </c>
      <c r="Q69" s="69" t="str">
        <f t="shared" si="58"/>
        <v/>
      </c>
      <c r="R69" s="79" t="str">
        <f t="shared" si="59"/>
        <v/>
      </c>
      <c r="S69" s="80" t="str">
        <f t="shared" si="36"/>
        <v/>
      </c>
      <c r="T69" s="81" t="str">
        <f t="shared" si="16"/>
        <v/>
      </c>
      <c r="U69" s="81" t="str">
        <f t="shared" si="17"/>
        <v/>
      </c>
      <c r="V69" s="80" t="str">
        <f t="shared" si="37"/>
        <v/>
      </c>
      <c r="W69" s="80" t="str">
        <f t="shared" si="38"/>
        <v/>
      </c>
      <c r="X69" s="80" t="str">
        <f t="shared" si="44"/>
        <v/>
      </c>
      <c r="Y69" s="87" t="str">
        <f t="shared" si="45"/>
        <v/>
      </c>
      <c r="Z69" s="88" t="str">
        <f t="shared" si="53"/>
        <v/>
      </c>
      <c r="AA69" s="88" t="str">
        <f t="shared" si="54"/>
        <v/>
      </c>
      <c r="AB69" s="88" t="str">
        <f t="shared" si="55"/>
        <v/>
      </c>
      <c r="AC69" s="88" t="str">
        <f t="shared" si="8"/>
        <v/>
      </c>
      <c r="AD69" s="95"/>
      <c r="AE69" s="96" t="str">
        <f t="shared" si="50"/>
        <v/>
      </c>
      <c r="AF69" s="97"/>
      <c r="AG69" s="104"/>
      <c r="AH69" s="104"/>
      <c r="AI69" s="105"/>
      <c r="AJ69" s="107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20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  <c r="CY69" s="121"/>
      <c r="CZ69" s="121"/>
      <c r="DA69" s="121"/>
      <c r="DB69" s="121"/>
      <c r="DC69" s="121"/>
      <c r="DD69" s="121"/>
      <c r="DE69" s="121"/>
      <c r="DF69" s="121"/>
      <c r="DG69" s="121"/>
      <c r="DH69" s="121"/>
      <c r="DI69" s="121"/>
      <c r="DJ69" s="121"/>
      <c r="DK69" s="121"/>
      <c r="DL69" s="121"/>
      <c r="DM69" s="121"/>
      <c r="DN69" s="121"/>
      <c r="DO69" s="121"/>
      <c r="DP69" s="121"/>
      <c r="DQ69" s="121"/>
      <c r="DR69" s="121"/>
      <c r="DS69" s="121"/>
      <c r="DT69" s="121"/>
      <c r="DU69" s="121"/>
      <c r="DV69" s="121"/>
      <c r="DW69" s="121"/>
      <c r="DX69" s="121"/>
      <c r="DY69" s="121"/>
      <c r="DZ69" s="121"/>
      <c r="EA69" s="121"/>
      <c r="EB69" s="121"/>
      <c r="EC69" s="121"/>
      <c r="ED69" s="121"/>
      <c r="EE69" s="121"/>
      <c r="EF69" s="121"/>
    </row>
    <row r="70" ht="15" customHeight="1" spans="1:136">
      <c r="A70" s="34">
        <v>21</v>
      </c>
      <c r="B70" s="125"/>
      <c r="C70" s="126"/>
      <c r="D70" s="128"/>
      <c r="E70" s="49"/>
      <c r="F70" s="50"/>
      <c r="G70" s="51"/>
      <c r="H70" s="52"/>
      <c r="I70" s="52"/>
      <c r="J70" s="59"/>
      <c r="K70" s="60"/>
      <c r="L70" s="61" t="str">
        <f t="shared" si="51"/>
        <v/>
      </c>
      <c r="M70" s="70" t="str">
        <f t="shared" si="52"/>
        <v/>
      </c>
      <c r="N70" s="71"/>
      <c r="O70" s="69" t="str">
        <f t="shared" si="56"/>
        <v/>
      </c>
      <c r="P70" s="69" t="str">
        <f t="shared" si="57"/>
        <v/>
      </c>
      <c r="Q70" s="69" t="str">
        <f t="shared" si="58"/>
        <v/>
      </c>
      <c r="R70" s="79" t="str">
        <f t="shared" si="59"/>
        <v/>
      </c>
      <c r="S70" s="80" t="str">
        <f t="shared" ref="S70:S108" si="60">IF(OR($AK70="",ISNUMBER($AK70)=FALSE),"",IF(AND(G70=0,I70=0),V70,IF(AND(G70="",H70=""),W70,(H70+ABS(I70))/(6*R70))))</f>
        <v/>
      </c>
      <c r="T70" s="81" t="str">
        <f t="shared" si="16"/>
        <v/>
      </c>
      <c r="U70" s="81" t="str">
        <f t="shared" si="17"/>
        <v/>
      </c>
      <c r="V70" s="80" t="str">
        <f t="shared" ref="V70:V108" si="61">IF(OR($AK70="",ISNUMBER($AK70)=FALSE),"",IF(H70="","",(L70-Q70)/(3*R70)))</f>
        <v/>
      </c>
      <c r="W70" s="80" t="str">
        <f t="shared" ref="W70:W108" si="62">IF(OR($AK70="",ISNUMBER($AK70)=FALSE),"",IF(I70="","",(Q70-M70)/(3*R70)))</f>
        <v/>
      </c>
      <c r="X70" s="80" t="str">
        <f t="shared" si="44"/>
        <v/>
      </c>
      <c r="Y70" s="87" t="str">
        <f t="shared" si="45"/>
        <v/>
      </c>
      <c r="Z70" s="88" t="str">
        <f t="shared" si="53"/>
        <v/>
      </c>
      <c r="AA70" s="88" t="str">
        <f t="shared" si="54"/>
        <v/>
      </c>
      <c r="AB70" s="88" t="str">
        <f t="shared" si="55"/>
        <v/>
      </c>
      <c r="AC70" s="88" t="str">
        <f t="shared" si="8"/>
        <v/>
      </c>
      <c r="AD70" s="95"/>
      <c r="AE70" s="96" t="str">
        <f t="shared" si="50"/>
        <v/>
      </c>
      <c r="AF70" s="97"/>
      <c r="AG70" s="104"/>
      <c r="AH70" s="104"/>
      <c r="AI70" s="105"/>
      <c r="AJ70" s="107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  <c r="AW70" s="113"/>
      <c r="AX70" s="113"/>
      <c r="AY70" s="113"/>
      <c r="AZ70" s="113"/>
      <c r="BA70" s="113"/>
      <c r="BB70" s="113"/>
      <c r="BC70" s="113"/>
      <c r="BD70" s="113"/>
      <c r="BE70" s="113"/>
      <c r="BF70" s="113"/>
      <c r="BG70" s="113"/>
      <c r="BH70" s="113"/>
      <c r="BI70" s="113"/>
      <c r="BJ70" s="113"/>
      <c r="BK70" s="113"/>
      <c r="BL70" s="113"/>
      <c r="BM70" s="113"/>
      <c r="BN70" s="113"/>
      <c r="BO70" s="113"/>
      <c r="BP70" s="113"/>
      <c r="BQ70" s="120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1"/>
      <c r="CU70" s="121"/>
      <c r="CV70" s="121"/>
      <c r="CW70" s="121"/>
      <c r="CX70" s="121"/>
      <c r="CY70" s="121"/>
      <c r="CZ70" s="121"/>
      <c r="DA70" s="121"/>
      <c r="DB70" s="121"/>
      <c r="DC70" s="121"/>
      <c r="DD70" s="121"/>
      <c r="DE70" s="121"/>
      <c r="DF70" s="121"/>
      <c r="DG70" s="121"/>
      <c r="DH70" s="121"/>
      <c r="DI70" s="121"/>
      <c r="DJ70" s="121"/>
      <c r="DK70" s="121"/>
      <c r="DL70" s="121"/>
      <c r="DM70" s="121"/>
      <c r="DN70" s="121"/>
      <c r="DO70" s="121"/>
      <c r="DP70" s="121"/>
      <c r="DQ70" s="121"/>
      <c r="DR70" s="121"/>
      <c r="DS70" s="121"/>
      <c r="DT70" s="121"/>
      <c r="DU70" s="121"/>
      <c r="DV70" s="121"/>
      <c r="DW70" s="121"/>
      <c r="DX70" s="121"/>
      <c r="DY70" s="121"/>
      <c r="DZ70" s="121"/>
      <c r="EA70" s="121"/>
      <c r="EB70" s="121"/>
      <c r="EC70" s="121"/>
      <c r="ED70" s="121"/>
      <c r="EE70" s="121"/>
      <c r="EF70" s="121"/>
    </row>
    <row r="71" ht="15" customHeight="1" spans="1:136">
      <c r="A71" s="34">
        <v>22</v>
      </c>
      <c r="B71" s="125"/>
      <c r="C71" s="126"/>
      <c r="D71" s="128"/>
      <c r="E71" s="49"/>
      <c r="F71" s="50"/>
      <c r="G71" s="51"/>
      <c r="H71" s="52"/>
      <c r="I71" s="52"/>
      <c r="J71" s="59"/>
      <c r="K71" s="60"/>
      <c r="L71" s="61" t="str">
        <f t="shared" si="51"/>
        <v/>
      </c>
      <c r="M71" s="70" t="str">
        <f t="shared" si="52"/>
        <v/>
      </c>
      <c r="N71" s="71"/>
      <c r="O71" s="69" t="str">
        <f t="shared" si="56"/>
        <v/>
      </c>
      <c r="P71" s="69" t="str">
        <f t="shared" si="57"/>
        <v/>
      </c>
      <c r="Q71" s="69" t="str">
        <f t="shared" si="58"/>
        <v/>
      </c>
      <c r="R71" s="79" t="str">
        <f t="shared" si="59"/>
        <v/>
      </c>
      <c r="S71" s="80" t="str">
        <f t="shared" si="60"/>
        <v/>
      </c>
      <c r="T71" s="81" t="str">
        <f t="shared" si="16"/>
        <v/>
      </c>
      <c r="U71" s="81" t="str">
        <f t="shared" si="17"/>
        <v/>
      </c>
      <c r="V71" s="80" t="str">
        <f t="shared" si="61"/>
        <v/>
      </c>
      <c r="W71" s="80" t="str">
        <f t="shared" si="62"/>
        <v/>
      </c>
      <c r="X71" s="80" t="str">
        <f t="shared" si="44"/>
        <v/>
      </c>
      <c r="Y71" s="87" t="str">
        <f t="shared" si="45"/>
        <v/>
      </c>
      <c r="Z71" s="88" t="str">
        <f t="shared" si="53"/>
        <v/>
      </c>
      <c r="AA71" s="88" t="str">
        <f t="shared" si="54"/>
        <v/>
      </c>
      <c r="AB71" s="88" t="str">
        <f t="shared" si="55"/>
        <v/>
      </c>
      <c r="AC71" s="88" t="str">
        <f t="shared" si="8"/>
        <v/>
      </c>
      <c r="AD71" s="95"/>
      <c r="AE71" s="96" t="str">
        <f t="shared" si="50"/>
        <v/>
      </c>
      <c r="AF71" s="97"/>
      <c r="AG71" s="104"/>
      <c r="AH71" s="104"/>
      <c r="AI71" s="105"/>
      <c r="AJ71" s="107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  <c r="AW71" s="113"/>
      <c r="AX71" s="113"/>
      <c r="AY71" s="113"/>
      <c r="AZ71" s="113"/>
      <c r="BA71" s="113"/>
      <c r="BB71" s="113"/>
      <c r="BC71" s="113"/>
      <c r="BD71" s="113"/>
      <c r="BE71" s="113"/>
      <c r="BF71" s="113"/>
      <c r="BG71" s="113"/>
      <c r="BH71" s="113"/>
      <c r="BI71" s="113"/>
      <c r="BJ71" s="113"/>
      <c r="BK71" s="113"/>
      <c r="BL71" s="113"/>
      <c r="BM71" s="113"/>
      <c r="BN71" s="113"/>
      <c r="BO71" s="113"/>
      <c r="BP71" s="113"/>
      <c r="BQ71" s="120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</row>
    <row r="72" ht="15" customHeight="1" spans="1:136">
      <c r="A72" s="34">
        <v>23</v>
      </c>
      <c r="B72" s="125"/>
      <c r="C72" s="126"/>
      <c r="D72" s="128"/>
      <c r="E72" s="49"/>
      <c r="F72" s="50"/>
      <c r="G72" s="51"/>
      <c r="H72" s="52"/>
      <c r="I72" s="52"/>
      <c r="J72" s="59"/>
      <c r="K72" s="60"/>
      <c r="L72" s="61" t="str">
        <f t="shared" si="51"/>
        <v/>
      </c>
      <c r="M72" s="70" t="str">
        <f t="shared" si="52"/>
        <v/>
      </c>
      <c r="N72" s="71"/>
      <c r="O72" s="69" t="str">
        <f t="shared" si="56"/>
        <v/>
      </c>
      <c r="P72" s="69" t="str">
        <f t="shared" si="57"/>
        <v/>
      </c>
      <c r="Q72" s="69" t="str">
        <f t="shared" si="58"/>
        <v/>
      </c>
      <c r="R72" s="79" t="str">
        <f t="shared" si="59"/>
        <v/>
      </c>
      <c r="S72" s="80" t="str">
        <f t="shared" si="60"/>
        <v/>
      </c>
      <c r="T72" s="81" t="str">
        <f t="shared" si="16"/>
        <v/>
      </c>
      <c r="U72" s="81" t="str">
        <f t="shared" si="17"/>
        <v/>
      </c>
      <c r="V72" s="80" t="str">
        <f t="shared" si="61"/>
        <v/>
      </c>
      <c r="W72" s="80" t="str">
        <f t="shared" si="62"/>
        <v/>
      </c>
      <c r="X72" s="80" t="str">
        <f t="shared" si="44"/>
        <v/>
      </c>
      <c r="Y72" s="87" t="str">
        <f t="shared" si="45"/>
        <v/>
      </c>
      <c r="Z72" s="88" t="str">
        <f t="shared" si="53"/>
        <v/>
      </c>
      <c r="AA72" s="88" t="str">
        <f t="shared" si="54"/>
        <v/>
      </c>
      <c r="AB72" s="88" t="str">
        <f t="shared" si="55"/>
        <v/>
      </c>
      <c r="AC72" s="88" t="str">
        <f t="shared" si="8"/>
        <v/>
      </c>
      <c r="AD72" s="95"/>
      <c r="AE72" s="96" t="str">
        <f t="shared" si="50"/>
        <v/>
      </c>
      <c r="AF72" s="97"/>
      <c r="AG72" s="104"/>
      <c r="AH72" s="104"/>
      <c r="AI72" s="105"/>
      <c r="AJ72" s="107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  <c r="AW72" s="113"/>
      <c r="AX72" s="113"/>
      <c r="AY72" s="113"/>
      <c r="AZ72" s="113"/>
      <c r="BA72" s="113"/>
      <c r="BB72" s="113"/>
      <c r="BC72" s="113"/>
      <c r="BD72" s="113"/>
      <c r="BE72" s="113"/>
      <c r="BF72" s="113"/>
      <c r="BG72" s="113"/>
      <c r="BH72" s="113"/>
      <c r="BI72" s="113"/>
      <c r="BJ72" s="113"/>
      <c r="BK72" s="113"/>
      <c r="BL72" s="113"/>
      <c r="BM72" s="113"/>
      <c r="BN72" s="113"/>
      <c r="BO72" s="113"/>
      <c r="BP72" s="113"/>
      <c r="BQ72" s="120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</row>
    <row r="73" ht="15" customHeight="1" spans="1:136">
      <c r="A73" s="34">
        <v>24</v>
      </c>
      <c r="B73" s="125"/>
      <c r="C73" s="126"/>
      <c r="D73" s="128"/>
      <c r="E73" s="49"/>
      <c r="F73" s="50"/>
      <c r="G73" s="51"/>
      <c r="H73" s="52"/>
      <c r="I73" s="52"/>
      <c r="J73" s="59"/>
      <c r="K73" s="60"/>
      <c r="L73" s="61" t="str">
        <f t="shared" si="51"/>
        <v/>
      </c>
      <c r="M73" s="70" t="str">
        <f t="shared" si="52"/>
        <v/>
      </c>
      <c r="N73" s="71"/>
      <c r="O73" s="69" t="str">
        <f t="shared" si="56"/>
        <v/>
      </c>
      <c r="P73" s="69" t="str">
        <f t="shared" si="57"/>
        <v/>
      </c>
      <c r="Q73" s="69" t="str">
        <f t="shared" si="58"/>
        <v/>
      </c>
      <c r="R73" s="79" t="str">
        <f t="shared" si="59"/>
        <v/>
      </c>
      <c r="S73" s="80" t="str">
        <f t="shared" si="60"/>
        <v/>
      </c>
      <c r="T73" s="81" t="str">
        <f t="shared" si="16"/>
        <v/>
      </c>
      <c r="U73" s="81" t="str">
        <f t="shared" si="17"/>
        <v/>
      </c>
      <c r="V73" s="80" t="str">
        <f t="shared" si="61"/>
        <v/>
      </c>
      <c r="W73" s="80" t="str">
        <f t="shared" si="62"/>
        <v/>
      </c>
      <c r="X73" s="80" t="str">
        <f t="shared" si="44"/>
        <v/>
      </c>
      <c r="Y73" s="87" t="str">
        <f t="shared" si="45"/>
        <v/>
      </c>
      <c r="Z73" s="88" t="str">
        <f t="shared" si="53"/>
        <v/>
      </c>
      <c r="AA73" s="88" t="str">
        <f t="shared" si="54"/>
        <v/>
      </c>
      <c r="AB73" s="88" t="str">
        <f t="shared" si="55"/>
        <v/>
      </c>
      <c r="AC73" s="88" t="str">
        <f t="shared" si="8"/>
        <v/>
      </c>
      <c r="AD73" s="95"/>
      <c r="AE73" s="96" t="str">
        <f t="shared" si="50"/>
        <v/>
      </c>
      <c r="AF73" s="97"/>
      <c r="AG73" s="104"/>
      <c r="AH73" s="104"/>
      <c r="AI73" s="105"/>
      <c r="AJ73" s="107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  <c r="AW73" s="113"/>
      <c r="AX73" s="113"/>
      <c r="AY73" s="113"/>
      <c r="AZ73" s="113"/>
      <c r="BA73" s="113"/>
      <c r="BB73" s="113"/>
      <c r="BC73" s="113"/>
      <c r="BD73" s="113"/>
      <c r="BE73" s="113"/>
      <c r="BF73" s="113"/>
      <c r="BG73" s="113"/>
      <c r="BH73" s="113"/>
      <c r="BI73" s="113"/>
      <c r="BJ73" s="113"/>
      <c r="BK73" s="113"/>
      <c r="BL73" s="113"/>
      <c r="BM73" s="113"/>
      <c r="BN73" s="113"/>
      <c r="BO73" s="113"/>
      <c r="BP73" s="113"/>
      <c r="BQ73" s="120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</row>
    <row r="74" ht="15" customHeight="1" spans="1:136">
      <c r="A74" s="34">
        <v>25</v>
      </c>
      <c r="B74" s="125"/>
      <c r="C74" s="126"/>
      <c r="D74" s="128"/>
      <c r="E74" s="49"/>
      <c r="F74" s="50"/>
      <c r="G74" s="51"/>
      <c r="H74" s="52"/>
      <c r="I74" s="52"/>
      <c r="J74" s="59"/>
      <c r="K74" s="60"/>
      <c r="L74" s="61" t="str">
        <f t="shared" si="51"/>
        <v/>
      </c>
      <c r="M74" s="70" t="str">
        <f t="shared" si="52"/>
        <v/>
      </c>
      <c r="N74" s="71"/>
      <c r="O74" s="69" t="str">
        <f t="shared" si="56"/>
        <v/>
      </c>
      <c r="P74" s="69" t="str">
        <f t="shared" si="57"/>
        <v/>
      </c>
      <c r="Q74" s="69" t="str">
        <f t="shared" si="58"/>
        <v/>
      </c>
      <c r="R74" s="79" t="str">
        <f t="shared" si="59"/>
        <v/>
      </c>
      <c r="S74" s="80" t="str">
        <f t="shared" si="60"/>
        <v/>
      </c>
      <c r="T74" s="81" t="str">
        <f t="shared" si="16"/>
        <v/>
      </c>
      <c r="U74" s="81" t="str">
        <f t="shared" si="17"/>
        <v/>
      </c>
      <c r="V74" s="80" t="str">
        <f t="shared" si="61"/>
        <v/>
      </c>
      <c r="W74" s="80" t="str">
        <f t="shared" si="62"/>
        <v/>
      </c>
      <c r="X74" s="80" t="str">
        <f t="shared" si="44"/>
        <v/>
      </c>
      <c r="Y74" s="87" t="str">
        <f t="shared" si="45"/>
        <v/>
      </c>
      <c r="Z74" s="88" t="str">
        <f t="shared" si="53"/>
        <v/>
      </c>
      <c r="AA74" s="88" t="str">
        <f t="shared" si="54"/>
        <v/>
      </c>
      <c r="AB74" s="88" t="str">
        <f t="shared" si="55"/>
        <v/>
      </c>
      <c r="AC74" s="88" t="str">
        <f t="shared" si="8"/>
        <v/>
      </c>
      <c r="AD74" s="95"/>
      <c r="AE74" s="96" t="str">
        <f t="shared" si="50"/>
        <v/>
      </c>
      <c r="AF74" s="97"/>
      <c r="AG74" s="104"/>
      <c r="AH74" s="104"/>
      <c r="AI74" s="105"/>
      <c r="AJ74" s="107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20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</row>
    <row r="75" ht="15" customHeight="1" spans="1:136">
      <c r="A75" s="34">
        <v>26</v>
      </c>
      <c r="B75" s="125"/>
      <c r="C75" s="126"/>
      <c r="D75" s="127"/>
      <c r="E75" s="49"/>
      <c r="F75" s="50"/>
      <c r="G75" s="51"/>
      <c r="H75" s="52"/>
      <c r="I75" s="52"/>
      <c r="J75" s="59"/>
      <c r="K75" s="60"/>
      <c r="L75" s="61" t="str">
        <f t="shared" si="51"/>
        <v/>
      </c>
      <c r="M75" s="70" t="str">
        <f t="shared" si="52"/>
        <v/>
      </c>
      <c r="N75" s="71"/>
      <c r="O75" s="69" t="str">
        <f t="shared" si="56"/>
        <v/>
      </c>
      <c r="P75" s="69" t="str">
        <f t="shared" si="57"/>
        <v/>
      </c>
      <c r="Q75" s="69" t="str">
        <f t="shared" si="58"/>
        <v/>
      </c>
      <c r="R75" s="79" t="str">
        <f t="shared" si="59"/>
        <v/>
      </c>
      <c r="S75" s="80" t="str">
        <f t="shared" si="60"/>
        <v/>
      </c>
      <c r="T75" s="81" t="str">
        <f t="shared" si="16"/>
        <v/>
      </c>
      <c r="U75" s="81" t="str">
        <f t="shared" si="17"/>
        <v/>
      </c>
      <c r="V75" s="80" t="str">
        <f t="shared" si="61"/>
        <v/>
      </c>
      <c r="W75" s="80" t="str">
        <f t="shared" si="62"/>
        <v/>
      </c>
      <c r="X75" s="80" t="str">
        <f t="shared" ref="X75:X113" si="63">IF(OR($AK75="",ISNUMBER($AK75)=FALSE),"",IF(AND(G75=0,I75=0),((H75)-(Q75))/(3*R75),MIN(V75:W75)))</f>
        <v/>
      </c>
      <c r="Y75" s="89" t="str">
        <f t="shared" ref="Y75:Y113" si="64">IF(OR($AK75="",ISNUMBER($AK75)=FALSE),"",IF(AND(G75=0,I75=0),NORMSDIST(3*X75),NORMSDIST(3*X75)+NORMSDIST(6*S75-3*X75)-1))</f>
        <v/>
      </c>
      <c r="Z75" s="88" t="str">
        <f t="shared" si="53"/>
        <v/>
      </c>
      <c r="AA75" s="88" t="str">
        <f t="shared" si="54"/>
        <v/>
      </c>
      <c r="AB75" s="88" t="str">
        <f t="shared" si="55"/>
        <v/>
      </c>
      <c r="AC75" s="88" t="str">
        <f t="shared" ref="AC75:AC138" si="65">IF(OR($S75&gt;$AC$9,$R75=""),"",$AC$9*6*$R75)</f>
        <v/>
      </c>
      <c r="AD75" s="95"/>
      <c r="AE75" s="96" t="str">
        <f t="shared" ref="AE75:AE106" si="66">IF(AD75="","",IF(AD75&gt;=0.966,"Normal","Not Normal"))</f>
        <v/>
      </c>
      <c r="AF75" s="97"/>
      <c r="AG75" s="104"/>
      <c r="AH75" s="104"/>
      <c r="AI75" s="105"/>
      <c r="AJ75" s="107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20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3"/>
      <c r="CS75" s="121"/>
      <c r="CT75" s="121"/>
      <c r="CU75" s="121"/>
      <c r="CV75" s="121"/>
      <c r="CW75" s="121"/>
      <c r="CX75" s="121"/>
      <c r="CY75" s="121"/>
      <c r="CZ75" s="121"/>
      <c r="DA75" s="121"/>
      <c r="DB75" s="121"/>
      <c r="DC75" s="121"/>
      <c r="DD75" s="121"/>
      <c r="DE75" s="121"/>
      <c r="DF75" s="121"/>
      <c r="DG75" s="121"/>
      <c r="DH75" s="121"/>
      <c r="DI75" s="121"/>
      <c r="DJ75" s="121"/>
      <c r="DK75" s="121"/>
      <c r="DL75" s="121"/>
      <c r="DM75" s="121"/>
      <c r="DN75" s="121"/>
      <c r="DO75" s="121"/>
      <c r="DP75" s="121"/>
      <c r="DQ75" s="121"/>
      <c r="DR75" s="121"/>
      <c r="DS75" s="121"/>
      <c r="DT75" s="121"/>
      <c r="DU75" s="121"/>
      <c r="DV75" s="121"/>
      <c r="DW75" s="121"/>
      <c r="DX75" s="121"/>
      <c r="DY75" s="121"/>
      <c r="DZ75" s="121"/>
      <c r="EA75" s="121"/>
      <c r="EB75" s="121"/>
      <c r="EC75" s="121"/>
      <c r="ED75" s="121"/>
      <c r="EE75" s="121"/>
      <c r="EF75" s="121"/>
    </row>
    <row r="76" ht="15" customHeight="1" spans="1:136">
      <c r="A76" s="34">
        <v>27</v>
      </c>
      <c r="B76" s="125"/>
      <c r="C76" s="126"/>
      <c r="D76" s="127"/>
      <c r="E76" s="49"/>
      <c r="F76" s="50"/>
      <c r="G76" s="51"/>
      <c r="H76" s="52"/>
      <c r="I76" s="52"/>
      <c r="J76" s="59"/>
      <c r="K76" s="60"/>
      <c r="L76" s="61" t="str">
        <f t="shared" si="51"/>
        <v/>
      </c>
      <c r="M76" s="70" t="str">
        <f t="shared" si="52"/>
        <v/>
      </c>
      <c r="N76" s="71"/>
      <c r="O76" s="69" t="str">
        <f t="shared" si="56"/>
        <v/>
      </c>
      <c r="P76" s="69" t="str">
        <f t="shared" si="57"/>
        <v/>
      </c>
      <c r="Q76" s="69" t="str">
        <f t="shared" si="58"/>
        <v/>
      </c>
      <c r="R76" s="79" t="str">
        <f t="shared" si="59"/>
        <v/>
      </c>
      <c r="S76" s="80" t="str">
        <f t="shared" si="60"/>
        <v/>
      </c>
      <c r="T76" s="81" t="str">
        <f t="shared" ref="T76:T138" si="67">IF(OR($AK76="",ISNUMBER($AK76)=FALSE),"",IF(AND($F76="Tolerance",$G76&lt;&gt;""),($Q76-$G76)/(($L76-$M76)/2),IF(AND($F76="GD&amp;T",$H76&lt;&gt;""),$Q76/$H76,"")))</f>
        <v/>
      </c>
      <c r="U76" s="81" t="str">
        <f t="shared" ref="U76:U138" si="68">IF($T76="","",IF(ABS($T76)&lt;=0.125,"Level A",IF(AND(ABS($T76)&gt;0.125,ABS($T76)&lt;=0.25),"Level B",IF(AND(ABS($T76)&gt;0.25,ABS($T76)&lt;=0.5),"Level C",IF(ABS($T76)&gt;0.5,"Level D")))))</f>
        <v/>
      </c>
      <c r="V76" s="80" t="str">
        <f t="shared" si="61"/>
        <v/>
      </c>
      <c r="W76" s="80" t="str">
        <f t="shared" si="62"/>
        <v/>
      </c>
      <c r="X76" s="80" t="str">
        <f t="shared" si="63"/>
        <v/>
      </c>
      <c r="Y76" s="89" t="str">
        <f t="shared" si="64"/>
        <v/>
      </c>
      <c r="Z76" s="88" t="str">
        <f t="shared" si="53"/>
        <v/>
      </c>
      <c r="AA76" s="88" t="str">
        <f t="shared" si="54"/>
        <v/>
      </c>
      <c r="AB76" s="88" t="str">
        <f t="shared" si="55"/>
        <v/>
      </c>
      <c r="AC76" s="88" t="str">
        <f t="shared" si="65"/>
        <v/>
      </c>
      <c r="AD76" s="95"/>
      <c r="AE76" s="96" t="str">
        <f t="shared" si="66"/>
        <v/>
      </c>
      <c r="AF76" s="97"/>
      <c r="AG76" s="104"/>
      <c r="AH76" s="104"/>
      <c r="AI76" s="105"/>
      <c r="AJ76" s="107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20"/>
      <c r="BR76" s="121"/>
      <c r="BS76" s="121"/>
      <c r="BT76" s="121"/>
      <c r="BU76" s="121"/>
      <c r="BV76" s="121"/>
      <c r="BW76" s="121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1"/>
      <c r="CU76" s="121"/>
      <c r="CV76" s="121"/>
      <c r="CW76" s="121"/>
      <c r="CX76" s="121"/>
      <c r="CY76" s="121"/>
      <c r="CZ76" s="121"/>
      <c r="DA76" s="121"/>
      <c r="DB76" s="121"/>
      <c r="DC76" s="121"/>
      <c r="DD76" s="121"/>
      <c r="DE76" s="121"/>
      <c r="DF76" s="121"/>
      <c r="DG76" s="121"/>
      <c r="DH76" s="121"/>
      <c r="DI76" s="121"/>
      <c r="DJ76" s="121"/>
      <c r="DK76" s="121"/>
      <c r="DL76" s="121"/>
      <c r="DM76" s="121"/>
      <c r="DN76" s="121"/>
      <c r="DO76" s="121"/>
      <c r="DP76" s="121"/>
      <c r="DQ76" s="121"/>
      <c r="DR76" s="121"/>
      <c r="DS76" s="121"/>
      <c r="DT76" s="121"/>
      <c r="DU76" s="121"/>
      <c r="DV76" s="121"/>
      <c r="DW76" s="121"/>
      <c r="DX76" s="121"/>
      <c r="DY76" s="121"/>
      <c r="DZ76" s="121"/>
      <c r="EA76" s="121"/>
      <c r="EB76" s="121"/>
      <c r="EC76" s="121"/>
      <c r="ED76" s="121"/>
      <c r="EE76" s="121"/>
      <c r="EF76" s="121"/>
    </row>
    <row r="77" ht="15" customHeight="1" spans="1:136">
      <c r="A77" s="34">
        <v>28</v>
      </c>
      <c r="B77" s="125"/>
      <c r="C77" s="126"/>
      <c r="D77" s="127"/>
      <c r="E77" s="49"/>
      <c r="F77" s="50"/>
      <c r="G77" s="51"/>
      <c r="H77" s="52"/>
      <c r="I77" s="52"/>
      <c r="J77" s="59"/>
      <c r="K77" s="60"/>
      <c r="L77" s="61" t="str">
        <f t="shared" si="51"/>
        <v/>
      </c>
      <c r="M77" s="70" t="str">
        <f t="shared" si="52"/>
        <v/>
      </c>
      <c r="N77" s="71"/>
      <c r="O77" s="69" t="str">
        <f t="shared" si="56"/>
        <v/>
      </c>
      <c r="P77" s="69" t="str">
        <f t="shared" si="57"/>
        <v/>
      </c>
      <c r="Q77" s="69" t="str">
        <f t="shared" si="58"/>
        <v/>
      </c>
      <c r="R77" s="79" t="str">
        <f t="shared" si="59"/>
        <v/>
      </c>
      <c r="S77" s="80" t="str">
        <f t="shared" si="60"/>
        <v/>
      </c>
      <c r="T77" s="81" t="str">
        <f t="shared" si="67"/>
        <v/>
      </c>
      <c r="U77" s="81" t="str">
        <f t="shared" si="68"/>
        <v/>
      </c>
      <c r="V77" s="80" t="str">
        <f t="shared" si="61"/>
        <v/>
      </c>
      <c r="W77" s="80" t="str">
        <f t="shared" si="62"/>
        <v/>
      </c>
      <c r="X77" s="80" t="str">
        <f t="shared" si="63"/>
        <v/>
      </c>
      <c r="Y77" s="89" t="str">
        <f t="shared" si="64"/>
        <v/>
      </c>
      <c r="Z77" s="88" t="str">
        <f t="shared" si="53"/>
        <v/>
      </c>
      <c r="AA77" s="88" t="str">
        <f t="shared" si="54"/>
        <v/>
      </c>
      <c r="AB77" s="88" t="str">
        <f t="shared" si="55"/>
        <v/>
      </c>
      <c r="AC77" s="88" t="str">
        <f t="shared" si="65"/>
        <v/>
      </c>
      <c r="AD77" s="95"/>
      <c r="AE77" s="96" t="str">
        <f t="shared" si="66"/>
        <v/>
      </c>
      <c r="AF77" s="97"/>
      <c r="AG77" s="104"/>
      <c r="AH77" s="104"/>
      <c r="AI77" s="105"/>
      <c r="AJ77" s="107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20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  <c r="DH77" s="121"/>
      <c r="DI77" s="121"/>
      <c r="DJ77" s="121"/>
      <c r="DK77" s="121"/>
      <c r="DL77" s="121"/>
      <c r="DM77" s="121"/>
      <c r="DN77" s="121"/>
      <c r="DO77" s="121"/>
      <c r="DP77" s="121"/>
      <c r="DQ77" s="121"/>
      <c r="DR77" s="121"/>
      <c r="DS77" s="121"/>
      <c r="DT77" s="121"/>
      <c r="DU77" s="121"/>
      <c r="DV77" s="121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</row>
    <row r="78" ht="15" customHeight="1" spans="1:136">
      <c r="A78" s="34">
        <v>29</v>
      </c>
      <c r="B78" s="125"/>
      <c r="C78" s="126"/>
      <c r="D78" s="127"/>
      <c r="E78" s="49"/>
      <c r="F78" s="50"/>
      <c r="G78" s="51"/>
      <c r="H78" s="52"/>
      <c r="I78" s="52"/>
      <c r="J78" s="59"/>
      <c r="K78" s="60"/>
      <c r="L78" s="61" t="str">
        <f t="shared" si="51"/>
        <v/>
      </c>
      <c r="M78" s="70" t="str">
        <f t="shared" si="52"/>
        <v/>
      </c>
      <c r="N78" s="71"/>
      <c r="O78" s="69" t="str">
        <f t="shared" si="56"/>
        <v/>
      </c>
      <c r="P78" s="69" t="str">
        <f t="shared" si="57"/>
        <v/>
      </c>
      <c r="Q78" s="69" t="str">
        <f t="shared" si="58"/>
        <v/>
      </c>
      <c r="R78" s="79" t="str">
        <f t="shared" si="59"/>
        <v/>
      </c>
      <c r="S78" s="80" t="str">
        <f t="shared" si="60"/>
        <v/>
      </c>
      <c r="T78" s="81" t="str">
        <f t="shared" si="67"/>
        <v/>
      </c>
      <c r="U78" s="81" t="str">
        <f t="shared" si="68"/>
        <v/>
      </c>
      <c r="V78" s="80" t="str">
        <f t="shared" si="61"/>
        <v/>
      </c>
      <c r="W78" s="80" t="str">
        <f t="shared" si="62"/>
        <v/>
      </c>
      <c r="X78" s="80" t="str">
        <f t="shared" si="63"/>
        <v/>
      </c>
      <c r="Y78" s="89" t="str">
        <f t="shared" si="64"/>
        <v/>
      </c>
      <c r="Z78" s="88" t="str">
        <f t="shared" si="53"/>
        <v/>
      </c>
      <c r="AA78" s="88" t="str">
        <f t="shared" si="54"/>
        <v/>
      </c>
      <c r="AB78" s="88" t="str">
        <f t="shared" si="55"/>
        <v/>
      </c>
      <c r="AC78" s="88" t="str">
        <f t="shared" si="65"/>
        <v/>
      </c>
      <c r="AD78" s="95"/>
      <c r="AE78" s="96" t="str">
        <f t="shared" si="66"/>
        <v/>
      </c>
      <c r="AF78" s="97"/>
      <c r="AG78" s="104"/>
      <c r="AH78" s="104"/>
      <c r="AI78" s="105"/>
      <c r="AJ78" s="107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22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3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  <c r="DH78" s="121"/>
      <c r="DI78" s="121"/>
      <c r="DJ78" s="121"/>
      <c r="DK78" s="121"/>
      <c r="DL78" s="121"/>
      <c r="DM78" s="121"/>
      <c r="DN78" s="121"/>
      <c r="DO78" s="121"/>
      <c r="DP78" s="121"/>
      <c r="DQ78" s="121"/>
      <c r="DR78" s="121"/>
      <c r="DS78" s="121"/>
      <c r="DT78" s="121"/>
      <c r="DU78" s="121"/>
      <c r="DV78" s="121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</row>
    <row r="79" ht="15" customHeight="1" spans="1:136">
      <c r="A79" s="34">
        <v>30</v>
      </c>
      <c r="B79" s="125"/>
      <c r="C79" s="126"/>
      <c r="D79" s="127"/>
      <c r="E79" s="49"/>
      <c r="F79" s="50"/>
      <c r="G79" s="51"/>
      <c r="H79" s="52"/>
      <c r="I79" s="52"/>
      <c r="J79" s="59"/>
      <c r="K79" s="60"/>
      <c r="L79" s="61" t="str">
        <f t="shared" si="51"/>
        <v/>
      </c>
      <c r="M79" s="70" t="str">
        <f t="shared" si="52"/>
        <v/>
      </c>
      <c r="N79" s="71"/>
      <c r="O79" s="69" t="str">
        <f t="shared" si="56"/>
        <v/>
      </c>
      <c r="P79" s="69" t="str">
        <f t="shared" si="57"/>
        <v/>
      </c>
      <c r="Q79" s="69" t="str">
        <f t="shared" si="58"/>
        <v/>
      </c>
      <c r="R79" s="79" t="str">
        <f t="shared" si="59"/>
        <v/>
      </c>
      <c r="S79" s="80" t="str">
        <f t="shared" si="60"/>
        <v/>
      </c>
      <c r="T79" s="81" t="str">
        <f t="shared" si="67"/>
        <v/>
      </c>
      <c r="U79" s="81" t="str">
        <f t="shared" si="68"/>
        <v/>
      </c>
      <c r="V79" s="80" t="str">
        <f t="shared" si="61"/>
        <v/>
      </c>
      <c r="W79" s="80" t="str">
        <f t="shared" si="62"/>
        <v/>
      </c>
      <c r="X79" s="80" t="str">
        <f t="shared" si="63"/>
        <v/>
      </c>
      <c r="Y79" s="89" t="str">
        <f t="shared" si="64"/>
        <v/>
      </c>
      <c r="Z79" s="88" t="str">
        <f t="shared" si="53"/>
        <v/>
      </c>
      <c r="AA79" s="88" t="str">
        <f t="shared" si="54"/>
        <v/>
      </c>
      <c r="AB79" s="88" t="str">
        <f t="shared" si="55"/>
        <v/>
      </c>
      <c r="AC79" s="88" t="str">
        <f t="shared" si="65"/>
        <v/>
      </c>
      <c r="AD79" s="95"/>
      <c r="AE79" s="96" t="str">
        <f t="shared" si="66"/>
        <v/>
      </c>
      <c r="AF79" s="97"/>
      <c r="AG79" s="104"/>
      <c r="AH79" s="104"/>
      <c r="AI79" s="105"/>
      <c r="AJ79" s="107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20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  <c r="DH79" s="121"/>
      <c r="DI79" s="121"/>
      <c r="DJ79" s="121"/>
      <c r="DK79" s="121"/>
      <c r="DL79" s="121"/>
      <c r="DM79" s="121"/>
      <c r="DN79" s="121"/>
      <c r="DO79" s="121"/>
      <c r="DP79" s="121"/>
      <c r="DQ79" s="121"/>
      <c r="DR79" s="121"/>
      <c r="DS79" s="121"/>
      <c r="DT79" s="121"/>
      <c r="DU79" s="121"/>
      <c r="DV79" s="121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</row>
    <row r="80" ht="15" customHeight="1" spans="1:136">
      <c r="A80" s="34">
        <v>31</v>
      </c>
      <c r="B80" s="125"/>
      <c r="C80" s="126"/>
      <c r="D80" s="128"/>
      <c r="E80" s="49"/>
      <c r="F80" s="50"/>
      <c r="G80" s="51"/>
      <c r="H80" s="52"/>
      <c r="I80" s="52"/>
      <c r="J80" s="59"/>
      <c r="K80" s="60"/>
      <c r="L80" s="61" t="str">
        <f t="shared" si="51"/>
        <v/>
      </c>
      <c r="M80" s="70" t="str">
        <f t="shared" si="52"/>
        <v/>
      </c>
      <c r="N80" s="71"/>
      <c r="O80" s="69" t="str">
        <f t="shared" si="56"/>
        <v/>
      </c>
      <c r="P80" s="69" t="str">
        <f t="shared" si="57"/>
        <v/>
      </c>
      <c r="Q80" s="69" t="str">
        <f t="shared" si="58"/>
        <v/>
      </c>
      <c r="R80" s="79" t="str">
        <f t="shared" si="59"/>
        <v/>
      </c>
      <c r="S80" s="80" t="str">
        <f t="shared" si="60"/>
        <v/>
      </c>
      <c r="T80" s="81" t="str">
        <f t="shared" si="67"/>
        <v/>
      </c>
      <c r="U80" s="81" t="str">
        <f t="shared" si="68"/>
        <v/>
      </c>
      <c r="V80" s="80" t="str">
        <f t="shared" si="61"/>
        <v/>
      </c>
      <c r="W80" s="80" t="str">
        <f t="shared" si="62"/>
        <v/>
      </c>
      <c r="X80" s="80" t="str">
        <f t="shared" si="63"/>
        <v/>
      </c>
      <c r="Y80" s="89" t="str">
        <f t="shared" si="64"/>
        <v/>
      </c>
      <c r="Z80" s="88" t="str">
        <f t="shared" si="53"/>
        <v/>
      </c>
      <c r="AA80" s="88" t="str">
        <f t="shared" si="54"/>
        <v/>
      </c>
      <c r="AB80" s="88" t="str">
        <f t="shared" si="55"/>
        <v/>
      </c>
      <c r="AC80" s="88" t="str">
        <f t="shared" si="65"/>
        <v/>
      </c>
      <c r="AD80" s="95"/>
      <c r="AE80" s="96" t="str">
        <f t="shared" si="66"/>
        <v/>
      </c>
      <c r="AF80" s="97"/>
      <c r="AG80" s="104"/>
      <c r="AH80" s="104"/>
      <c r="AI80" s="105"/>
      <c r="AJ80" s="107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20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  <c r="DH80" s="121"/>
      <c r="DI80" s="121"/>
      <c r="DJ80" s="121"/>
      <c r="DK80" s="121"/>
      <c r="DL80" s="121"/>
      <c r="DM80" s="121"/>
      <c r="DN80" s="121"/>
      <c r="DO80" s="121"/>
      <c r="DP80" s="121"/>
      <c r="DQ80" s="121"/>
      <c r="DR80" s="121"/>
      <c r="DS80" s="121"/>
      <c r="DT80" s="121"/>
      <c r="DU80" s="121"/>
      <c r="DV80" s="121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</row>
    <row r="81" ht="15" customHeight="1" spans="1:136">
      <c r="A81" s="34">
        <v>32</v>
      </c>
      <c r="B81" s="125"/>
      <c r="C81" s="126"/>
      <c r="D81" s="127"/>
      <c r="E81" s="49"/>
      <c r="F81" s="50"/>
      <c r="G81" s="51"/>
      <c r="H81" s="52"/>
      <c r="I81" s="52"/>
      <c r="J81" s="59"/>
      <c r="K81" s="60"/>
      <c r="L81" s="61" t="str">
        <f t="shared" si="51"/>
        <v/>
      </c>
      <c r="M81" s="70" t="str">
        <f t="shared" si="52"/>
        <v/>
      </c>
      <c r="N81" s="71"/>
      <c r="O81" s="69" t="str">
        <f t="shared" si="56"/>
        <v/>
      </c>
      <c r="P81" s="69" t="str">
        <f t="shared" si="57"/>
        <v/>
      </c>
      <c r="Q81" s="69" t="str">
        <f t="shared" si="58"/>
        <v/>
      </c>
      <c r="R81" s="79" t="str">
        <f t="shared" si="59"/>
        <v/>
      </c>
      <c r="S81" s="80" t="str">
        <f t="shared" si="60"/>
        <v/>
      </c>
      <c r="T81" s="81" t="str">
        <f t="shared" si="67"/>
        <v/>
      </c>
      <c r="U81" s="81" t="str">
        <f t="shared" si="68"/>
        <v/>
      </c>
      <c r="V81" s="80" t="str">
        <f t="shared" si="61"/>
        <v/>
      </c>
      <c r="W81" s="80" t="str">
        <f t="shared" si="62"/>
        <v/>
      </c>
      <c r="X81" s="80" t="str">
        <f t="shared" si="63"/>
        <v/>
      </c>
      <c r="Y81" s="89" t="str">
        <f t="shared" si="64"/>
        <v/>
      </c>
      <c r="Z81" s="88" t="str">
        <f t="shared" si="53"/>
        <v/>
      </c>
      <c r="AA81" s="88" t="str">
        <f t="shared" si="54"/>
        <v/>
      </c>
      <c r="AB81" s="88" t="str">
        <f t="shared" si="55"/>
        <v/>
      </c>
      <c r="AC81" s="88" t="str">
        <f t="shared" si="65"/>
        <v/>
      </c>
      <c r="AD81" s="95"/>
      <c r="AE81" s="96" t="str">
        <f t="shared" si="66"/>
        <v/>
      </c>
      <c r="AF81" s="97"/>
      <c r="AG81" s="104"/>
      <c r="AH81" s="104"/>
      <c r="AI81" s="105"/>
      <c r="AJ81" s="107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20"/>
      <c r="BR81" s="121"/>
      <c r="BS81" s="121"/>
      <c r="BT81" s="121"/>
      <c r="BU81" s="121"/>
      <c r="BV81" s="121"/>
      <c r="BW81" s="121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1"/>
      <c r="CU81" s="121"/>
      <c r="CV81" s="121"/>
      <c r="CW81" s="121"/>
      <c r="CX81" s="121"/>
      <c r="CY81" s="121"/>
      <c r="CZ81" s="121"/>
      <c r="DA81" s="121"/>
      <c r="DB81" s="121"/>
      <c r="DC81" s="121"/>
      <c r="DD81" s="121"/>
      <c r="DE81" s="121"/>
      <c r="DF81" s="121"/>
      <c r="DG81" s="121"/>
      <c r="DH81" s="121"/>
      <c r="DI81" s="121"/>
      <c r="DJ81" s="121"/>
      <c r="DK81" s="121"/>
      <c r="DL81" s="121"/>
      <c r="DM81" s="121"/>
      <c r="DN81" s="121"/>
      <c r="DO81" s="121"/>
      <c r="DP81" s="121"/>
      <c r="DQ81" s="121"/>
      <c r="DR81" s="121"/>
      <c r="DS81" s="121"/>
      <c r="DT81" s="121"/>
      <c r="DU81" s="121"/>
      <c r="DV81" s="121"/>
      <c r="DW81" s="121"/>
      <c r="DX81" s="121"/>
      <c r="DY81" s="121"/>
      <c r="DZ81" s="121"/>
      <c r="EA81" s="121"/>
      <c r="EB81" s="121"/>
      <c r="EC81" s="121"/>
      <c r="ED81" s="121"/>
      <c r="EE81" s="121"/>
      <c r="EF81" s="121"/>
    </row>
    <row r="82" ht="15" customHeight="1" spans="1:136">
      <c r="A82" s="34">
        <v>33</v>
      </c>
      <c r="B82" s="125"/>
      <c r="C82" s="126"/>
      <c r="D82" s="127"/>
      <c r="E82" s="49"/>
      <c r="F82" s="50"/>
      <c r="G82" s="51"/>
      <c r="H82" s="52"/>
      <c r="I82" s="52"/>
      <c r="J82" s="59"/>
      <c r="K82" s="60"/>
      <c r="L82" s="61" t="str">
        <f t="shared" si="51"/>
        <v/>
      </c>
      <c r="M82" s="70" t="str">
        <f t="shared" si="52"/>
        <v/>
      </c>
      <c r="N82" s="71"/>
      <c r="O82" s="69" t="str">
        <f t="shared" si="56"/>
        <v/>
      </c>
      <c r="P82" s="69" t="str">
        <f t="shared" si="57"/>
        <v/>
      </c>
      <c r="Q82" s="69" t="str">
        <f t="shared" si="58"/>
        <v/>
      </c>
      <c r="R82" s="79" t="str">
        <f t="shared" si="59"/>
        <v/>
      </c>
      <c r="S82" s="80" t="str">
        <f t="shared" si="60"/>
        <v/>
      </c>
      <c r="T82" s="81" t="str">
        <f t="shared" si="67"/>
        <v/>
      </c>
      <c r="U82" s="81" t="str">
        <f t="shared" si="68"/>
        <v/>
      </c>
      <c r="V82" s="80" t="str">
        <f t="shared" si="61"/>
        <v/>
      </c>
      <c r="W82" s="80" t="str">
        <f t="shared" si="62"/>
        <v/>
      </c>
      <c r="X82" s="80" t="str">
        <f t="shared" si="63"/>
        <v/>
      </c>
      <c r="Y82" s="89" t="str">
        <f t="shared" si="64"/>
        <v/>
      </c>
      <c r="Z82" s="88" t="str">
        <f t="shared" si="53"/>
        <v/>
      </c>
      <c r="AA82" s="88" t="str">
        <f t="shared" si="54"/>
        <v/>
      </c>
      <c r="AB82" s="88" t="str">
        <f t="shared" si="55"/>
        <v/>
      </c>
      <c r="AC82" s="88" t="str">
        <f t="shared" si="65"/>
        <v/>
      </c>
      <c r="AD82" s="95"/>
      <c r="AE82" s="96" t="str">
        <f t="shared" si="66"/>
        <v/>
      </c>
      <c r="AF82" s="97"/>
      <c r="AG82" s="104"/>
      <c r="AH82" s="104"/>
      <c r="AI82" s="105"/>
      <c r="AJ82" s="107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20"/>
      <c r="BR82" s="121"/>
      <c r="BS82" s="121"/>
      <c r="BT82" s="121"/>
      <c r="BU82" s="121"/>
      <c r="BV82" s="121"/>
      <c r="BW82" s="121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1"/>
      <c r="CU82" s="121"/>
      <c r="CV82" s="121"/>
      <c r="CW82" s="121"/>
      <c r="CX82" s="121"/>
      <c r="CY82" s="121"/>
      <c r="CZ82" s="121"/>
      <c r="DA82" s="121"/>
      <c r="DB82" s="121"/>
      <c r="DC82" s="121"/>
      <c r="DD82" s="121"/>
      <c r="DE82" s="121"/>
      <c r="DF82" s="121"/>
      <c r="DG82" s="121"/>
      <c r="DH82" s="121"/>
      <c r="DI82" s="121"/>
      <c r="DJ82" s="121"/>
      <c r="DK82" s="121"/>
      <c r="DL82" s="121"/>
      <c r="DM82" s="121"/>
      <c r="DN82" s="121"/>
      <c r="DO82" s="121"/>
      <c r="DP82" s="121"/>
      <c r="DQ82" s="121"/>
      <c r="DR82" s="121"/>
      <c r="DS82" s="121"/>
      <c r="DT82" s="121"/>
      <c r="DU82" s="121"/>
      <c r="DV82" s="121"/>
      <c r="DW82" s="121"/>
      <c r="DX82" s="121"/>
      <c r="DY82" s="121"/>
      <c r="DZ82" s="121"/>
      <c r="EA82" s="121"/>
      <c r="EB82" s="121"/>
      <c r="EC82" s="121"/>
      <c r="ED82" s="121"/>
      <c r="EE82" s="121"/>
      <c r="EF82" s="121"/>
    </row>
    <row r="83" ht="15" customHeight="1" spans="1:136">
      <c r="A83" s="34">
        <v>34</v>
      </c>
      <c r="B83" s="125"/>
      <c r="C83" s="126"/>
      <c r="D83" s="127"/>
      <c r="E83" s="49"/>
      <c r="F83" s="50"/>
      <c r="G83" s="51"/>
      <c r="H83" s="52"/>
      <c r="I83" s="52"/>
      <c r="J83" s="59"/>
      <c r="K83" s="60"/>
      <c r="L83" s="61" t="str">
        <f t="shared" si="51"/>
        <v/>
      </c>
      <c r="M83" s="70" t="str">
        <f t="shared" si="52"/>
        <v/>
      </c>
      <c r="N83" s="71"/>
      <c r="O83" s="69" t="str">
        <f t="shared" si="56"/>
        <v/>
      </c>
      <c r="P83" s="69" t="str">
        <f t="shared" si="57"/>
        <v/>
      </c>
      <c r="Q83" s="69" t="str">
        <f t="shared" si="58"/>
        <v/>
      </c>
      <c r="R83" s="79" t="str">
        <f t="shared" si="59"/>
        <v/>
      </c>
      <c r="S83" s="80" t="str">
        <f t="shared" si="60"/>
        <v/>
      </c>
      <c r="T83" s="81" t="str">
        <f t="shared" si="67"/>
        <v/>
      </c>
      <c r="U83" s="81" t="str">
        <f t="shared" si="68"/>
        <v/>
      </c>
      <c r="V83" s="80" t="str">
        <f t="shared" si="61"/>
        <v/>
      </c>
      <c r="W83" s="80" t="str">
        <f t="shared" si="62"/>
        <v/>
      </c>
      <c r="X83" s="80" t="str">
        <f t="shared" si="63"/>
        <v/>
      </c>
      <c r="Y83" s="89" t="str">
        <f t="shared" si="64"/>
        <v/>
      </c>
      <c r="Z83" s="88" t="str">
        <f t="shared" si="53"/>
        <v/>
      </c>
      <c r="AA83" s="88" t="str">
        <f t="shared" si="54"/>
        <v/>
      </c>
      <c r="AB83" s="88" t="str">
        <f t="shared" si="55"/>
        <v/>
      </c>
      <c r="AC83" s="88" t="str">
        <f t="shared" si="65"/>
        <v/>
      </c>
      <c r="AD83" s="95"/>
      <c r="AE83" s="96" t="str">
        <f t="shared" si="66"/>
        <v/>
      </c>
      <c r="AF83" s="97"/>
      <c r="AG83" s="104"/>
      <c r="AH83" s="104"/>
      <c r="AI83" s="105"/>
      <c r="AJ83" s="107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20"/>
      <c r="BR83" s="121"/>
      <c r="BS83" s="121"/>
      <c r="BT83" s="121"/>
      <c r="BU83" s="121"/>
      <c r="BV83" s="121"/>
      <c r="BW83" s="121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1"/>
      <c r="CU83" s="121"/>
      <c r="CV83" s="121"/>
      <c r="CW83" s="121"/>
      <c r="CX83" s="121"/>
      <c r="CY83" s="121"/>
      <c r="CZ83" s="121"/>
      <c r="DA83" s="121"/>
      <c r="DB83" s="121"/>
      <c r="DC83" s="121"/>
      <c r="DD83" s="121"/>
      <c r="DE83" s="121"/>
      <c r="DF83" s="121"/>
      <c r="DG83" s="121"/>
      <c r="DH83" s="121"/>
      <c r="DI83" s="121"/>
      <c r="DJ83" s="121"/>
      <c r="DK83" s="121"/>
      <c r="DL83" s="121"/>
      <c r="DM83" s="121"/>
      <c r="DN83" s="121"/>
      <c r="DO83" s="121"/>
      <c r="DP83" s="121"/>
      <c r="DQ83" s="121"/>
      <c r="DR83" s="121"/>
      <c r="DS83" s="121"/>
      <c r="DT83" s="121"/>
      <c r="DU83" s="121"/>
      <c r="DV83" s="121"/>
      <c r="DW83" s="121"/>
      <c r="DX83" s="121"/>
      <c r="DY83" s="121"/>
      <c r="DZ83" s="121"/>
      <c r="EA83" s="121"/>
      <c r="EB83" s="121"/>
      <c r="EC83" s="121"/>
      <c r="ED83" s="121"/>
      <c r="EE83" s="121"/>
      <c r="EF83" s="121"/>
    </row>
    <row r="84" ht="15" customHeight="1" spans="1:136">
      <c r="A84" s="34">
        <v>35</v>
      </c>
      <c r="B84" s="125"/>
      <c r="C84" s="126"/>
      <c r="D84" s="127"/>
      <c r="E84" s="49"/>
      <c r="F84" s="50"/>
      <c r="G84" s="51"/>
      <c r="H84" s="52"/>
      <c r="I84" s="52"/>
      <c r="J84" s="59"/>
      <c r="K84" s="60"/>
      <c r="L84" s="61" t="str">
        <f t="shared" si="51"/>
        <v/>
      </c>
      <c r="M84" s="70" t="str">
        <f t="shared" si="52"/>
        <v/>
      </c>
      <c r="N84" s="71"/>
      <c r="O84" s="69" t="str">
        <f t="shared" si="56"/>
        <v/>
      </c>
      <c r="P84" s="69" t="str">
        <f t="shared" si="57"/>
        <v/>
      </c>
      <c r="Q84" s="69" t="str">
        <f t="shared" si="58"/>
        <v/>
      </c>
      <c r="R84" s="79" t="str">
        <f t="shared" si="59"/>
        <v/>
      </c>
      <c r="S84" s="80" t="str">
        <f t="shared" si="60"/>
        <v/>
      </c>
      <c r="T84" s="81" t="str">
        <f t="shared" si="67"/>
        <v/>
      </c>
      <c r="U84" s="81" t="str">
        <f t="shared" si="68"/>
        <v/>
      </c>
      <c r="V84" s="80" t="str">
        <f t="shared" si="61"/>
        <v/>
      </c>
      <c r="W84" s="80" t="str">
        <f t="shared" si="62"/>
        <v/>
      </c>
      <c r="X84" s="80" t="str">
        <f t="shared" si="63"/>
        <v/>
      </c>
      <c r="Y84" s="89" t="str">
        <f t="shared" si="64"/>
        <v/>
      </c>
      <c r="Z84" s="88" t="str">
        <f t="shared" si="53"/>
        <v/>
      </c>
      <c r="AA84" s="88" t="str">
        <f t="shared" si="54"/>
        <v/>
      </c>
      <c r="AB84" s="88" t="str">
        <f t="shared" si="55"/>
        <v/>
      </c>
      <c r="AC84" s="88" t="str">
        <f t="shared" si="65"/>
        <v/>
      </c>
      <c r="AD84" s="95"/>
      <c r="AE84" s="96" t="str">
        <f t="shared" si="66"/>
        <v/>
      </c>
      <c r="AF84" s="97"/>
      <c r="AG84" s="104"/>
      <c r="AH84" s="104"/>
      <c r="AI84" s="105"/>
      <c r="AJ84" s="107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  <c r="BO84" s="113"/>
      <c r="BP84" s="113"/>
      <c r="BQ84" s="120"/>
      <c r="BR84" s="121"/>
      <c r="BS84" s="121"/>
      <c r="BT84" s="121"/>
      <c r="BU84" s="121"/>
      <c r="BV84" s="121"/>
      <c r="BW84" s="121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1"/>
      <c r="CU84" s="121"/>
      <c r="CV84" s="121"/>
      <c r="CW84" s="121"/>
      <c r="CX84" s="121"/>
      <c r="CY84" s="121"/>
      <c r="CZ84" s="121"/>
      <c r="DA84" s="121"/>
      <c r="DB84" s="121"/>
      <c r="DC84" s="121"/>
      <c r="DD84" s="121"/>
      <c r="DE84" s="121"/>
      <c r="DF84" s="121"/>
      <c r="DG84" s="121"/>
      <c r="DH84" s="121"/>
      <c r="DI84" s="121"/>
      <c r="DJ84" s="121"/>
      <c r="DK84" s="121"/>
      <c r="DL84" s="121"/>
      <c r="DM84" s="121"/>
      <c r="DN84" s="121"/>
      <c r="DO84" s="121"/>
      <c r="DP84" s="121"/>
      <c r="DQ84" s="121"/>
      <c r="DR84" s="121"/>
      <c r="DS84" s="121"/>
      <c r="DT84" s="121"/>
      <c r="DU84" s="121"/>
      <c r="DV84" s="121"/>
      <c r="DW84" s="121"/>
      <c r="DX84" s="121"/>
      <c r="DY84" s="121"/>
      <c r="DZ84" s="121"/>
      <c r="EA84" s="121"/>
      <c r="EB84" s="121"/>
      <c r="EC84" s="121"/>
      <c r="ED84" s="121"/>
      <c r="EE84" s="121"/>
      <c r="EF84" s="121"/>
    </row>
    <row r="85" ht="15" customHeight="1" spans="1:136">
      <c r="A85" s="40">
        <v>36</v>
      </c>
      <c r="B85" s="125"/>
      <c r="C85" s="126"/>
      <c r="D85" s="127"/>
      <c r="E85" s="49"/>
      <c r="F85" s="50"/>
      <c r="G85" s="51"/>
      <c r="H85" s="52"/>
      <c r="I85" s="52"/>
      <c r="J85" s="59"/>
      <c r="K85" s="60"/>
      <c r="L85" s="61" t="str">
        <f t="shared" si="51"/>
        <v/>
      </c>
      <c r="M85" s="70" t="str">
        <f t="shared" si="52"/>
        <v/>
      </c>
      <c r="N85" s="72"/>
      <c r="O85" s="69" t="str">
        <f t="shared" si="56"/>
        <v/>
      </c>
      <c r="P85" s="69" t="str">
        <f t="shared" si="57"/>
        <v/>
      </c>
      <c r="Q85" s="69" t="str">
        <f t="shared" si="58"/>
        <v/>
      </c>
      <c r="R85" s="79" t="str">
        <f t="shared" si="59"/>
        <v/>
      </c>
      <c r="S85" s="80" t="str">
        <f t="shared" si="60"/>
        <v/>
      </c>
      <c r="T85" s="81" t="str">
        <f t="shared" si="67"/>
        <v/>
      </c>
      <c r="U85" s="81" t="str">
        <f t="shared" si="68"/>
        <v/>
      </c>
      <c r="V85" s="80" t="str">
        <f t="shared" si="61"/>
        <v/>
      </c>
      <c r="W85" s="80" t="str">
        <f t="shared" si="62"/>
        <v/>
      </c>
      <c r="X85" s="80" t="str">
        <f t="shared" si="63"/>
        <v/>
      </c>
      <c r="Y85" s="89" t="str">
        <f t="shared" si="64"/>
        <v/>
      </c>
      <c r="Z85" s="88" t="str">
        <f t="shared" si="53"/>
        <v/>
      </c>
      <c r="AA85" s="88" t="str">
        <f t="shared" si="54"/>
        <v/>
      </c>
      <c r="AB85" s="88" t="str">
        <f t="shared" si="55"/>
        <v/>
      </c>
      <c r="AC85" s="88" t="str">
        <f t="shared" si="65"/>
        <v/>
      </c>
      <c r="AD85" s="95"/>
      <c r="AE85" s="96" t="str">
        <f t="shared" si="66"/>
        <v/>
      </c>
      <c r="AF85" s="97"/>
      <c r="AG85" s="104"/>
      <c r="AH85" s="104"/>
      <c r="AI85" s="105"/>
      <c r="AJ85" s="107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  <c r="BO85" s="113"/>
      <c r="BP85" s="113"/>
      <c r="BQ85" s="120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  <c r="CY85" s="121"/>
      <c r="CZ85" s="121"/>
      <c r="DA85" s="121"/>
      <c r="DB85" s="121"/>
      <c r="DC85" s="121"/>
      <c r="DD85" s="121"/>
      <c r="DE85" s="121"/>
      <c r="DF85" s="121"/>
      <c r="DG85" s="121"/>
      <c r="DH85" s="121"/>
      <c r="DI85" s="121"/>
      <c r="DJ85" s="121"/>
      <c r="DK85" s="121"/>
      <c r="DL85" s="121"/>
      <c r="DM85" s="121"/>
      <c r="DN85" s="121"/>
      <c r="DO85" s="121"/>
      <c r="DP85" s="121"/>
      <c r="DQ85" s="121"/>
      <c r="DR85" s="121"/>
      <c r="DS85" s="121"/>
      <c r="DT85" s="121"/>
      <c r="DU85" s="121"/>
      <c r="DV85" s="121"/>
      <c r="DW85" s="121"/>
      <c r="DX85" s="121"/>
      <c r="DY85" s="121"/>
      <c r="DZ85" s="121"/>
      <c r="EA85" s="121"/>
      <c r="EB85" s="121"/>
      <c r="EC85" s="121"/>
      <c r="ED85" s="121"/>
      <c r="EE85" s="121"/>
      <c r="EF85" s="121"/>
    </row>
    <row r="86" ht="15" customHeight="1" spans="1:136">
      <c r="A86" s="34">
        <v>37</v>
      </c>
      <c r="B86" s="125"/>
      <c r="C86" s="126"/>
      <c r="D86" s="127"/>
      <c r="E86" s="49"/>
      <c r="F86" s="50"/>
      <c r="G86" s="51"/>
      <c r="H86" s="52"/>
      <c r="I86" s="52"/>
      <c r="J86" s="59"/>
      <c r="K86" s="60"/>
      <c r="L86" s="61" t="str">
        <f t="shared" si="51"/>
        <v/>
      </c>
      <c r="M86" s="70" t="str">
        <f t="shared" si="52"/>
        <v/>
      </c>
      <c r="N86" s="71"/>
      <c r="O86" s="69" t="str">
        <f t="shared" si="56"/>
        <v/>
      </c>
      <c r="P86" s="69" t="str">
        <f t="shared" si="57"/>
        <v/>
      </c>
      <c r="Q86" s="69" t="str">
        <f t="shared" si="58"/>
        <v/>
      </c>
      <c r="R86" s="79" t="str">
        <f t="shared" si="59"/>
        <v/>
      </c>
      <c r="S86" s="80" t="str">
        <f t="shared" si="60"/>
        <v/>
      </c>
      <c r="T86" s="81" t="str">
        <f t="shared" si="67"/>
        <v/>
      </c>
      <c r="U86" s="81" t="str">
        <f t="shared" si="68"/>
        <v/>
      </c>
      <c r="V86" s="80" t="str">
        <f t="shared" si="61"/>
        <v/>
      </c>
      <c r="W86" s="80" t="str">
        <f t="shared" si="62"/>
        <v/>
      </c>
      <c r="X86" s="80" t="str">
        <f t="shared" si="63"/>
        <v/>
      </c>
      <c r="Y86" s="89" t="str">
        <f t="shared" si="64"/>
        <v/>
      </c>
      <c r="Z86" s="88" t="str">
        <f t="shared" si="53"/>
        <v/>
      </c>
      <c r="AA86" s="88" t="str">
        <f t="shared" si="54"/>
        <v/>
      </c>
      <c r="AB86" s="88" t="str">
        <f t="shared" si="55"/>
        <v/>
      </c>
      <c r="AC86" s="88" t="str">
        <f t="shared" si="65"/>
        <v/>
      </c>
      <c r="AD86" s="95"/>
      <c r="AE86" s="96" t="str">
        <f t="shared" si="66"/>
        <v/>
      </c>
      <c r="AF86" s="97"/>
      <c r="AG86" s="104"/>
      <c r="AH86" s="104"/>
      <c r="AI86" s="105"/>
      <c r="AJ86" s="107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  <c r="BO86" s="113"/>
      <c r="BP86" s="113"/>
      <c r="BQ86" s="120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  <c r="CY86" s="121"/>
      <c r="CZ86" s="121"/>
      <c r="DA86" s="121"/>
      <c r="DB86" s="121"/>
      <c r="DC86" s="121"/>
      <c r="DD86" s="121"/>
      <c r="DE86" s="121"/>
      <c r="DF86" s="121"/>
      <c r="DG86" s="121"/>
      <c r="DH86" s="121"/>
      <c r="DI86" s="121"/>
      <c r="DJ86" s="121"/>
      <c r="DK86" s="121"/>
      <c r="DL86" s="121"/>
      <c r="DM86" s="121"/>
      <c r="DN86" s="121"/>
      <c r="DO86" s="121"/>
      <c r="DP86" s="121"/>
      <c r="DQ86" s="121"/>
      <c r="DR86" s="121"/>
      <c r="DS86" s="121"/>
      <c r="DT86" s="121"/>
      <c r="DU86" s="121"/>
      <c r="DV86" s="121"/>
      <c r="DW86" s="121"/>
      <c r="DX86" s="121"/>
      <c r="DY86" s="121"/>
      <c r="DZ86" s="121"/>
      <c r="EA86" s="121"/>
      <c r="EB86" s="121"/>
      <c r="EC86" s="121"/>
      <c r="ED86" s="121"/>
      <c r="EE86" s="121"/>
      <c r="EF86" s="121"/>
    </row>
    <row r="87" ht="15" customHeight="1" spans="1:136">
      <c r="A87" s="34">
        <v>38</v>
      </c>
      <c r="B87" s="125"/>
      <c r="C87" s="126"/>
      <c r="D87" s="127"/>
      <c r="E87" s="49"/>
      <c r="F87" s="50"/>
      <c r="G87" s="51"/>
      <c r="H87" s="52"/>
      <c r="I87" s="52"/>
      <c r="J87" s="59"/>
      <c r="K87" s="60"/>
      <c r="L87" s="61" t="str">
        <f t="shared" si="51"/>
        <v/>
      </c>
      <c r="M87" s="70" t="str">
        <f t="shared" si="52"/>
        <v/>
      </c>
      <c r="N87" s="71"/>
      <c r="O87" s="69" t="str">
        <f t="shared" si="56"/>
        <v/>
      </c>
      <c r="P87" s="69" t="str">
        <f t="shared" si="57"/>
        <v/>
      </c>
      <c r="Q87" s="69" t="str">
        <f t="shared" si="58"/>
        <v/>
      </c>
      <c r="R87" s="79" t="str">
        <f t="shared" si="59"/>
        <v/>
      </c>
      <c r="S87" s="80" t="str">
        <f t="shared" si="60"/>
        <v/>
      </c>
      <c r="T87" s="81" t="str">
        <f t="shared" si="67"/>
        <v/>
      </c>
      <c r="U87" s="81" t="str">
        <f t="shared" si="68"/>
        <v/>
      </c>
      <c r="V87" s="80" t="str">
        <f t="shared" si="61"/>
        <v/>
      </c>
      <c r="W87" s="80" t="str">
        <f t="shared" si="62"/>
        <v/>
      </c>
      <c r="X87" s="80" t="str">
        <f t="shared" si="63"/>
        <v/>
      </c>
      <c r="Y87" s="89" t="str">
        <f t="shared" si="64"/>
        <v/>
      </c>
      <c r="Z87" s="88" t="str">
        <f t="shared" si="53"/>
        <v/>
      </c>
      <c r="AA87" s="88" t="str">
        <f t="shared" si="54"/>
        <v/>
      </c>
      <c r="AB87" s="88" t="str">
        <f t="shared" si="55"/>
        <v/>
      </c>
      <c r="AC87" s="88" t="str">
        <f t="shared" si="65"/>
        <v/>
      </c>
      <c r="AD87" s="95"/>
      <c r="AE87" s="96" t="str">
        <f t="shared" si="66"/>
        <v/>
      </c>
      <c r="AF87" s="97"/>
      <c r="AG87" s="104"/>
      <c r="AH87" s="104"/>
      <c r="AI87" s="105"/>
      <c r="AJ87" s="107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  <c r="BO87" s="113"/>
      <c r="BP87" s="113"/>
      <c r="BQ87" s="120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  <c r="CY87" s="121"/>
      <c r="CZ87" s="121"/>
      <c r="DA87" s="121"/>
      <c r="DB87" s="121"/>
      <c r="DC87" s="121"/>
      <c r="DD87" s="121"/>
      <c r="DE87" s="121"/>
      <c r="DF87" s="121"/>
      <c r="DG87" s="121"/>
      <c r="DH87" s="121"/>
      <c r="DI87" s="121"/>
      <c r="DJ87" s="121"/>
      <c r="DK87" s="121"/>
      <c r="DL87" s="121"/>
      <c r="DM87" s="121"/>
      <c r="DN87" s="121"/>
      <c r="DO87" s="121"/>
      <c r="DP87" s="121"/>
      <c r="DQ87" s="121"/>
      <c r="DR87" s="121"/>
      <c r="DS87" s="121"/>
      <c r="DT87" s="121"/>
      <c r="DU87" s="121"/>
      <c r="DV87" s="121"/>
      <c r="DW87" s="121"/>
      <c r="DX87" s="121"/>
      <c r="DY87" s="121"/>
      <c r="DZ87" s="121"/>
      <c r="EA87" s="121"/>
      <c r="EB87" s="121"/>
      <c r="EC87" s="121"/>
      <c r="ED87" s="121"/>
      <c r="EE87" s="121"/>
      <c r="EF87" s="121"/>
    </row>
    <row r="88" ht="15" customHeight="1" spans="1:136">
      <c r="A88" s="34">
        <v>39</v>
      </c>
      <c r="B88" s="125"/>
      <c r="C88" s="126"/>
      <c r="D88" s="127"/>
      <c r="E88" s="49"/>
      <c r="F88" s="50"/>
      <c r="G88" s="51"/>
      <c r="H88" s="52"/>
      <c r="I88" s="52"/>
      <c r="J88" s="59"/>
      <c r="K88" s="60"/>
      <c r="L88" s="61" t="str">
        <f t="shared" si="51"/>
        <v/>
      </c>
      <c r="M88" s="70" t="str">
        <f t="shared" si="52"/>
        <v/>
      </c>
      <c r="N88" s="71"/>
      <c r="O88" s="69" t="str">
        <f t="shared" si="56"/>
        <v/>
      </c>
      <c r="P88" s="69" t="str">
        <f t="shared" si="57"/>
        <v/>
      </c>
      <c r="Q88" s="69" t="str">
        <f t="shared" si="58"/>
        <v/>
      </c>
      <c r="R88" s="79" t="str">
        <f t="shared" si="59"/>
        <v/>
      </c>
      <c r="S88" s="80" t="str">
        <f t="shared" si="60"/>
        <v/>
      </c>
      <c r="T88" s="81" t="str">
        <f t="shared" si="67"/>
        <v/>
      </c>
      <c r="U88" s="81" t="str">
        <f t="shared" si="68"/>
        <v/>
      </c>
      <c r="V88" s="80" t="str">
        <f t="shared" si="61"/>
        <v/>
      </c>
      <c r="W88" s="80" t="str">
        <f t="shared" si="62"/>
        <v/>
      </c>
      <c r="X88" s="80" t="str">
        <f t="shared" si="63"/>
        <v/>
      </c>
      <c r="Y88" s="89" t="str">
        <f t="shared" si="64"/>
        <v/>
      </c>
      <c r="Z88" s="88" t="str">
        <f t="shared" si="53"/>
        <v/>
      </c>
      <c r="AA88" s="88" t="str">
        <f t="shared" si="54"/>
        <v/>
      </c>
      <c r="AB88" s="88" t="str">
        <f t="shared" si="55"/>
        <v/>
      </c>
      <c r="AC88" s="88" t="str">
        <f t="shared" si="65"/>
        <v/>
      </c>
      <c r="AD88" s="95"/>
      <c r="AE88" s="96" t="str">
        <f t="shared" si="66"/>
        <v/>
      </c>
      <c r="AF88" s="97"/>
      <c r="AG88" s="104"/>
      <c r="AH88" s="104"/>
      <c r="AI88" s="105"/>
      <c r="AJ88" s="107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20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  <c r="CY88" s="121"/>
      <c r="CZ88" s="121"/>
      <c r="DA88" s="121"/>
      <c r="DB88" s="121"/>
      <c r="DC88" s="121"/>
      <c r="DD88" s="121"/>
      <c r="DE88" s="121"/>
      <c r="DF88" s="121"/>
      <c r="DG88" s="121"/>
      <c r="DH88" s="121"/>
      <c r="DI88" s="121"/>
      <c r="DJ88" s="121"/>
      <c r="DK88" s="121"/>
      <c r="DL88" s="121"/>
      <c r="DM88" s="121"/>
      <c r="DN88" s="121"/>
      <c r="DO88" s="121"/>
      <c r="DP88" s="121"/>
      <c r="DQ88" s="121"/>
      <c r="DR88" s="121"/>
      <c r="DS88" s="121"/>
      <c r="DT88" s="121"/>
      <c r="DU88" s="121"/>
      <c r="DV88" s="121"/>
      <c r="DW88" s="121"/>
      <c r="DX88" s="121"/>
      <c r="DY88" s="121"/>
      <c r="DZ88" s="121"/>
      <c r="EA88" s="121"/>
      <c r="EB88" s="121"/>
      <c r="EC88" s="121"/>
      <c r="ED88" s="121"/>
      <c r="EE88" s="121"/>
      <c r="EF88" s="121"/>
    </row>
    <row r="89" ht="15" customHeight="1" spans="1:136">
      <c r="A89" s="34">
        <v>40</v>
      </c>
      <c r="B89" s="125"/>
      <c r="C89" s="126"/>
      <c r="D89" s="127"/>
      <c r="E89" s="49"/>
      <c r="F89" s="50"/>
      <c r="G89" s="51"/>
      <c r="H89" s="52"/>
      <c r="I89" s="52"/>
      <c r="J89" s="59"/>
      <c r="K89" s="60"/>
      <c r="L89" s="61" t="str">
        <f t="shared" si="51"/>
        <v/>
      </c>
      <c r="M89" s="70" t="str">
        <f t="shared" si="52"/>
        <v/>
      </c>
      <c r="N89" s="71"/>
      <c r="O89" s="69" t="str">
        <f t="shared" si="56"/>
        <v/>
      </c>
      <c r="P89" s="69" t="str">
        <f t="shared" si="57"/>
        <v/>
      </c>
      <c r="Q89" s="69" t="str">
        <f t="shared" si="58"/>
        <v/>
      </c>
      <c r="R89" s="79" t="str">
        <f t="shared" si="59"/>
        <v/>
      </c>
      <c r="S89" s="80" t="str">
        <f t="shared" si="60"/>
        <v/>
      </c>
      <c r="T89" s="81" t="str">
        <f t="shared" si="67"/>
        <v/>
      </c>
      <c r="U89" s="81" t="str">
        <f t="shared" si="68"/>
        <v/>
      </c>
      <c r="V89" s="80" t="str">
        <f t="shared" si="61"/>
        <v/>
      </c>
      <c r="W89" s="80" t="str">
        <f t="shared" si="62"/>
        <v/>
      </c>
      <c r="X89" s="80" t="str">
        <f t="shared" si="63"/>
        <v/>
      </c>
      <c r="Y89" s="89" t="str">
        <f t="shared" si="64"/>
        <v/>
      </c>
      <c r="Z89" s="88" t="str">
        <f t="shared" si="53"/>
        <v/>
      </c>
      <c r="AA89" s="88" t="str">
        <f t="shared" si="54"/>
        <v/>
      </c>
      <c r="AB89" s="88" t="str">
        <f t="shared" si="55"/>
        <v/>
      </c>
      <c r="AC89" s="88" t="str">
        <f t="shared" si="65"/>
        <v/>
      </c>
      <c r="AD89" s="95"/>
      <c r="AE89" s="96" t="str">
        <f t="shared" si="66"/>
        <v/>
      </c>
      <c r="AF89" s="97"/>
      <c r="AG89" s="104"/>
      <c r="AH89" s="104"/>
      <c r="AI89" s="105"/>
      <c r="AJ89" s="107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20"/>
      <c r="BR89" s="121"/>
      <c r="BS89" s="121"/>
      <c r="BT89" s="121"/>
      <c r="BU89" s="121"/>
      <c r="BV89" s="121"/>
      <c r="BW89" s="121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1"/>
      <c r="CU89" s="121"/>
      <c r="CV89" s="121"/>
      <c r="CW89" s="121"/>
      <c r="CX89" s="121"/>
      <c r="CY89" s="121"/>
      <c r="CZ89" s="121"/>
      <c r="DA89" s="121"/>
      <c r="DB89" s="121"/>
      <c r="DC89" s="121"/>
      <c r="DD89" s="121"/>
      <c r="DE89" s="121"/>
      <c r="DF89" s="121"/>
      <c r="DG89" s="121"/>
      <c r="DH89" s="121"/>
      <c r="DI89" s="121"/>
      <c r="DJ89" s="121"/>
      <c r="DK89" s="121"/>
      <c r="DL89" s="121"/>
      <c r="DM89" s="121"/>
      <c r="DN89" s="121"/>
      <c r="DO89" s="121"/>
      <c r="DP89" s="121"/>
      <c r="DQ89" s="121"/>
      <c r="DR89" s="121"/>
      <c r="DS89" s="121"/>
      <c r="DT89" s="121"/>
      <c r="DU89" s="121"/>
      <c r="DV89" s="121"/>
      <c r="DW89" s="121"/>
      <c r="DX89" s="121"/>
      <c r="DY89" s="121"/>
      <c r="DZ89" s="121"/>
      <c r="EA89" s="121"/>
      <c r="EB89" s="121"/>
      <c r="EC89" s="121"/>
      <c r="ED89" s="121"/>
      <c r="EE89" s="121"/>
      <c r="EF89" s="121"/>
    </row>
    <row r="90" ht="15" customHeight="1" spans="1:136">
      <c r="A90" s="34">
        <v>41</v>
      </c>
      <c r="B90" s="125"/>
      <c r="C90" s="126"/>
      <c r="D90" s="127"/>
      <c r="E90" s="49"/>
      <c r="F90" s="50"/>
      <c r="G90" s="51"/>
      <c r="H90" s="52"/>
      <c r="I90" s="52"/>
      <c r="J90" s="59"/>
      <c r="K90" s="60"/>
      <c r="L90" s="61" t="str">
        <f t="shared" si="51"/>
        <v/>
      </c>
      <c r="M90" s="70" t="str">
        <f t="shared" si="52"/>
        <v/>
      </c>
      <c r="N90" s="71"/>
      <c r="O90" s="69" t="str">
        <f t="shared" si="56"/>
        <v/>
      </c>
      <c r="P90" s="69" t="str">
        <f t="shared" si="57"/>
        <v/>
      </c>
      <c r="Q90" s="69" t="str">
        <f t="shared" si="58"/>
        <v/>
      </c>
      <c r="R90" s="79" t="str">
        <f t="shared" si="59"/>
        <v/>
      </c>
      <c r="S90" s="80" t="str">
        <f t="shared" si="60"/>
        <v/>
      </c>
      <c r="T90" s="81" t="str">
        <f t="shared" si="67"/>
        <v/>
      </c>
      <c r="U90" s="81" t="str">
        <f t="shared" si="68"/>
        <v/>
      </c>
      <c r="V90" s="80" t="str">
        <f t="shared" si="61"/>
        <v/>
      </c>
      <c r="W90" s="80" t="str">
        <f t="shared" si="62"/>
        <v/>
      </c>
      <c r="X90" s="80" t="str">
        <f t="shared" si="63"/>
        <v/>
      </c>
      <c r="Y90" s="89" t="str">
        <f t="shared" si="64"/>
        <v/>
      </c>
      <c r="Z90" s="88" t="str">
        <f t="shared" si="53"/>
        <v/>
      </c>
      <c r="AA90" s="88" t="str">
        <f t="shared" si="54"/>
        <v/>
      </c>
      <c r="AB90" s="88" t="str">
        <f t="shared" si="55"/>
        <v/>
      </c>
      <c r="AC90" s="88" t="str">
        <f t="shared" si="65"/>
        <v/>
      </c>
      <c r="AD90" s="95"/>
      <c r="AE90" s="96" t="str">
        <f t="shared" si="66"/>
        <v/>
      </c>
      <c r="AF90" s="97"/>
      <c r="AG90" s="104"/>
      <c r="AH90" s="104"/>
      <c r="AI90" s="105"/>
      <c r="AJ90" s="107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20"/>
      <c r="BR90" s="121"/>
      <c r="BS90" s="121"/>
      <c r="BT90" s="121"/>
      <c r="BU90" s="121"/>
      <c r="BV90" s="121"/>
      <c r="BW90" s="121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1"/>
      <c r="CU90" s="121"/>
      <c r="CV90" s="121"/>
      <c r="CW90" s="121"/>
      <c r="CX90" s="121"/>
      <c r="CY90" s="121"/>
      <c r="CZ90" s="121"/>
      <c r="DA90" s="121"/>
      <c r="DB90" s="121"/>
      <c r="DC90" s="121"/>
      <c r="DD90" s="121"/>
      <c r="DE90" s="121"/>
      <c r="DF90" s="121"/>
      <c r="DG90" s="121"/>
      <c r="DH90" s="121"/>
      <c r="DI90" s="121"/>
      <c r="DJ90" s="121"/>
      <c r="DK90" s="121"/>
      <c r="DL90" s="121"/>
      <c r="DM90" s="121"/>
      <c r="DN90" s="121"/>
      <c r="DO90" s="121"/>
      <c r="DP90" s="121"/>
      <c r="DQ90" s="121"/>
      <c r="DR90" s="121"/>
      <c r="DS90" s="121"/>
      <c r="DT90" s="121"/>
      <c r="DU90" s="121"/>
      <c r="DV90" s="121"/>
      <c r="DW90" s="121"/>
      <c r="DX90" s="121"/>
      <c r="DY90" s="121"/>
      <c r="DZ90" s="121"/>
      <c r="EA90" s="121"/>
      <c r="EB90" s="121"/>
      <c r="EC90" s="121"/>
      <c r="ED90" s="121"/>
      <c r="EE90" s="121"/>
      <c r="EF90" s="121"/>
    </row>
    <row r="91" ht="15" customHeight="1" spans="1:136">
      <c r="A91" s="34">
        <v>42</v>
      </c>
      <c r="B91" s="125"/>
      <c r="C91" s="126"/>
      <c r="D91" s="127"/>
      <c r="E91" s="49"/>
      <c r="F91" s="50"/>
      <c r="G91" s="51"/>
      <c r="H91" s="52"/>
      <c r="I91" s="52"/>
      <c r="J91" s="59"/>
      <c r="K91" s="60"/>
      <c r="L91" s="61" t="str">
        <f t="shared" si="51"/>
        <v/>
      </c>
      <c r="M91" s="70" t="str">
        <f t="shared" si="52"/>
        <v/>
      </c>
      <c r="N91" s="71"/>
      <c r="O91" s="69" t="str">
        <f t="shared" si="56"/>
        <v/>
      </c>
      <c r="P91" s="69" t="str">
        <f t="shared" si="57"/>
        <v/>
      </c>
      <c r="Q91" s="69" t="str">
        <f t="shared" si="58"/>
        <v/>
      </c>
      <c r="R91" s="79" t="str">
        <f t="shared" si="59"/>
        <v/>
      </c>
      <c r="S91" s="80" t="str">
        <f t="shared" si="60"/>
        <v/>
      </c>
      <c r="T91" s="81" t="str">
        <f t="shared" si="67"/>
        <v/>
      </c>
      <c r="U91" s="81" t="str">
        <f t="shared" si="68"/>
        <v/>
      </c>
      <c r="V91" s="80" t="str">
        <f t="shared" si="61"/>
        <v/>
      </c>
      <c r="W91" s="80" t="str">
        <f t="shared" si="62"/>
        <v/>
      </c>
      <c r="X91" s="80" t="str">
        <f t="shared" si="63"/>
        <v/>
      </c>
      <c r="Y91" s="89" t="str">
        <f t="shared" si="64"/>
        <v/>
      </c>
      <c r="Z91" s="88" t="str">
        <f t="shared" si="53"/>
        <v/>
      </c>
      <c r="AA91" s="88" t="str">
        <f t="shared" si="54"/>
        <v/>
      </c>
      <c r="AB91" s="88" t="str">
        <f t="shared" si="55"/>
        <v/>
      </c>
      <c r="AC91" s="88" t="str">
        <f t="shared" si="65"/>
        <v/>
      </c>
      <c r="AD91" s="95"/>
      <c r="AE91" s="96" t="str">
        <f t="shared" si="66"/>
        <v/>
      </c>
      <c r="AF91" s="97"/>
      <c r="AG91" s="104"/>
      <c r="AH91" s="104"/>
      <c r="AI91" s="105"/>
      <c r="AJ91" s="107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20"/>
      <c r="BR91" s="121"/>
      <c r="BS91" s="121"/>
      <c r="BT91" s="121"/>
      <c r="BU91" s="121"/>
      <c r="BV91" s="121"/>
      <c r="BW91" s="121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1"/>
      <c r="CU91" s="121"/>
      <c r="CV91" s="121"/>
      <c r="CW91" s="121"/>
      <c r="CX91" s="121"/>
      <c r="CY91" s="121"/>
      <c r="CZ91" s="121"/>
      <c r="DA91" s="121"/>
      <c r="DB91" s="121"/>
      <c r="DC91" s="121"/>
      <c r="DD91" s="121"/>
      <c r="DE91" s="121"/>
      <c r="DF91" s="121"/>
      <c r="DG91" s="121"/>
      <c r="DH91" s="121"/>
      <c r="DI91" s="121"/>
      <c r="DJ91" s="121"/>
      <c r="DK91" s="121"/>
      <c r="DL91" s="121"/>
      <c r="DM91" s="121"/>
      <c r="DN91" s="121"/>
      <c r="DO91" s="121"/>
      <c r="DP91" s="121"/>
      <c r="DQ91" s="121"/>
      <c r="DR91" s="121"/>
      <c r="DS91" s="121"/>
      <c r="DT91" s="121"/>
      <c r="DU91" s="121"/>
      <c r="DV91" s="121"/>
      <c r="DW91" s="121"/>
      <c r="DX91" s="121"/>
      <c r="DY91" s="121"/>
      <c r="DZ91" s="121"/>
      <c r="EA91" s="121"/>
      <c r="EB91" s="121"/>
      <c r="EC91" s="121"/>
      <c r="ED91" s="121"/>
      <c r="EE91" s="121"/>
      <c r="EF91" s="121"/>
    </row>
    <row r="92" ht="15" customHeight="1" spans="1:136">
      <c r="A92" s="34">
        <v>43</v>
      </c>
      <c r="B92" s="125"/>
      <c r="C92" s="126"/>
      <c r="D92" s="127"/>
      <c r="E92" s="49"/>
      <c r="F92" s="50"/>
      <c r="G92" s="51"/>
      <c r="H92" s="52"/>
      <c r="I92" s="52"/>
      <c r="J92" s="59"/>
      <c r="K92" s="60"/>
      <c r="L92" s="61" t="str">
        <f t="shared" si="51"/>
        <v/>
      </c>
      <c r="M92" s="70" t="str">
        <f t="shared" si="52"/>
        <v/>
      </c>
      <c r="N92" s="71"/>
      <c r="O92" s="69" t="str">
        <f t="shared" si="56"/>
        <v/>
      </c>
      <c r="P92" s="69" t="str">
        <f t="shared" si="57"/>
        <v/>
      </c>
      <c r="Q92" s="69" t="str">
        <f t="shared" si="58"/>
        <v/>
      </c>
      <c r="R92" s="79" t="str">
        <f t="shared" si="59"/>
        <v/>
      </c>
      <c r="S92" s="80" t="str">
        <f t="shared" si="60"/>
        <v/>
      </c>
      <c r="T92" s="81" t="str">
        <f t="shared" si="67"/>
        <v/>
      </c>
      <c r="U92" s="81" t="str">
        <f t="shared" si="68"/>
        <v/>
      </c>
      <c r="V92" s="80" t="str">
        <f t="shared" si="61"/>
        <v/>
      </c>
      <c r="W92" s="80" t="str">
        <f t="shared" si="62"/>
        <v/>
      </c>
      <c r="X92" s="80" t="str">
        <f t="shared" si="63"/>
        <v/>
      </c>
      <c r="Y92" s="89" t="str">
        <f t="shared" si="64"/>
        <v/>
      </c>
      <c r="Z92" s="88" t="str">
        <f t="shared" si="53"/>
        <v/>
      </c>
      <c r="AA92" s="88" t="str">
        <f t="shared" si="54"/>
        <v/>
      </c>
      <c r="AB92" s="88" t="str">
        <f t="shared" si="55"/>
        <v/>
      </c>
      <c r="AC92" s="88" t="str">
        <f t="shared" si="65"/>
        <v/>
      </c>
      <c r="AD92" s="95"/>
      <c r="AE92" s="96" t="str">
        <f t="shared" si="66"/>
        <v/>
      </c>
      <c r="AF92" s="97"/>
      <c r="AG92" s="104"/>
      <c r="AH92" s="104"/>
      <c r="AI92" s="105"/>
      <c r="AJ92" s="107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20"/>
      <c r="BR92" s="121"/>
      <c r="BS92" s="121"/>
      <c r="BT92" s="121"/>
      <c r="BU92" s="121"/>
      <c r="BV92" s="121"/>
      <c r="BW92" s="121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1"/>
      <c r="CU92" s="121"/>
      <c r="CV92" s="121"/>
      <c r="CW92" s="121"/>
      <c r="CX92" s="121"/>
      <c r="CY92" s="121"/>
      <c r="CZ92" s="121"/>
      <c r="DA92" s="121"/>
      <c r="DB92" s="121"/>
      <c r="DC92" s="121"/>
      <c r="DD92" s="121"/>
      <c r="DE92" s="121"/>
      <c r="DF92" s="121"/>
      <c r="DG92" s="121"/>
      <c r="DH92" s="121"/>
      <c r="DI92" s="121"/>
      <c r="DJ92" s="121"/>
      <c r="DK92" s="121"/>
      <c r="DL92" s="121"/>
      <c r="DM92" s="121"/>
      <c r="DN92" s="121"/>
      <c r="DO92" s="121"/>
      <c r="DP92" s="121"/>
      <c r="DQ92" s="121"/>
      <c r="DR92" s="121"/>
      <c r="DS92" s="121"/>
      <c r="DT92" s="121"/>
      <c r="DU92" s="121"/>
      <c r="DV92" s="121"/>
      <c r="DW92" s="121"/>
      <c r="DX92" s="121"/>
      <c r="DY92" s="121"/>
      <c r="DZ92" s="121"/>
      <c r="EA92" s="121"/>
      <c r="EB92" s="121"/>
      <c r="EC92" s="121"/>
      <c r="ED92" s="121"/>
      <c r="EE92" s="121"/>
      <c r="EF92" s="121"/>
    </row>
    <row r="93" ht="15" customHeight="1" spans="1:136">
      <c r="A93" s="34">
        <v>44</v>
      </c>
      <c r="B93" s="125"/>
      <c r="C93" s="126"/>
      <c r="D93" s="127"/>
      <c r="E93" s="49"/>
      <c r="F93" s="50"/>
      <c r="G93" s="51"/>
      <c r="H93" s="52"/>
      <c r="I93" s="52"/>
      <c r="J93" s="59"/>
      <c r="K93" s="60"/>
      <c r="L93" s="61" t="str">
        <f t="shared" si="51"/>
        <v/>
      </c>
      <c r="M93" s="70" t="str">
        <f t="shared" si="52"/>
        <v/>
      </c>
      <c r="N93" s="71"/>
      <c r="O93" s="69" t="str">
        <f t="shared" si="56"/>
        <v/>
      </c>
      <c r="P93" s="69" t="str">
        <f t="shared" si="57"/>
        <v/>
      </c>
      <c r="Q93" s="69" t="str">
        <f t="shared" si="58"/>
        <v/>
      </c>
      <c r="R93" s="79" t="str">
        <f t="shared" si="59"/>
        <v/>
      </c>
      <c r="S93" s="80" t="str">
        <f t="shared" si="60"/>
        <v/>
      </c>
      <c r="T93" s="81" t="str">
        <f t="shared" si="67"/>
        <v/>
      </c>
      <c r="U93" s="81" t="str">
        <f t="shared" si="68"/>
        <v/>
      </c>
      <c r="V93" s="80" t="str">
        <f t="shared" si="61"/>
        <v/>
      </c>
      <c r="W93" s="80" t="str">
        <f t="shared" si="62"/>
        <v/>
      </c>
      <c r="X93" s="80" t="str">
        <f t="shared" si="63"/>
        <v/>
      </c>
      <c r="Y93" s="89" t="str">
        <f t="shared" si="64"/>
        <v/>
      </c>
      <c r="Z93" s="88" t="str">
        <f t="shared" si="53"/>
        <v/>
      </c>
      <c r="AA93" s="88" t="str">
        <f t="shared" si="54"/>
        <v/>
      </c>
      <c r="AB93" s="88" t="str">
        <f t="shared" si="55"/>
        <v/>
      </c>
      <c r="AC93" s="88" t="str">
        <f t="shared" si="65"/>
        <v/>
      </c>
      <c r="AD93" s="95"/>
      <c r="AE93" s="96" t="str">
        <f t="shared" si="66"/>
        <v/>
      </c>
      <c r="AF93" s="97"/>
      <c r="AG93" s="104"/>
      <c r="AH93" s="104"/>
      <c r="AI93" s="105"/>
      <c r="AJ93" s="107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20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  <c r="CY93" s="121"/>
      <c r="CZ93" s="121"/>
      <c r="DA93" s="121"/>
      <c r="DB93" s="121"/>
      <c r="DC93" s="121"/>
      <c r="DD93" s="121"/>
      <c r="DE93" s="121"/>
      <c r="DF93" s="121"/>
      <c r="DG93" s="121"/>
      <c r="DH93" s="121"/>
      <c r="DI93" s="121"/>
      <c r="DJ93" s="121"/>
      <c r="DK93" s="121"/>
      <c r="DL93" s="121"/>
      <c r="DM93" s="121"/>
      <c r="DN93" s="121"/>
      <c r="DO93" s="121"/>
      <c r="DP93" s="121"/>
      <c r="DQ93" s="121"/>
      <c r="DR93" s="121"/>
      <c r="DS93" s="121"/>
      <c r="DT93" s="121"/>
      <c r="DU93" s="121"/>
      <c r="DV93" s="121"/>
      <c r="DW93" s="121"/>
      <c r="DX93" s="121"/>
      <c r="DY93" s="121"/>
      <c r="DZ93" s="121"/>
      <c r="EA93" s="121"/>
      <c r="EB93" s="121"/>
      <c r="EC93" s="121"/>
      <c r="ED93" s="121"/>
      <c r="EE93" s="121"/>
      <c r="EF93" s="121"/>
    </row>
    <row r="94" ht="15" customHeight="1" spans="1:136">
      <c r="A94" s="34">
        <v>45</v>
      </c>
      <c r="B94" s="125"/>
      <c r="C94" s="126"/>
      <c r="D94" s="127"/>
      <c r="E94" s="49"/>
      <c r="F94" s="50"/>
      <c r="G94" s="51"/>
      <c r="H94" s="52"/>
      <c r="I94" s="52"/>
      <c r="J94" s="59"/>
      <c r="K94" s="60"/>
      <c r="L94" s="61" t="str">
        <f t="shared" si="51"/>
        <v/>
      </c>
      <c r="M94" s="70" t="str">
        <f t="shared" si="52"/>
        <v/>
      </c>
      <c r="N94" s="71"/>
      <c r="O94" s="69" t="str">
        <f t="shared" si="56"/>
        <v/>
      </c>
      <c r="P94" s="69" t="str">
        <f t="shared" si="57"/>
        <v/>
      </c>
      <c r="Q94" s="69" t="str">
        <f t="shared" si="58"/>
        <v/>
      </c>
      <c r="R94" s="79" t="str">
        <f t="shared" si="59"/>
        <v/>
      </c>
      <c r="S94" s="80" t="str">
        <f t="shared" si="60"/>
        <v/>
      </c>
      <c r="T94" s="81" t="str">
        <f t="shared" si="67"/>
        <v/>
      </c>
      <c r="U94" s="81" t="str">
        <f t="shared" si="68"/>
        <v/>
      </c>
      <c r="V94" s="80" t="str">
        <f t="shared" si="61"/>
        <v/>
      </c>
      <c r="W94" s="80" t="str">
        <f t="shared" si="62"/>
        <v/>
      </c>
      <c r="X94" s="80" t="str">
        <f t="shared" si="63"/>
        <v/>
      </c>
      <c r="Y94" s="89" t="str">
        <f t="shared" si="64"/>
        <v/>
      </c>
      <c r="Z94" s="88" t="str">
        <f t="shared" si="53"/>
        <v/>
      </c>
      <c r="AA94" s="88" t="str">
        <f t="shared" si="54"/>
        <v/>
      </c>
      <c r="AB94" s="88" t="str">
        <f t="shared" si="55"/>
        <v/>
      </c>
      <c r="AC94" s="88" t="str">
        <f t="shared" si="65"/>
        <v/>
      </c>
      <c r="AD94" s="95"/>
      <c r="AE94" s="96" t="str">
        <f t="shared" si="66"/>
        <v/>
      </c>
      <c r="AF94" s="97"/>
      <c r="AG94" s="104"/>
      <c r="AH94" s="104"/>
      <c r="AI94" s="105"/>
      <c r="AJ94" s="107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20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  <c r="CY94" s="121"/>
      <c r="CZ94" s="121"/>
      <c r="DA94" s="121"/>
      <c r="DB94" s="121"/>
      <c r="DC94" s="121"/>
      <c r="DD94" s="121"/>
      <c r="DE94" s="121"/>
      <c r="DF94" s="121"/>
      <c r="DG94" s="121"/>
      <c r="DH94" s="121"/>
      <c r="DI94" s="121"/>
      <c r="DJ94" s="121"/>
      <c r="DK94" s="121"/>
      <c r="DL94" s="121"/>
      <c r="DM94" s="121"/>
      <c r="DN94" s="121"/>
      <c r="DO94" s="121"/>
      <c r="DP94" s="121"/>
      <c r="DQ94" s="121"/>
      <c r="DR94" s="121"/>
      <c r="DS94" s="121"/>
      <c r="DT94" s="121"/>
      <c r="DU94" s="121"/>
      <c r="DV94" s="121"/>
      <c r="DW94" s="121"/>
      <c r="DX94" s="121"/>
      <c r="DY94" s="121"/>
      <c r="DZ94" s="121"/>
      <c r="EA94" s="121"/>
      <c r="EB94" s="121"/>
      <c r="EC94" s="121"/>
      <c r="ED94" s="121"/>
      <c r="EE94" s="121"/>
      <c r="EF94" s="121"/>
    </row>
    <row r="95" ht="15" customHeight="1" spans="1:136">
      <c r="A95" s="34">
        <v>46</v>
      </c>
      <c r="B95" s="125"/>
      <c r="C95" s="126"/>
      <c r="D95" s="127"/>
      <c r="E95" s="49"/>
      <c r="F95" s="50"/>
      <c r="G95" s="51"/>
      <c r="H95" s="52"/>
      <c r="I95" s="52"/>
      <c r="J95" s="59"/>
      <c r="K95" s="60"/>
      <c r="L95" s="61" t="str">
        <f t="shared" si="51"/>
        <v/>
      </c>
      <c r="M95" s="70" t="str">
        <f t="shared" si="52"/>
        <v/>
      </c>
      <c r="N95" s="71"/>
      <c r="O95" s="69" t="str">
        <f t="shared" si="56"/>
        <v/>
      </c>
      <c r="P95" s="69" t="str">
        <f t="shared" si="57"/>
        <v/>
      </c>
      <c r="Q95" s="69" t="str">
        <f t="shared" si="58"/>
        <v/>
      </c>
      <c r="R95" s="79" t="str">
        <f t="shared" si="59"/>
        <v/>
      </c>
      <c r="S95" s="80" t="str">
        <f t="shared" si="60"/>
        <v/>
      </c>
      <c r="T95" s="81" t="str">
        <f t="shared" si="67"/>
        <v/>
      </c>
      <c r="U95" s="81" t="str">
        <f t="shared" si="68"/>
        <v/>
      </c>
      <c r="V95" s="80" t="str">
        <f t="shared" si="61"/>
        <v/>
      </c>
      <c r="W95" s="80" t="str">
        <f t="shared" si="62"/>
        <v/>
      </c>
      <c r="X95" s="80" t="str">
        <f t="shared" si="63"/>
        <v/>
      </c>
      <c r="Y95" s="89" t="str">
        <f t="shared" si="64"/>
        <v/>
      </c>
      <c r="Z95" s="88" t="str">
        <f t="shared" si="53"/>
        <v/>
      </c>
      <c r="AA95" s="88" t="str">
        <f t="shared" si="54"/>
        <v/>
      </c>
      <c r="AB95" s="88" t="str">
        <f t="shared" si="55"/>
        <v/>
      </c>
      <c r="AC95" s="88" t="str">
        <f t="shared" si="65"/>
        <v/>
      </c>
      <c r="AD95" s="95"/>
      <c r="AE95" s="96" t="str">
        <f t="shared" si="66"/>
        <v/>
      </c>
      <c r="AF95" s="97"/>
      <c r="AG95" s="104"/>
      <c r="AH95" s="104"/>
      <c r="AI95" s="105"/>
      <c r="AJ95" s="107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20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  <c r="CY95" s="121"/>
      <c r="CZ95" s="121"/>
      <c r="DA95" s="121"/>
      <c r="DB95" s="121"/>
      <c r="DC95" s="121"/>
      <c r="DD95" s="121"/>
      <c r="DE95" s="121"/>
      <c r="DF95" s="121"/>
      <c r="DG95" s="121"/>
      <c r="DH95" s="121"/>
      <c r="DI95" s="121"/>
      <c r="DJ95" s="121"/>
      <c r="DK95" s="121"/>
      <c r="DL95" s="121"/>
      <c r="DM95" s="121"/>
      <c r="DN95" s="121"/>
      <c r="DO95" s="121"/>
      <c r="DP95" s="121"/>
      <c r="DQ95" s="121"/>
      <c r="DR95" s="121"/>
      <c r="DS95" s="121"/>
      <c r="DT95" s="121"/>
      <c r="DU95" s="121"/>
      <c r="DV95" s="121"/>
      <c r="DW95" s="121"/>
      <c r="DX95" s="121"/>
      <c r="DY95" s="121"/>
      <c r="DZ95" s="121"/>
      <c r="EA95" s="121"/>
      <c r="EB95" s="121"/>
      <c r="EC95" s="121"/>
      <c r="ED95" s="121"/>
      <c r="EE95" s="121"/>
      <c r="EF95" s="121"/>
    </row>
    <row r="96" ht="15" customHeight="1" spans="1:136">
      <c r="A96" s="34">
        <v>47</v>
      </c>
      <c r="B96" s="125"/>
      <c r="C96" s="126"/>
      <c r="D96" s="127"/>
      <c r="E96" s="49"/>
      <c r="F96" s="50"/>
      <c r="G96" s="51"/>
      <c r="H96" s="52"/>
      <c r="I96" s="52"/>
      <c r="J96" s="59"/>
      <c r="K96" s="60"/>
      <c r="L96" s="61" t="str">
        <f t="shared" si="51"/>
        <v/>
      </c>
      <c r="M96" s="70" t="str">
        <f t="shared" si="52"/>
        <v/>
      </c>
      <c r="N96" s="71"/>
      <c r="O96" s="69" t="str">
        <f t="shared" si="56"/>
        <v/>
      </c>
      <c r="P96" s="69" t="str">
        <f t="shared" si="57"/>
        <v/>
      </c>
      <c r="Q96" s="69" t="str">
        <f t="shared" si="58"/>
        <v/>
      </c>
      <c r="R96" s="79" t="str">
        <f t="shared" si="59"/>
        <v/>
      </c>
      <c r="S96" s="80" t="str">
        <f t="shared" si="60"/>
        <v/>
      </c>
      <c r="T96" s="81" t="str">
        <f t="shared" si="67"/>
        <v/>
      </c>
      <c r="U96" s="81" t="str">
        <f t="shared" si="68"/>
        <v/>
      </c>
      <c r="V96" s="80" t="str">
        <f t="shared" si="61"/>
        <v/>
      </c>
      <c r="W96" s="80" t="str">
        <f t="shared" si="62"/>
        <v/>
      </c>
      <c r="X96" s="80" t="str">
        <f t="shared" si="63"/>
        <v/>
      </c>
      <c r="Y96" s="89" t="str">
        <f t="shared" si="64"/>
        <v/>
      </c>
      <c r="Z96" s="88" t="str">
        <f t="shared" si="53"/>
        <v/>
      </c>
      <c r="AA96" s="88" t="str">
        <f t="shared" si="54"/>
        <v/>
      </c>
      <c r="AB96" s="88" t="str">
        <f t="shared" si="55"/>
        <v/>
      </c>
      <c r="AC96" s="88" t="str">
        <f t="shared" si="65"/>
        <v/>
      </c>
      <c r="AD96" s="95"/>
      <c r="AE96" s="96" t="str">
        <f t="shared" si="66"/>
        <v/>
      </c>
      <c r="AF96" s="97"/>
      <c r="AG96" s="104"/>
      <c r="AH96" s="104"/>
      <c r="AI96" s="105"/>
      <c r="AJ96" s="107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20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  <c r="CY96" s="121"/>
      <c r="CZ96" s="121"/>
      <c r="DA96" s="121"/>
      <c r="DB96" s="121"/>
      <c r="DC96" s="121"/>
      <c r="DD96" s="121"/>
      <c r="DE96" s="121"/>
      <c r="DF96" s="121"/>
      <c r="DG96" s="121"/>
      <c r="DH96" s="121"/>
      <c r="DI96" s="121"/>
      <c r="DJ96" s="121"/>
      <c r="DK96" s="121"/>
      <c r="DL96" s="121"/>
      <c r="DM96" s="121"/>
      <c r="DN96" s="121"/>
      <c r="DO96" s="121"/>
      <c r="DP96" s="121"/>
      <c r="DQ96" s="121"/>
      <c r="DR96" s="121"/>
      <c r="DS96" s="121"/>
      <c r="DT96" s="121"/>
      <c r="DU96" s="121"/>
      <c r="DV96" s="121"/>
      <c r="DW96" s="121"/>
      <c r="DX96" s="121"/>
      <c r="DY96" s="121"/>
      <c r="DZ96" s="121"/>
      <c r="EA96" s="121"/>
      <c r="EB96" s="121"/>
      <c r="EC96" s="121"/>
      <c r="ED96" s="121"/>
      <c r="EE96" s="121"/>
      <c r="EF96" s="121"/>
    </row>
    <row r="97" ht="15" customHeight="1" spans="1:136">
      <c r="A97" s="34">
        <v>48</v>
      </c>
      <c r="B97" s="125"/>
      <c r="C97" s="126"/>
      <c r="D97" s="127"/>
      <c r="E97" s="49"/>
      <c r="F97" s="50"/>
      <c r="G97" s="51"/>
      <c r="H97" s="52"/>
      <c r="I97" s="52"/>
      <c r="J97" s="59"/>
      <c r="K97" s="60"/>
      <c r="L97" s="61" t="str">
        <f t="shared" si="51"/>
        <v/>
      </c>
      <c r="M97" s="70" t="str">
        <f t="shared" si="52"/>
        <v/>
      </c>
      <c r="N97" s="71"/>
      <c r="O97" s="69" t="str">
        <f t="shared" si="56"/>
        <v/>
      </c>
      <c r="P97" s="69" t="str">
        <f t="shared" si="57"/>
        <v/>
      </c>
      <c r="Q97" s="69" t="str">
        <f t="shared" si="58"/>
        <v/>
      </c>
      <c r="R97" s="79" t="str">
        <f t="shared" si="59"/>
        <v/>
      </c>
      <c r="S97" s="80" t="str">
        <f t="shared" si="60"/>
        <v/>
      </c>
      <c r="T97" s="81" t="str">
        <f t="shared" si="67"/>
        <v/>
      </c>
      <c r="U97" s="81" t="str">
        <f t="shared" si="68"/>
        <v/>
      </c>
      <c r="V97" s="80" t="str">
        <f t="shared" si="61"/>
        <v/>
      </c>
      <c r="W97" s="80" t="str">
        <f t="shared" si="62"/>
        <v/>
      </c>
      <c r="X97" s="80" t="str">
        <f t="shared" si="63"/>
        <v/>
      </c>
      <c r="Y97" s="89" t="str">
        <f t="shared" si="64"/>
        <v/>
      </c>
      <c r="Z97" s="88" t="str">
        <f t="shared" si="53"/>
        <v/>
      </c>
      <c r="AA97" s="88" t="str">
        <f t="shared" si="54"/>
        <v/>
      </c>
      <c r="AB97" s="88" t="str">
        <f t="shared" si="55"/>
        <v/>
      </c>
      <c r="AC97" s="88" t="str">
        <f t="shared" si="65"/>
        <v/>
      </c>
      <c r="AD97" s="95"/>
      <c r="AE97" s="96" t="str">
        <f t="shared" si="66"/>
        <v/>
      </c>
      <c r="AF97" s="97"/>
      <c r="AG97" s="104"/>
      <c r="AH97" s="104"/>
      <c r="AI97" s="105"/>
      <c r="AJ97" s="107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20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  <c r="CY97" s="121"/>
      <c r="CZ97" s="121"/>
      <c r="DA97" s="121"/>
      <c r="DB97" s="121"/>
      <c r="DC97" s="121"/>
      <c r="DD97" s="121"/>
      <c r="DE97" s="121"/>
      <c r="DF97" s="121"/>
      <c r="DG97" s="121"/>
      <c r="DH97" s="121"/>
      <c r="DI97" s="121"/>
      <c r="DJ97" s="121"/>
      <c r="DK97" s="121"/>
      <c r="DL97" s="121"/>
      <c r="DM97" s="121"/>
      <c r="DN97" s="121"/>
      <c r="DO97" s="121"/>
      <c r="DP97" s="121"/>
      <c r="DQ97" s="121"/>
      <c r="DR97" s="121"/>
      <c r="DS97" s="121"/>
      <c r="DT97" s="121"/>
      <c r="DU97" s="121"/>
      <c r="DV97" s="121"/>
      <c r="DW97" s="121"/>
      <c r="DX97" s="121"/>
      <c r="DY97" s="121"/>
      <c r="DZ97" s="121"/>
      <c r="EA97" s="121"/>
      <c r="EB97" s="121"/>
      <c r="EC97" s="121"/>
      <c r="ED97" s="121"/>
      <c r="EE97" s="121"/>
      <c r="EF97" s="121"/>
    </row>
    <row r="98" ht="15" customHeight="1" spans="1:136">
      <c r="A98" s="34">
        <v>2</v>
      </c>
      <c r="B98" s="125"/>
      <c r="C98" s="126"/>
      <c r="D98" s="128"/>
      <c r="E98" s="49"/>
      <c r="F98" s="50"/>
      <c r="G98" s="51"/>
      <c r="H98" s="52"/>
      <c r="I98" s="52"/>
      <c r="J98" s="59"/>
      <c r="K98" s="60"/>
      <c r="L98" s="61" t="str">
        <f t="shared" ref="L98:L136" si="69">IF(AND(G98="",H98=""),"",IF(G98="",H98,G98+H98))</f>
        <v/>
      </c>
      <c r="M98" s="70" t="str">
        <f t="shared" ref="M98:M136" si="70">IF(AND(G98="",I98=""),"",IF(G98="",I98,G98+I98))</f>
        <v/>
      </c>
      <c r="N98" s="68"/>
      <c r="O98" s="69" t="str">
        <f t="shared" si="56"/>
        <v/>
      </c>
      <c r="P98" s="69" t="str">
        <f t="shared" si="57"/>
        <v/>
      </c>
      <c r="Q98" s="69" t="str">
        <f t="shared" si="58"/>
        <v/>
      </c>
      <c r="R98" s="79" t="str">
        <f t="shared" si="59"/>
        <v/>
      </c>
      <c r="S98" s="80" t="str">
        <f t="shared" si="60"/>
        <v/>
      </c>
      <c r="T98" s="81" t="str">
        <f t="shared" si="67"/>
        <v/>
      </c>
      <c r="U98" s="81" t="str">
        <f t="shared" si="68"/>
        <v/>
      </c>
      <c r="V98" s="80" t="str">
        <f t="shared" si="61"/>
        <v/>
      </c>
      <c r="W98" s="80" t="str">
        <f t="shared" si="62"/>
        <v/>
      </c>
      <c r="X98" s="80" t="str">
        <f t="shared" si="63"/>
        <v/>
      </c>
      <c r="Y98" s="87" t="str">
        <f t="shared" si="64"/>
        <v/>
      </c>
      <c r="Z98" s="88" t="str">
        <f t="shared" ref="Z98:Z136" si="71">IF($Q98="","",IF(F98="Tolerance",IF(($E98*3*R98+Q98)-G98&lt;H98,"",($E98*3*R98+Q98)-G98),IF(OR(F98="GD&amp;T",F98="MAX"),IF(($E98*3*R98+Q98)&lt;H98,"",($E98*3*R98+Q98)),"")))</f>
        <v/>
      </c>
      <c r="AA98" s="88" t="str">
        <f t="shared" ref="AA98:AA136" si="72">IF(Q98="","",IF(F98="Tolerance",IF(-(($E98*3*R98)-Q98)-G98&gt;I98,"",-(($E98*3*R98)-Q98)-G98),IF(F98="MIN",IF(-(($E98*3*R98)-Q98)&gt;I98,"",-(($E98*3*R98)-Q98)),"")))</f>
        <v/>
      </c>
      <c r="AB98" s="88" t="str">
        <f t="shared" ref="AB98:AB136" si="73">IF(OR(G98="",Q98=""),"",(L98+M98)/2-Q98)</f>
        <v/>
      </c>
      <c r="AC98" s="88" t="str">
        <f t="shared" si="65"/>
        <v/>
      </c>
      <c r="AD98" s="95"/>
      <c r="AE98" s="96" t="str">
        <f t="shared" si="66"/>
        <v/>
      </c>
      <c r="AF98" s="97"/>
      <c r="AG98" s="104"/>
      <c r="AH98" s="104"/>
      <c r="AI98" s="105"/>
      <c r="AJ98" s="106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20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  <c r="CY98" s="121"/>
      <c r="CZ98" s="121"/>
      <c r="DA98" s="121"/>
      <c r="DB98" s="121"/>
      <c r="DC98" s="121"/>
      <c r="DD98" s="121"/>
      <c r="DE98" s="121"/>
      <c r="DF98" s="121"/>
      <c r="DG98" s="121"/>
      <c r="DH98" s="121"/>
      <c r="DI98" s="121"/>
      <c r="DJ98" s="121"/>
      <c r="DK98" s="121"/>
      <c r="DL98" s="121"/>
      <c r="DM98" s="121"/>
      <c r="DN98" s="121"/>
      <c r="DO98" s="121"/>
      <c r="DP98" s="121"/>
      <c r="DQ98" s="121"/>
      <c r="DR98" s="121"/>
      <c r="DS98" s="121"/>
      <c r="DT98" s="121"/>
      <c r="DU98" s="121"/>
      <c r="DV98" s="121"/>
      <c r="DW98" s="121"/>
      <c r="DX98" s="121"/>
      <c r="DY98" s="121"/>
      <c r="DZ98" s="121"/>
      <c r="EA98" s="121"/>
      <c r="EB98" s="121"/>
      <c r="EC98" s="121"/>
      <c r="ED98" s="121"/>
      <c r="EE98" s="121"/>
      <c r="EF98" s="121"/>
    </row>
    <row r="99" ht="15" customHeight="1" spans="1:136">
      <c r="A99" s="34">
        <v>2</v>
      </c>
      <c r="B99" s="125"/>
      <c r="C99" s="126"/>
      <c r="D99" s="128"/>
      <c r="E99" s="49"/>
      <c r="F99" s="50"/>
      <c r="G99" s="51"/>
      <c r="H99" s="52"/>
      <c r="I99" s="52"/>
      <c r="J99" s="59"/>
      <c r="K99" s="60"/>
      <c r="L99" s="61" t="str">
        <f t="shared" si="69"/>
        <v/>
      </c>
      <c r="M99" s="70" t="str">
        <f t="shared" si="70"/>
        <v/>
      </c>
      <c r="N99" s="68"/>
      <c r="O99" s="69" t="str">
        <f t="shared" si="56"/>
        <v/>
      </c>
      <c r="P99" s="69" t="str">
        <f t="shared" si="57"/>
        <v/>
      </c>
      <c r="Q99" s="69" t="str">
        <f t="shared" si="58"/>
        <v/>
      </c>
      <c r="R99" s="79" t="str">
        <f t="shared" si="59"/>
        <v/>
      </c>
      <c r="S99" s="80" t="str">
        <f t="shared" si="60"/>
        <v/>
      </c>
      <c r="T99" s="81" t="str">
        <f t="shared" si="67"/>
        <v/>
      </c>
      <c r="U99" s="81" t="str">
        <f t="shared" si="68"/>
        <v/>
      </c>
      <c r="V99" s="80" t="str">
        <f t="shared" si="61"/>
        <v/>
      </c>
      <c r="W99" s="80" t="str">
        <f t="shared" si="62"/>
        <v/>
      </c>
      <c r="X99" s="80" t="str">
        <f t="shared" si="63"/>
        <v/>
      </c>
      <c r="Y99" s="87" t="str">
        <f t="shared" si="64"/>
        <v/>
      </c>
      <c r="Z99" s="88" t="str">
        <f t="shared" si="71"/>
        <v/>
      </c>
      <c r="AA99" s="88" t="str">
        <f t="shared" si="72"/>
        <v/>
      </c>
      <c r="AB99" s="88" t="str">
        <f t="shared" si="73"/>
        <v/>
      </c>
      <c r="AC99" s="88" t="str">
        <f t="shared" si="65"/>
        <v/>
      </c>
      <c r="AD99" s="95"/>
      <c r="AE99" s="96" t="str">
        <f t="shared" si="66"/>
        <v/>
      </c>
      <c r="AF99" s="97"/>
      <c r="AG99" s="104"/>
      <c r="AH99" s="104"/>
      <c r="AI99" s="105"/>
      <c r="AJ99" s="106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20"/>
      <c r="BR99" s="121"/>
      <c r="BS99" s="121"/>
      <c r="BT99" s="121"/>
      <c r="BU99" s="121"/>
      <c r="BV99" s="121"/>
      <c r="BW99" s="121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1"/>
      <c r="CU99" s="121"/>
      <c r="CV99" s="121"/>
      <c r="CW99" s="121"/>
      <c r="CX99" s="121"/>
      <c r="CY99" s="121"/>
      <c r="CZ99" s="121"/>
      <c r="DA99" s="121"/>
      <c r="DB99" s="121"/>
      <c r="DC99" s="121"/>
      <c r="DD99" s="121"/>
      <c r="DE99" s="121"/>
      <c r="DF99" s="121"/>
      <c r="DG99" s="121"/>
      <c r="DH99" s="121"/>
      <c r="DI99" s="121"/>
      <c r="DJ99" s="121"/>
      <c r="DK99" s="121"/>
      <c r="DL99" s="121"/>
      <c r="DM99" s="121"/>
      <c r="DN99" s="121"/>
      <c r="DO99" s="121"/>
      <c r="DP99" s="121"/>
      <c r="DQ99" s="121"/>
      <c r="DR99" s="121"/>
      <c r="DS99" s="121"/>
      <c r="DT99" s="121"/>
      <c r="DU99" s="121"/>
      <c r="DV99" s="121"/>
      <c r="DW99" s="121"/>
      <c r="DX99" s="121"/>
      <c r="DY99" s="121"/>
      <c r="DZ99" s="121"/>
      <c r="EA99" s="121"/>
      <c r="EB99" s="121"/>
      <c r="EC99" s="121"/>
      <c r="ED99" s="121"/>
      <c r="EE99" s="121"/>
      <c r="EF99" s="121"/>
    </row>
    <row r="100" ht="15" customHeight="1" spans="1:136">
      <c r="A100" s="34">
        <v>12</v>
      </c>
      <c r="B100" s="125"/>
      <c r="C100" s="126"/>
      <c r="D100" s="127"/>
      <c r="E100" s="49"/>
      <c r="F100" s="50"/>
      <c r="G100" s="51"/>
      <c r="H100" s="52"/>
      <c r="I100" s="52"/>
      <c r="J100" s="59"/>
      <c r="K100" s="60"/>
      <c r="L100" s="61" t="str">
        <f t="shared" si="69"/>
        <v/>
      </c>
      <c r="M100" s="70" t="str">
        <f t="shared" si="70"/>
        <v/>
      </c>
      <c r="N100" s="71"/>
      <c r="O100" s="69" t="str">
        <f t="shared" ref="O100:O138" si="74">IF(OR($AK100="",ISNUMBER($AK100)=FALSE),"",MAX(AK100:EF100))</f>
        <v/>
      </c>
      <c r="P100" s="69" t="str">
        <f t="shared" ref="P100:P138" si="75">IF(OR($AK100="",ISNUMBER($AK100)=FALSE),"",MIN(AK100:EF100))</f>
        <v/>
      </c>
      <c r="Q100" s="69" t="str">
        <f t="shared" ref="Q100:Q138" si="76">IF(OR($AK100="",ISNUMBER($AK100)=FALSE),"",AVERAGE(AK100:EF100))</f>
        <v/>
      </c>
      <c r="R100" s="79" t="str">
        <f t="shared" ref="R100:R138" si="77">IF(OR($AK100="",ISNUMBER($AK100)=FALSE),"",STDEV(AK100:EF100))</f>
        <v/>
      </c>
      <c r="S100" s="80" t="str">
        <f t="shared" si="60"/>
        <v/>
      </c>
      <c r="T100" s="81" t="str">
        <f t="shared" si="67"/>
        <v/>
      </c>
      <c r="U100" s="81" t="str">
        <f t="shared" si="68"/>
        <v/>
      </c>
      <c r="V100" s="80" t="str">
        <f t="shared" si="61"/>
        <v/>
      </c>
      <c r="W100" s="80" t="str">
        <f t="shared" si="62"/>
        <v/>
      </c>
      <c r="X100" s="80" t="str">
        <f t="shared" si="63"/>
        <v/>
      </c>
      <c r="Y100" s="87" t="str">
        <f t="shared" si="64"/>
        <v/>
      </c>
      <c r="Z100" s="88" t="str">
        <f t="shared" si="71"/>
        <v/>
      </c>
      <c r="AA100" s="88" t="str">
        <f t="shared" si="72"/>
        <v/>
      </c>
      <c r="AB100" s="88" t="str">
        <f t="shared" si="73"/>
        <v/>
      </c>
      <c r="AC100" s="88" t="str">
        <f t="shared" si="65"/>
        <v/>
      </c>
      <c r="AD100" s="95"/>
      <c r="AE100" s="96" t="str">
        <f t="shared" si="66"/>
        <v/>
      </c>
      <c r="AF100" s="97"/>
      <c r="AG100" s="104"/>
      <c r="AH100" s="104"/>
      <c r="AI100" s="105"/>
      <c r="AJ100" s="107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20"/>
      <c r="BR100" s="121"/>
      <c r="BS100" s="121"/>
      <c r="BT100" s="121"/>
      <c r="BU100" s="121"/>
      <c r="BV100" s="121"/>
      <c r="BW100" s="121"/>
      <c r="BX100" s="121"/>
      <c r="BY100" s="121"/>
      <c r="BZ100" s="121"/>
      <c r="CA100" s="121"/>
      <c r="CB100" s="121"/>
      <c r="CC100" s="121"/>
      <c r="CD100" s="121"/>
      <c r="CE100" s="121"/>
      <c r="CF100" s="123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1"/>
      <c r="CU100" s="121"/>
      <c r="CV100" s="121"/>
      <c r="CW100" s="121"/>
      <c r="CX100" s="121"/>
      <c r="CY100" s="121"/>
      <c r="CZ100" s="121"/>
      <c r="DA100" s="121"/>
      <c r="DB100" s="121"/>
      <c r="DC100" s="121"/>
      <c r="DD100" s="121"/>
      <c r="DE100" s="121"/>
      <c r="DF100" s="121"/>
      <c r="DG100" s="121"/>
      <c r="DH100" s="121"/>
      <c r="DI100" s="121"/>
      <c r="DJ100" s="121"/>
      <c r="DK100" s="121"/>
      <c r="DL100" s="121"/>
      <c r="DM100" s="121"/>
      <c r="DN100" s="121"/>
      <c r="DO100" s="121"/>
      <c r="DP100" s="121"/>
      <c r="DQ100" s="121"/>
      <c r="DR100" s="121"/>
      <c r="DS100" s="121"/>
      <c r="DT100" s="121"/>
      <c r="DU100" s="121"/>
      <c r="DV100" s="121"/>
      <c r="DW100" s="121"/>
      <c r="DX100" s="121"/>
      <c r="DY100" s="121"/>
      <c r="DZ100" s="121"/>
      <c r="EA100" s="121"/>
      <c r="EB100" s="121"/>
      <c r="EC100" s="121"/>
      <c r="ED100" s="121"/>
      <c r="EE100" s="121"/>
      <c r="EF100" s="121"/>
    </row>
    <row r="101" ht="15" customHeight="1" spans="1:136">
      <c r="A101" s="34">
        <v>13</v>
      </c>
      <c r="B101" s="125"/>
      <c r="C101" s="126"/>
      <c r="D101" s="127"/>
      <c r="E101" s="49"/>
      <c r="F101" s="50"/>
      <c r="G101" s="51"/>
      <c r="H101" s="52"/>
      <c r="I101" s="52"/>
      <c r="J101" s="59"/>
      <c r="K101" s="60"/>
      <c r="L101" s="61" t="str">
        <f t="shared" si="69"/>
        <v/>
      </c>
      <c r="M101" s="70" t="str">
        <f t="shared" si="70"/>
        <v/>
      </c>
      <c r="N101" s="71"/>
      <c r="O101" s="69" t="str">
        <f t="shared" si="74"/>
        <v/>
      </c>
      <c r="P101" s="69" t="str">
        <f t="shared" si="75"/>
        <v/>
      </c>
      <c r="Q101" s="69" t="str">
        <f t="shared" si="76"/>
        <v/>
      </c>
      <c r="R101" s="79" t="str">
        <f t="shared" si="77"/>
        <v/>
      </c>
      <c r="S101" s="80" t="str">
        <f t="shared" si="60"/>
        <v/>
      </c>
      <c r="T101" s="81" t="str">
        <f t="shared" si="67"/>
        <v/>
      </c>
      <c r="U101" s="81" t="str">
        <f t="shared" si="68"/>
        <v/>
      </c>
      <c r="V101" s="80" t="str">
        <f t="shared" si="61"/>
        <v/>
      </c>
      <c r="W101" s="80" t="str">
        <f t="shared" si="62"/>
        <v/>
      </c>
      <c r="X101" s="80" t="str">
        <f t="shared" si="63"/>
        <v/>
      </c>
      <c r="Y101" s="87" t="str">
        <f t="shared" si="64"/>
        <v/>
      </c>
      <c r="Z101" s="88" t="str">
        <f t="shared" si="71"/>
        <v/>
      </c>
      <c r="AA101" s="88" t="str">
        <f t="shared" si="72"/>
        <v/>
      </c>
      <c r="AB101" s="88" t="str">
        <f t="shared" si="73"/>
        <v/>
      </c>
      <c r="AC101" s="88" t="str">
        <f t="shared" si="65"/>
        <v/>
      </c>
      <c r="AD101" s="95"/>
      <c r="AE101" s="96" t="str">
        <f t="shared" si="66"/>
        <v/>
      </c>
      <c r="AF101" s="97"/>
      <c r="AG101" s="104"/>
      <c r="AH101" s="104"/>
      <c r="AI101" s="105"/>
      <c r="AJ101" s="107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20"/>
      <c r="BR101" s="121"/>
      <c r="BS101" s="121"/>
      <c r="BT101" s="121"/>
      <c r="BU101" s="121"/>
      <c r="BV101" s="121"/>
      <c r="BW101" s="121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1"/>
      <c r="CU101" s="121"/>
      <c r="CV101" s="121"/>
      <c r="CW101" s="121"/>
      <c r="CX101" s="121"/>
      <c r="CY101" s="121"/>
      <c r="CZ101" s="121"/>
      <c r="DA101" s="121"/>
      <c r="DB101" s="121"/>
      <c r="DC101" s="121"/>
      <c r="DD101" s="121"/>
      <c r="DE101" s="121"/>
      <c r="DF101" s="121"/>
      <c r="DG101" s="121"/>
      <c r="DH101" s="121"/>
      <c r="DI101" s="121"/>
      <c r="DJ101" s="121"/>
      <c r="DK101" s="121"/>
      <c r="DL101" s="121"/>
      <c r="DM101" s="121"/>
      <c r="DN101" s="121"/>
      <c r="DO101" s="121"/>
      <c r="DP101" s="121"/>
      <c r="DQ101" s="121"/>
      <c r="DR101" s="121"/>
      <c r="DS101" s="121"/>
      <c r="DT101" s="121"/>
      <c r="DU101" s="121"/>
      <c r="DV101" s="121"/>
      <c r="DW101" s="121"/>
      <c r="DX101" s="121"/>
      <c r="DY101" s="121"/>
      <c r="DZ101" s="121"/>
      <c r="EA101" s="121"/>
      <c r="EB101" s="121"/>
      <c r="EC101" s="121"/>
      <c r="ED101" s="121"/>
      <c r="EE101" s="121"/>
      <c r="EF101" s="121"/>
    </row>
    <row r="102" ht="15" customHeight="1" spans="1:136">
      <c r="A102" s="34">
        <v>14</v>
      </c>
      <c r="B102" s="125"/>
      <c r="C102" s="126"/>
      <c r="D102" s="127"/>
      <c r="E102" s="49"/>
      <c r="F102" s="50"/>
      <c r="G102" s="51"/>
      <c r="H102" s="52"/>
      <c r="I102" s="52"/>
      <c r="J102" s="59"/>
      <c r="K102" s="60"/>
      <c r="L102" s="61" t="str">
        <f t="shared" si="69"/>
        <v/>
      </c>
      <c r="M102" s="70" t="str">
        <f t="shared" si="70"/>
        <v/>
      </c>
      <c r="N102" s="68"/>
      <c r="O102" s="69" t="str">
        <f t="shared" si="74"/>
        <v/>
      </c>
      <c r="P102" s="69" t="str">
        <f t="shared" si="75"/>
        <v/>
      </c>
      <c r="Q102" s="69" t="str">
        <f t="shared" si="76"/>
        <v/>
      </c>
      <c r="R102" s="79" t="str">
        <f t="shared" si="77"/>
        <v/>
      </c>
      <c r="S102" s="80" t="str">
        <f t="shared" si="60"/>
        <v/>
      </c>
      <c r="T102" s="81" t="str">
        <f t="shared" si="67"/>
        <v/>
      </c>
      <c r="U102" s="81" t="str">
        <f t="shared" si="68"/>
        <v/>
      </c>
      <c r="V102" s="80" t="str">
        <f t="shared" si="61"/>
        <v/>
      </c>
      <c r="W102" s="80" t="str">
        <f t="shared" si="62"/>
        <v/>
      </c>
      <c r="X102" s="80" t="str">
        <f t="shared" si="63"/>
        <v/>
      </c>
      <c r="Y102" s="87" t="str">
        <f t="shared" si="64"/>
        <v/>
      </c>
      <c r="Z102" s="88" t="str">
        <f t="shared" si="71"/>
        <v/>
      </c>
      <c r="AA102" s="88" t="str">
        <f t="shared" si="72"/>
        <v/>
      </c>
      <c r="AB102" s="88" t="str">
        <f t="shared" si="73"/>
        <v/>
      </c>
      <c r="AC102" s="88" t="str">
        <f t="shared" si="65"/>
        <v/>
      </c>
      <c r="AD102" s="95"/>
      <c r="AE102" s="96" t="str">
        <f t="shared" si="66"/>
        <v/>
      </c>
      <c r="AF102" s="97"/>
      <c r="AG102" s="104"/>
      <c r="AH102" s="104"/>
      <c r="AI102" s="105"/>
      <c r="AJ102" s="106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20"/>
      <c r="BR102" s="121"/>
      <c r="BS102" s="121"/>
      <c r="BT102" s="121"/>
      <c r="BU102" s="121"/>
      <c r="BV102" s="121"/>
      <c r="BW102" s="121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1"/>
      <c r="CU102" s="121"/>
      <c r="CV102" s="121"/>
      <c r="CW102" s="121"/>
      <c r="CX102" s="121"/>
      <c r="CY102" s="121"/>
      <c r="CZ102" s="121"/>
      <c r="DA102" s="121"/>
      <c r="DB102" s="121"/>
      <c r="DC102" s="121"/>
      <c r="DD102" s="121"/>
      <c r="DE102" s="121"/>
      <c r="DF102" s="121"/>
      <c r="DG102" s="121"/>
      <c r="DH102" s="121"/>
      <c r="DI102" s="121"/>
      <c r="DJ102" s="121"/>
      <c r="DK102" s="121"/>
      <c r="DL102" s="121"/>
      <c r="DM102" s="121"/>
      <c r="DN102" s="121"/>
      <c r="DO102" s="121"/>
      <c r="DP102" s="121"/>
      <c r="DQ102" s="121"/>
      <c r="DR102" s="121"/>
      <c r="DS102" s="121"/>
      <c r="DT102" s="121"/>
      <c r="DU102" s="121"/>
      <c r="DV102" s="121"/>
      <c r="DW102" s="121"/>
      <c r="DX102" s="121"/>
      <c r="DY102" s="121"/>
      <c r="DZ102" s="121"/>
      <c r="EA102" s="121"/>
      <c r="EB102" s="121"/>
      <c r="EC102" s="121"/>
      <c r="ED102" s="121"/>
      <c r="EE102" s="121"/>
      <c r="EF102" s="121"/>
    </row>
    <row r="103" ht="15" customHeight="1" spans="1:136">
      <c r="A103" s="34">
        <v>15</v>
      </c>
      <c r="B103" s="125"/>
      <c r="C103" s="126"/>
      <c r="D103" s="128"/>
      <c r="E103" s="49"/>
      <c r="F103" s="50"/>
      <c r="G103" s="51"/>
      <c r="H103" s="52"/>
      <c r="I103" s="52"/>
      <c r="J103" s="59"/>
      <c r="K103" s="60"/>
      <c r="L103" s="61" t="str">
        <f t="shared" si="69"/>
        <v/>
      </c>
      <c r="M103" s="70" t="str">
        <f t="shared" si="70"/>
        <v/>
      </c>
      <c r="N103" s="68"/>
      <c r="O103" s="69" t="str">
        <f t="shared" si="74"/>
        <v/>
      </c>
      <c r="P103" s="69" t="str">
        <f t="shared" si="75"/>
        <v/>
      </c>
      <c r="Q103" s="69" t="str">
        <f t="shared" si="76"/>
        <v/>
      </c>
      <c r="R103" s="79" t="str">
        <f t="shared" si="77"/>
        <v/>
      </c>
      <c r="S103" s="80" t="str">
        <f t="shared" si="60"/>
        <v/>
      </c>
      <c r="T103" s="81" t="str">
        <f t="shared" si="67"/>
        <v/>
      </c>
      <c r="U103" s="81" t="str">
        <f t="shared" si="68"/>
        <v/>
      </c>
      <c r="V103" s="80" t="str">
        <f t="shared" si="61"/>
        <v/>
      </c>
      <c r="W103" s="80" t="str">
        <f t="shared" si="62"/>
        <v/>
      </c>
      <c r="X103" s="80" t="str">
        <f t="shared" si="63"/>
        <v/>
      </c>
      <c r="Y103" s="87" t="str">
        <f t="shared" si="64"/>
        <v/>
      </c>
      <c r="Z103" s="88" t="str">
        <f t="shared" si="71"/>
        <v/>
      </c>
      <c r="AA103" s="88" t="str">
        <f t="shared" si="72"/>
        <v/>
      </c>
      <c r="AB103" s="88" t="str">
        <f t="shared" si="73"/>
        <v/>
      </c>
      <c r="AC103" s="88" t="str">
        <f t="shared" si="65"/>
        <v/>
      </c>
      <c r="AD103" s="95"/>
      <c r="AE103" s="96" t="str">
        <f t="shared" si="66"/>
        <v/>
      </c>
      <c r="AF103" s="97"/>
      <c r="AG103" s="104"/>
      <c r="AH103" s="104"/>
      <c r="AI103" s="105"/>
      <c r="AJ103" s="106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20"/>
      <c r="BR103" s="121"/>
      <c r="BS103" s="121"/>
      <c r="BT103" s="121"/>
      <c r="BU103" s="121"/>
      <c r="BV103" s="121"/>
      <c r="BW103" s="121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1"/>
      <c r="CU103" s="121"/>
      <c r="CV103" s="121"/>
      <c r="CW103" s="121"/>
      <c r="CX103" s="121"/>
      <c r="CY103" s="121"/>
      <c r="CZ103" s="121"/>
      <c r="DA103" s="121"/>
      <c r="DB103" s="121"/>
      <c r="DC103" s="121"/>
      <c r="DD103" s="121"/>
      <c r="DE103" s="121"/>
      <c r="DF103" s="121"/>
      <c r="DG103" s="121"/>
      <c r="DH103" s="121"/>
      <c r="DI103" s="121"/>
      <c r="DJ103" s="121"/>
      <c r="DK103" s="121"/>
      <c r="DL103" s="121"/>
      <c r="DM103" s="121"/>
      <c r="DN103" s="121"/>
      <c r="DO103" s="121"/>
      <c r="DP103" s="121"/>
      <c r="DQ103" s="121"/>
      <c r="DR103" s="121"/>
      <c r="DS103" s="121"/>
      <c r="DT103" s="121"/>
      <c r="DU103" s="121"/>
      <c r="DV103" s="121"/>
      <c r="DW103" s="121"/>
      <c r="DX103" s="121"/>
      <c r="DY103" s="121"/>
      <c r="DZ103" s="121"/>
      <c r="EA103" s="121"/>
      <c r="EB103" s="121"/>
      <c r="EC103" s="121"/>
      <c r="ED103" s="121"/>
      <c r="EE103" s="121"/>
      <c r="EF103" s="121"/>
    </row>
    <row r="104" ht="15" customHeight="1" spans="1:136">
      <c r="A104" s="34">
        <v>15</v>
      </c>
      <c r="B104" s="125"/>
      <c r="C104" s="126"/>
      <c r="D104" s="127"/>
      <c r="E104" s="49"/>
      <c r="F104" s="50"/>
      <c r="G104" s="51"/>
      <c r="H104" s="52"/>
      <c r="I104" s="52"/>
      <c r="J104" s="59"/>
      <c r="K104" s="60"/>
      <c r="L104" s="61" t="str">
        <f t="shared" si="69"/>
        <v/>
      </c>
      <c r="M104" s="70" t="str">
        <f t="shared" si="70"/>
        <v/>
      </c>
      <c r="N104" s="68"/>
      <c r="O104" s="69" t="str">
        <f t="shared" si="74"/>
        <v/>
      </c>
      <c r="P104" s="69" t="str">
        <f t="shared" si="75"/>
        <v/>
      </c>
      <c r="Q104" s="69" t="str">
        <f t="shared" si="76"/>
        <v/>
      </c>
      <c r="R104" s="79" t="str">
        <f t="shared" si="77"/>
        <v/>
      </c>
      <c r="S104" s="80" t="str">
        <f t="shared" si="60"/>
        <v/>
      </c>
      <c r="T104" s="81" t="str">
        <f t="shared" si="67"/>
        <v/>
      </c>
      <c r="U104" s="81" t="str">
        <f t="shared" si="68"/>
        <v/>
      </c>
      <c r="V104" s="80" t="str">
        <f t="shared" si="61"/>
        <v/>
      </c>
      <c r="W104" s="80" t="str">
        <f t="shared" si="62"/>
        <v/>
      </c>
      <c r="X104" s="80" t="str">
        <f t="shared" si="63"/>
        <v/>
      </c>
      <c r="Y104" s="87" t="str">
        <f t="shared" si="64"/>
        <v/>
      </c>
      <c r="Z104" s="88" t="str">
        <f t="shared" si="71"/>
        <v/>
      </c>
      <c r="AA104" s="88" t="str">
        <f t="shared" si="72"/>
        <v/>
      </c>
      <c r="AB104" s="88" t="str">
        <f t="shared" si="73"/>
        <v/>
      </c>
      <c r="AC104" s="88" t="str">
        <f t="shared" si="65"/>
        <v/>
      </c>
      <c r="AD104" s="95"/>
      <c r="AE104" s="96" t="str">
        <f t="shared" si="66"/>
        <v/>
      </c>
      <c r="AF104" s="97"/>
      <c r="AG104" s="104"/>
      <c r="AH104" s="104"/>
      <c r="AI104" s="105"/>
      <c r="AJ104" s="106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20"/>
      <c r="BR104" s="121"/>
      <c r="BS104" s="121"/>
      <c r="BT104" s="121"/>
      <c r="BU104" s="121"/>
      <c r="BV104" s="121"/>
      <c r="BW104" s="121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1"/>
      <c r="CU104" s="121"/>
      <c r="CV104" s="121"/>
      <c r="CW104" s="121"/>
      <c r="CX104" s="121"/>
      <c r="CY104" s="121"/>
      <c r="CZ104" s="121"/>
      <c r="DA104" s="121"/>
      <c r="DB104" s="121"/>
      <c r="DC104" s="121"/>
      <c r="DD104" s="121"/>
      <c r="DE104" s="121"/>
      <c r="DF104" s="121"/>
      <c r="DG104" s="121"/>
      <c r="DH104" s="121"/>
      <c r="DI104" s="121"/>
      <c r="DJ104" s="121"/>
      <c r="DK104" s="121"/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</row>
    <row r="105" ht="15" customHeight="1" spans="1:136">
      <c r="A105" s="34">
        <v>17</v>
      </c>
      <c r="B105" s="125"/>
      <c r="C105" s="126"/>
      <c r="D105" s="127"/>
      <c r="E105" s="49"/>
      <c r="F105" s="50"/>
      <c r="G105" s="51"/>
      <c r="H105" s="52"/>
      <c r="I105" s="52"/>
      <c r="J105" s="59"/>
      <c r="K105" s="60"/>
      <c r="L105" s="61" t="str">
        <f t="shared" si="69"/>
        <v/>
      </c>
      <c r="M105" s="70" t="str">
        <f t="shared" si="70"/>
        <v/>
      </c>
      <c r="N105" s="71"/>
      <c r="O105" s="69" t="str">
        <f t="shared" si="74"/>
        <v/>
      </c>
      <c r="P105" s="69" t="str">
        <f t="shared" si="75"/>
        <v/>
      </c>
      <c r="Q105" s="69" t="str">
        <f t="shared" si="76"/>
        <v/>
      </c>
      <c r="R105" s="79" t="str">
        <f t="shared" si="77"/>
        <v/>
      </c>
      <c r="S105" s="80" t="str">
        <f t="shared" si="60"/>
        <v/>
      </c>
      <c r="T105" s="81" t="str">
        <f t="shared" si="67"/>
        <v/>
      </c>
      <c r="U105" s="81" t="str">
        <f t="shared" si="68"/>
        <v/>
      </c>
      <c r="V105" s="80" t="str">
        <f t="shared" si="61"/>
        <v/>
      </c>
      <c r="W105" s="80" t="str">
        <f t="shared" si="62"/>
        <v/>
      </c>
      <c r="X105" s="80" t="str">
        <f t="shared" si="63"/>
        <v/>
      </c>
      <c r="Y105" s="87" t="str">
        <f t="shared" si="64"/>
        <v/>
      </c>
      <c r="Z105" s="88" t="str">
        <f t="shared" si="71"/>
        <v/>
      </c>
      <c r="AA105" s="88" t="str">
        <f t="shared" si="72"/>
        <v/>
      </c>
      <c r="AB105" s="88" t="str">
        <f t="shared" si="73"/>
        <v/>
      </c>
      <c r="AC105" s="88" t="str">
        <f t="shared" si="65"/>
        <v/>
      </c>
      <c r="AD105" s="95"/>
      <c r="AE105" s="96" t="str">
        <f t="shared" si="66"/>
        <v/>
      </c>
      <c r="AF105" s="97"/>
      <c r="AG105" s="104"/>
      <c r="AH105" s="104"/>
      <c r="AI105" s="105"/>
      <c r="AJ105" s="107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20"/>
      <c r="BR105" s="121"/>
      <c r="BS105" s="121"/>
      <c r="BT105" s="121"/>
      <c r="BU105" s="121"/>
      <c r="BV105" s="121"/>
      <c r="BW105" s="121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1"/>
      <c r="CU105" s="121"/>
      <c r="CV105" s="121"/>
      <c r="CW105" s="121"/>
      <c r="CX105" s="121"/>
      <c r="CY105" s="121"/>
      <c r="CZ105" s="121"/>
      <c r="DA105" s="121"/>
      <c r="DB105" s="121"/>
      <c r="DC105" s="121"/>
      <c r="DD105" s="121"/>
      <c r="DE105" s="121"/>
      <c r="DF105" s="121"/>
      <c r="DG105" s="121"/>
      <c r="DH105" s="121"/>
      <c r="DI105" s="121"/>
      <c r="DJ105" s="121"/>
      <c r="DK105" s="121"/>
      <c r="DL105" s="121"/>
      <c r="DM105" s="121"/>
      <c r="DN105" s="121"/>
      <c r="DO105" s="121"/>
      <c r="DP105" s="121"/>
      <c r="DQ105" s="121"/>
      <c r="DR105" s="121"/>
      <c r="DS105" s="121"/>
      <c r="DT105" s="121"/>
      <c r="DU105" s="121"/>
      <c r="DV105" s="121"/>
      <c r="DW105" s="121"/>
      <c r="DX105" s="121"/>
      <c r="DY105" s="121"/>
      <c r="DZ105" s="121"/>
      <c r="EA105" s="121"/>
      <c r="EB105" s="121"/>
      <c r="EC105" s="121"/>
      <c r="ED105" s="121"/>
      <c r="EE105" s="121"/>
      <c r="EF105" s="121"/>
    </row>
    <row r="106" ht="15" customHeight="1" spans="1:136">
      <c r="A106" s="34">
        <v>18</v>
      </c>
      <c r="B106" s="125"/>
      <c r="C106" s="126"/>
      <c r="D106" s="128"/>
      <c r="E106" s="49"/>
      <c r="F106" s="50"/>
      <c r="G106" s="51"/>
      <c r="H106" s="52"/>
      <c r="I106" s="52"/>
      <c r="J106" s="59"/>
      <c r="K106" s="60"/>
      <c r="L106" s="61" t="str">
        <f t="shared" si="69"/>
        <v/>
      </c>
      <c r="M106" s="70" t="str">
        <f t="shared" si="70"/>
        <v/>
      </c>
      <c r="N106" s="71"/>
      <c r="O106" s="69" t="str">
        <f t="shared" si="74"/>
        <v/>
      </c>
      <c r="P106" s="69" t="str">
        <f t="shared" si="75"/>
        <v/>
      </c>
      <c r="Q106" s="69" t="str">
        <f t="shared" si="76"/>
        <v/>
      </c>
      <c r="R106" s="79" t="str">
        <f t="shared" si="77"/>
        <v/>
      </c>
      <c r="S106" s="80" t="str">
        <f t="shared" si="60"/>
        <v/>
      </c>
      <c r="T106" s="81" t="str">
        <f t="shared" si="67"/>
        <v/>
      </c>
      <c r="U106" s="81" t="str">
        <f t="shared" si="68"/>
        <v/>
      </c>
      <c r="V106" s="80" t="str">
        <f t="shared" si="61"/>
        <v/>
      </c>
      <c r="W106" s="80" t="str">
        <f t="shared" si="62"/>
        <v/>
      </c>
      <c r="X106" s="80" t="str">
        <f t="shared" si="63"/>
        <v/>
      </c>
      <c r="Y106" s="87" t="str">
        <f t="shared" si="64"/>
        <v/>
      </c>
      <c r="Z106" s="88" t="str">
        <f t="shared" si="71"/>
        <v/>
      </c>
      <c r="AA106" s="88" t="str">
        <f t="shared" si="72"/>
        <v/>
      </c>
      <c r="AB106" s="88" t="str">
        <f t="shared" si="73"/>
        <v/>
      </c>
      <c r="AC106" s="88" t="str">
        <f t="shared" si="65"/>
        <v/>
      </c>
      <c r="AD106" s="95"/>
      <c r="AE106" s="96" t="str">
        <f t="shared" si="66"/>
        <v/>
      </c>
      <c r="AF106" s="97"/>
      <c r="AG106" s="104"/>
      <c r="AH106" s="104"/>
      <c r="AI106" s="105"/>
      <c r="AJ106" s="107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20"/>
      <c r="BR106" s="121"/>
      <c r="BS106" s="121"/>
      <c r="BT106" s="121"/>
      <c r="BU106" s="121"/>
      <c r="BV106" s="121"/>
      <c r="BW106" s="121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1"/>
      <c r="CU106" s="121"/>
      <c r="CV106" s="121"/>
      <c r="CW106" s="121"/>
      <c r="CX106" s="121"/>
      <c r="CY106" s="121"/>
      <c r="CZ106" s="121"/>
      <c r="DA106" s="121"/>
      <c r="DB106" s="121"/>
      <c r="DC106" s="121"/>
      <c r="DD106" s="121"/>
      <c r="DE106" s="121"/>
      <c r="DF106" s="121"/>
      <c r="DG106" s="121"/>
      <c r="DH106" s="121"/>
      <c r="DI106" s="121"/>
      <c r="DJ106" s="121"/>
      <c r="DK106" s="121"/>
      <c r="DL106" s="121"/>
      <c r="DM106" s="121"/>
      <c r="DN106" s="121"/>
      <c r="DO106" s="121"/>
      <c r="DP106" s="121"/>
      <c r="DQ106" s="121"/>
      <c r="DR106" s="121"/>
      <c r="DS106" s="121"/>
      <c r="DT106" s="121"/>
      <c r="DU106" s="121"/>
      <c r="DV106" s="121"/>
      <c r="DW106" s="121"/>
      <c r="DX106" s="121"/>
      <c r="DY106" s="121"/>
      <c r="DZ106" s="121"/>
      <c r="EA106" s="121"/>
      <c r="EB106" s="121"/>
      <c r="EC106" s="121"/>
      <c r="ED106" s="121"/>
      <c r="EE106" s="121"/>
      <c r="EF106" s="121"/>
    </row>
    <row r="107" ht="15" customHeight="1" spans="1:136">
      <c r="A107" s="34">
        <v>19</v>
      </c>
      <c r="B107" s="125"/>
      <c r="C107" s="126"/>
      <c r="D107" s="128"/>
      <c r="E107" s="49"/>
      <c r="F107" s="50"/>
      <c r="G107" s="51"/>
      <c r="H107" s="52"/>
      <c r="I107" s="52"/>
      <c r="J107" s="59"/>
      <c r="K107" s="60"/>
      <c r="L107" s="61" t="str">
        <f t="shared" si="69"/>
        <v/>
      </c>
      <c r="M107" s="70" t="str">
        <f t="shared" si="70"/>
        <v/>
      </c>
      <c r="N107" s="71"/>
      <c r="O107" s="69" t="str">
        <f t="shared" si="74"/>
        <v/>
      </c>
      <c r="P107" s="69" t="str">
        <f t="shared" si="75"/>
        <v/>
      </c>
      <c r="Q107" s="69" t="str">
        <f t="shared" si="76"/>
        <v/>
      </c>
      <c r="R107" s="79" t="str">
        <f t="shared" si="77"/>
        <v/>
      </c>
      <c r="S107" s="80" t="str">
        <f t="shared" si="60"/>
        <v/>
      </c>
      <c r="T107" s="81" t="str">
        <f t="shared" si="67"/>
        <v/>
      </c>
      <c r="U107" s="81" t="str">
        <f t="shared" si="68"/>
        <v/>
      </c>
      <c r="V107" s="80" t="str">
        <f t="shared" si="61"/>
        <v/>
      </c>
      <c r="W107" s="80" t="str">
        <f t="shared" si="62"/>
        <v/>
      </c>
      <c r="X107" s="80" t="str">
        <f t="shared" si="63"/>
        <v/>
      </c>
      <c r="Y107" s="87" t="str">
        <f t="shared" si="64"/>
        <v/>
      </c>
      <c r="Z107" s="88" t="str">
        <f t="shared" si="71"/>
        <v/>
      </c>
      <c r="AA107" s="88" t="str">
        <f t="shared" si="72"/>
        <v/>
      </c>
      <c r="AB107" s="88" t="str">
        <f t="shared" si="73"/>
        <v/>
      </c>
      <c r="AC107" s="88" t="str">
        <f t="shared" si="65"/>
        <v/>
      </c>
      <c r="AD107" s="95"/>
      <c r="AE107" s="96" t="str">
        <f t="shared" ref="AE107:AE138" si="78">IF(AD107="","",IF(AD107&gt;=0.966,"Normal","Not Normal"))</f>
        <v/>
      </c>
      <c r="AF107" s="97"/>
      <c r="AG107" s="104"/>
      <c r="AH107" s="104"/>
      <c r="AI107" s="105"/>
      <c r="AJ107" s="107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20"/>
      <c r="BR107" s="121"/>
      <c r="BS107" s="121"/>
      <c r="BT107" s="121"/>
      <c r="BU107" s="121"/>
      <c r="BV107" s="121"/>
      <c r="BW107" s="121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1"/>
      <c r="CU107" s="121"/>
      <c r="CV107" s="121"/>
      <c r="CW107" s="121"/>
      <c r="CX107" s="121"/>
      <c r="CY107" s="121"/>
      <c r="CZ107" s="121"/>
      <c r="DA107" s="121"/>
      <c r="DB107" s="121"/>
      <c r="DC107" s="121"/>
      <c r="DD107" s="121"/>
      <c r="DE107" s="121"/>
      <c r="DF107" s="121"/>
      <c r="DG107" s="121"/>
      <c r="DH107" s="121"/>
      <c r="DI107" s="121"/>
      <c r="DJ107" s="121"/>
      <c r="DK107" s="121"/>
      <c r="DL107" s="121"/>
      <c r="DM107" s="121"/>
      <c r="DN107" s="121"/>
      <c r="DO107" s="121"/>
      <c r="DP107" s="121"/>
      <c r="DQ107" s="121"/>
      <c r="DR107" s="121"/>
      <c r="DS107" s="121"/>
      <c r="DT107" s="121"/>
      <c r="DU107" s="121"/>
      <c r="DV107" s="121"/>
      <c r="DW107" s="121"/>
      <c r="DX107" s="121"/>
      <c r="DY107" s="121"/>
      <c r="DZ107" s="121"/>
      <c r="EA107" s="121"/>
      <c r="EB107" s="121"/>
      <c r="EC107" s="121"/>
      <c r="ED107" s="121"/>
      <c r="EE107" s="121"/>
      <c r="EF107" s="121"/>
    </row>
    <row r="108" ht="15" customHeight="1" spans="1:136">
      <c r="A108" s="34">
        <v>20</v>
      </c>
      <c r="B108" s="125"/>
      <c r="C108" s="126"/>
      <c r="D108" s="128"/>
      <c r="E108" s="49"/>
      <c r="F108" s="50"/>
      <c r="G108" s="51"/>
      <c r="H108" s="52"/>
      <c r="I108" s="52"/>
      <c r="J108" s="59"/>
      <c r="K108" s="60"/>
      <c r="L108" s="61" t="str">
        <f t="shared" si="69"/>
        <v/>
      </c>
      <c r="M108" s="70" t="str">
        <f t="shared" si="70"/>
        <v/>
      </c>
      <c r="N108" s="71"/>
      <c r="O108" s="69" t="str">
        <f t="shared" si="74"/>
        <v/>
      </c>
      <c r="P108" s="69" t="str">
        <f t="shared" si="75"/>
        <v/>
      </c>
      <c r="Q108" s="69" t="str">
        <f t="shared" si="76"/>
        <v/>
      </c>
      <c r="R108" s="79" t="str">
        <f t="shared" si="77"/>
        <v/>
      </c>
      <c r="S108" s="80" t="str">
        <f t="shared" si="60"/>
        <v/>
      </c>
      <c r="T108" s="81" t="str">
        <f t="shared" si="67"/>
        <v/>
      </c>
      <c r="U108" s="81" t="str">
        <f t="shared" si="68"/>
        <v/>
      </c>
      <c r="V108" s="80" t="str">
        <f t="shared" si="61"/>
        <v/>
      </c>
      <c r="W108" s="80" t="str">
        <f t="shared" si="62"/>
        <v/>
      </c>
      <c r="X108" s="80" t="str">
        <f t="shared" si="63"/>
        <v/>
      </c>
      <c r="Y108" s="87" t="str">
        <f t="shared" si="64"/>
        <v/>
      </c>
      <c r="Z108" s="88" t="str">
        <f t="shared" si="71"/>
        <v/>
      </c>
      <c r="AA108" s="88" t="str">
        <f t="shared" si="72"/>
        <v/>
      </c>
      <c r="AB108" s="88" t="str">
        <f t="shared" si="73"/>
        <v/>
      </c>
      <c r="AC108" s="88" t="str">
        <f t="shared" si="65"/>
        <v/>
      </c>
      <c r="AD108" s="95"/>
      <c r="AE108" s="96" t="str">
        <f t="shared" si="78"/>
        <v/>
      </c>
      <c r="AF108" s="97"/>
      <c r="AG108" s="104"/>
      <c r="AH108" s="104"/>
      <c r="AI108" s="105"/>
      <c r="AJ108" s="107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20"/>
      <c r="BR108" s="121"/>
      <c r="BS108" s="121"/>
      <c r="BT108" s="121"/>
      <c r="BU108" s="121"/>
      <c r="BV108" s="121"/>
      <c r="BW108" s="121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1"/>
      <c r="CU108" s="121"/>
      <c r="CV108" s="121"/>
      <c r="CW108" s="121"/>
      <c r="CX108" s="121"/>
      <c r="CY108" s="121"/>
      <c r="CZ108" s="121"/>
      <c r="DA108" s="121"/>
      <c r="DB108" s="121"/>
      <c r="DC108" s="121"/>
      <c r="DD108" s="121"/>
      <c r="DE108" s="121"/>
      <c r="DF108" s="121"/>
      <c r="DG108" s="121"/>
      <c r="DH108" s="121"/>
      <c r="DI108" s="121"/>
      <c r="DJ108" s="121"/>
      <c r="DK108" s="121"/>
      <c r="DL108" s="121"/>
      <c r="DM108" s="121"/>
      <c r="DN108" s="121"/>
      <c r="DO108" s="121"/>
      <c r="DP108" s="121"/>
      <c r="DQ108" s="121"/>
      <c r="DR108" s="121"/>
      <c r="DS108" s="121"/>
      <c r="DT108" s="121"/>
      <c r="DU108" s="121"/>
      <c r="DV108" s="121"/>
      <c r="DW108" s="121"/>
      <c r="DX108" s="121"/>
      <c r="DY108" s="121"/>
      <c r="DZ108" s="121"/>
      <c r="EA108" s="121"/>
      <c r="EB108" s="121"/>
      <c r="EC108" s="121"/>
      <c r="ED108" s="121"/>
      <c r="EE108" s="121"/>
      <c r="EF108" s="121"/>
    </row>
    <row r="109" ht="15" customHeight="1" spans="1:136">
      <c r="A109" s="34">
        <v>21</v>
      </c>
      <c r="B109" s="125"/>
      <c r="C109" s="126"/>
      <c r="D109" s="128"/>
      <c r="E109" s="49"/>
      <c r="F109" s="50"/>
      <c r="G109" s="51"/>
      <c r="H109" s="52"/>
      <c r="I109" s="52"/>
      <c r="J109" s="59"/>
      <c r="K109" s="60"/>
      <c r="L109" s="61" t="str">
        <f t="shared" si="69"/>
        <v/>
      </c>
      <c r="M109" s="70" t="str">
        <f t="shared" si="70"/>
        <v/>
      </c>
      <c r="N109" s="71"/>
      <c r="O109" s="69" t="str">
        <f t="shared" si="74"/>
        <v/>
      </c>
      <c r="P109" s="69" t="str">
        <f t="shared" si="75"/>
        <v/>
      </c>
      <c r="Q109" s="69" t="str">
        <f t="shared" si="76"/>
        <v/>
      </c>
      <c r="R109" s="79" t="str">
        <f t="shared" si="77"/>
        <v/>
      </c>
      <c r="S109" s="80" t="str">
        <f t="shared" ref="S109:S138" si="79">IF(OR($AK109="",ISNUMBER($AK109)=FALSE),"",IF(AND(G109=0,I109=0),V109,IF(AND(G109="",H109=""),W109,(H109+ABS(I109))/(6*R109))))</f>
        <v/>
      </c>
      <c r="T109" s="81" t="str">
        <f t="shared" si="67"/>
        <v/>
      </c>
      <c r="U109" s="81" t="str">
        <f t="shared" si="68"/>
        <v/>
      </c>
      <c r="V109" s="80" t="str">
        <f t="shared" ref="V109:V138" si="80">IF(OR($AK109="",ISNUMBER($AK109)=FALSE),"",IF(H109="","",(L109-Q109)/(3*R109)))</f>
        <v/>
      </c>
      <c r="W109" s="80" t="str">
        <f t="shared" ref="W109:W138" si="81">IF(OR($AK109="",ISNUMBER($AK109)=FALSE),"",IF(I109="","",(Q109-M109)/(3*R109)))</f>
        <v/>
      </c>
      <c r="X109" s="80" t="str">
        <f t="shared" si="63"/>
        <v/>
      </c>
      <c r="Y109" s="87" t="str">
        <f t="shared" si="64"/>
        <v/>
      </c>
      <c r="Z109" s="88" t="str">
        <f t="shared" si="71"/>
        <v/>
      </c>
      <c r="AA109" s="88" t="str">
        <f t="shared" si="72"/>
        <v/>
      </c>
      <c r="AB109" s="88" t="str">
        <f t="shared" si="73"/>
        <v/>
      </c>
      <c r="AC109" s="88" t="str">
        <f t="shared" si="65"/>
        <v/>
      </c>
      <c r="AD109" s="95"/>
      <c r="AE109" s="96" t="str">
        <f t="shared" si="78"/>
        <v/>
      </c>
      <c r="AF109" s="97"/>
      <c r="AG109" s="104"/>
      <c r="AH109" s="104"/>
      <c r="AI109" s="105"/>
      <c r="AJ109" s="107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20"/>
      <c r="BR109" s="121"/>
      <c r="BS109" s="121"/>
      <c r="BT109" s="121"/>
      <c r="BU109" s="121"/>
      <c r="BV109" s="121"/>
      <c r="BW109" s="121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1"/>
      <c r="CU109" s="121"/>
      <c r="CV109" s="121"/>
      <c r="CW109" s="121"/>
      <c r="CX109" s="121"/>
      <c r="CY109" s="121"/>
      <c r="CZ109" s="121"/>
      <c r="DA109" s="121"/>
      <c r="DB109" s="121"/>
      <c r="DC109" s="121"/>
      <c r="DD109" s="121"/>
      <c r="DE109" s="121"/>
      <c r="DF109" s="121"/>
      <c r="DG109" s="121"/>
      <c r="DH109" s="121"/>
      <c r="DI109" s="121"/>
      <c r="DJ109" s="121"/>
      <c r="DK109" s="121"/>
      <c r="DL109" s="121"/>
      <c r="DM109" s="121"/>
      <c r="DN109" s="121"/>
      <c r="DO109" s="121"/>
      <c r="DP109" s="121"/>
      <c r="DQ109" s="121"/>
      <c r="DR109" s="121"/>
      <c r="DS109" s="121"/>
      <c r="DT109" s="121"/>
      <c r="DU109" s="121"/>
      <c r="DV109" s="121"/>
      <c r="DW109" s="121"/>
      <c r="DX109" s="121"/>
      <c r="DY109" s="121"/>
      <c r="DZ109" s="121"/>
      <c r="EA109" s="121"/>
      <c r="EB109" s="121"/>
      <c r="EC109" s="121"/>
      <c r="ED109" s="121"/>
      <c r="EE109" s="121"/>
      <c r="EF109" s="121"/>
    </row>
    <row r="110" ht="15" customHeight="1" spans="1:136">
      <c r="A110" s="34">
        <v>22</v>
      </c>
      <c r="B110" s="125"/>
      <c r="C110" s="126"/>
      <c r="D110" s="128"/>
      <c r="E110" s="49"/>
      <c r="F110" s="50"/>
      <c r="G110" s="51"/>
      <c r="H110" s="52"/>
      <c r="I110" s="52"/>
      <c r="J110" s="59"/>
      <c r="K110" s="60"/>
      <c r="L110" s="61" t="str">
        <f t="shared" si="69"/>
        <v/>
      </c>
      <c r="M110" s="70" t="str">
        <f t="shared" si="70"/>
        <v/>
      </c>
      <c r="N110" s="71"/>
      <c r="O110" s="69" t="str">
        <f t="shared" si="74"/>
        <v/>
      </c>
      <c r="P110" s="69" t="str">
        <f t="shared" si="75"/>
        <v/>
      </c>
      <c r="Q110" s="69" t="str">
        <f t="shared" si="76"/>
        <v/>
      </c>
      <c r="R110" s="79" t="str">
        <f t="shared" si="77"/>
        <v/>
      </c>
      <c r="S110" s="80" t="str">
        <f t="shared" si="79"/>
        <v/>
      </c>
      <c r="T110" s="81" t="str">
        <f t="shared" si="67"/>
        <v/>
      </c>
      <c r="U110" s="81" t="str">
        <f t="shared" si="68"/>
        <v/>
      </c>
      <c r="V110" s="80" t="str">
        <f t="shared" si="80"/>
        <v/>
      </c>
      <c r="W110" s="80" t="str">
        <f t="shared" si="81"/>
        <v/>
      </c>
      <c r="X110" s="80" t="str">
        <f t="shared" si="63"/>
        <v/>
      </c>
      <c r="Y110" s="87" t="str">
        <f t="shared" si="64"/>
        <v/>
      </c>
      <c r="Z110" s="88" t="str">
        <f t="shared" si="71"/>
        <v/>
      </c>
      <c r="AA110" s="88" t="str">
        <f t="shared" si="72"/>
        <v/>
      </c>
      <c r="AB110" s="88" t="str">
        <f t="shared" si="73"/>
        <v/>
      </c>
      <c r="AC110" s="88" t="str">
        <f t="shared" si="65"/>
        <v/>
      </c>
      <c r="AD110" s="95"/>
      <c r="AE110" s="96" t="str">
        <f t="shared" si="78"/>
        <v/>
      </c>
      <c r="AF110" s="97"/>
      <c r="AG110" s="104"/>
      <c r="AH110" s="104"/>
      <c r="AI110" s="105"/>
      <c r="AJ110" s="107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20"/>
      <c r="BR110" s="121"/>
      <c r="BS110" s="121"/>
      <c r="BT110" s="121"/>
      <c r="BU110" s="121"/>
      <c r="BV110" s="121"/>
      <c r="BW110" s="121"/>
      <c r="BX110" s="121"/>
      <c r="BY110" s="121"/>
      <c r="BZ110" s="121"/>
      <c r="CA110" s="121"/>
      <c r="CB110" s="121"/>
      <c r="CC110" s="121"/>
      <c r="CD110" s="121"/>
      <c r="CE110" s="121"/>
      <c r="CF110" s="121"/>
      <c r="CG110" s="121"/>
      <c r="CH110" s="121"/>
      <c r="CI110" s="121"/>
      <c r="CJ110" s="121"/>
      <c r="CK110" s="121"/>
      <c r="CL110" s="121"/>
      <c r="CM110" s="121"/>
      <c r="CN110" s="121"/>
      <c r="CO110" s="121"/>
      <c r="CP110" s="121"/>
      <c r="CQ110" s="121"/>
      <c r="CR110" s="121"/>
      <c r="CS110" s="121"/>
      <c r="CT110" s="121"/>
      <c r="CU110" s="121"/>
      <c r="CV110" s="121"/>
      <c r="CW110" s="121"/>
      <c r="CX110" s="121"/>
      <c r="CY110" s="121"/>
      <c r="CZ110" s="121"/>
      <c r="DA110" s="121"/>
      <c r="DB110" s="121"/>
      <c r="DC110" s="121"/>
      <c r="DD110" s="121"/>
      <c r="DE110" s="121"/>
      <c r="DF110" s="121"/>
      <c r="DG110" s="121"/>
      <c r="DH110" s="121"/>
      <c r="DI110" s="121"/>
      <c r="DJ110" s="121"/>
      <c r="DK110" s="121"/>
      <c r="DL110" s="121"/>
      <c r="DM110" s="121"/>
      <c r="DN110" s="121"/>
      <c r="DO110" s="121"/>
      <c r="DP110" s="121"/>
      <c r="DQ110" s="121"/>
      <c r="DR110" s="121"/>
      <c r="DS110" s="121"/>
      <c r="DT110" s="121"/>
      <c r="DU110" s="121"/>
      <c r="DV110" s="121"/>
      <c r="DW110" s="121"/>
      <c r="DX110" s="121"/>
      <c r="DY110" s="121"/>
      <c r="DZ110" s="121"/>
      <c r="EA110" s="121"/>
      <c r="EB110" s="121"/>
      <c r="EC110" s="121"/>
      <c r="ED110" s="121"/>
      <c r="EE110" s="121"/>
      <c r="EF110" s="121"/>
    </row>
    <row r="111" ht="15" customHeight="1" spans="1:136">
      <c r="A111" s="34">
        <v>23</v>
      </c>
      <c r="B111" s="125"/>
      <c r="C111" s="126"/>
      <c r="D111" s="128"/>
      <c r="E111" s="49"/>
      <c r="F111" s="50"/>
      <c r="G111" s="51"/>
      <c r="H111" s="52"/>
      <c r="I111" s="52"/>
      <c r="J111" s="59"/>
      <c r="K111" s="60"/>
      <c r="L111" s="61" t="str">
        <f t="shared" si="69"/>
        <v/>
      </c>
      <c r="M111" s="70" t="str">
        <f t="shared" si="70"/>
        <v/>
      </c>
      <c r="N111" s="71"/>
      <c r="O111" s="69" t="str">
        <f t="shared" si="74"/>
        <v/>
      </c>
      <c r="P111" s="69" t="str">
        <f t="shared" si="75"/>
        <v/>
      </c>
      <c r="Q111" s="69" t="str">
        <f t="shared" si="76"/>
        <v/>
      </c>
      <c r="R111" s="79" t="str">
        <f t="shared" si="77"/>
        <v/>
      </c>
      <c r="S111" s="80" t="str">
        <f t="shared" si="79"/>
        <v/>
      </c>
      <c r="T111" s="81" t="str">
        <f t="shared" si="67"/>
        <v/>
      </c>
      <c r="U111" s="81" t="str">
        <f t="shared" si="68"/>
        <v/>
      </c>
      <c r="V111" s="80" t="str">
        <f t="shared" si="80"/>
        <v/>
      </c>
      <c r="W111" s="80" t="str">
        <f t="shared" si="81"/>
        <v/>
      </c>
      <c r="X111" s="80" t="str">
        <f t="shared" si="63"/>
        <v/>
      </c>
      <c r="Y111" s="87" t="str">
        <f t="shared" si="64"/>
        <v/>
      </c>
      <c r="Z111" s="88" t="str">
        <f t="shared" si="71"/>
        <v/>
      </c>
      <c r="AA111" s="88" t="str">
        <f t="shared" si="72"/>
        <v/>
      </c>
      <c r="AB111" s="88" t="str">
        <f t="shared" si="73"/>
        <v/>
      </c>
      <c r="AC111" s="88" t="str">
        <f t="shared" si="65"/>
        <v/>
      </c>
      <c r="AD111" s="95"/>
      <c r="AE111" s="96" t="str">
        <f t="shared" si="78"/>
        <v/>
      </c>
      <c r="AF111" s="97"/>
      <c r="AG111" s="104"/>
      <c r="AH111" s="104"/>
      <c r="AI111" s="105"/>
      <c r="AJ111" s="107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20"/>
      <c r="BR111" s="121"/>
      <c r="BS111" s="121"/>
      <c r="BT111" s="121"/>
      <c r="BU111" s="121"/>
      <c r="BV111" s="121"/>
      <c r="BW111" s="121"/>
      <c r="BX111" s="121"/>
      <c r="BY111" s="121"/>
      <c r="BZ111" s="121"/>
      <c r="CA111" s="121"/>
      <c r="CB111" s="121"/>
      <c r="CC111" s="121"/>
      <c r="CD111" s="121"/>
      <c r="CE111" s="121"/>
      <c r="CF111" s="121"/>
      <c r="CG111" s="121"/>
      <c r="CH111" s="121"/>
      <c r="CI111" s="121"/>
      <c r="CJ111" s="121"/>
      <c r="CK111" s="121"/>
      <c r="CL111" s="121"/>
      <c r="CM111" s="121"/>
      <c r="CN111" s="121"/>
      <c r="CO111" s="121"/>
      <c r="CP111" s="121"/>
      <c r="CQ111" s="121"/>
      <c r="CR111" s="121"/>
      <c r="CS111" s="121"/>
      <c r="CT111" s="121"/>
      <c r="CU111" s="121"/>
      <c r="CV111" s="121"/>
      <c r="CW111" s="121"/>
      <c r="CX111" s="121"/>
      <c r="CY111" s="121"/>
      <c r="CZ111" s="121"/>
      <c r="DA111" s="121"/>
      <c r="DB111" s="121"/>
      <c r="DC111" s="121"/>
      <c r="DD111" s="121"/>
      <c r="DE111" s="121"/>
      <c r="DF111" s="121"/>
      <c r="DG111" s="121"/>
      <c r="DH111" s="121"/>
      <c r="DI111" s="121"/>
      <c r="DJ111" s="121"/>
      <c r="DK111" s="121"/>
      <c r="DL111" s="121"/>
      <c r="DM111" s="121"/>
      <c r="DN111" s="121"/>
      <c r="DO111" s="121"/>
      <c r="DP111" s="121"/>
      <c r="DQ111" s="121"/>
      <c r="DR111" s="121"/>
      <c r="DS111" s="121"/>
      <c r="DT111" s="121"/>
      <c r="DU111" s="121"/>
      <c r="DV111" s="121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21"/>
    </row>
    <row r="112" ht="15" customHeight="1" spans="1:136">
      <c r="A112" s="34">
        <v>24</v>
      </c>
      <c r="B112" s="125"/>
      <c r="C112" s="126"/>
      <c r="D112" s="128"/>
      <c r="E112" s="49"/>
      <c r="F112" s="50"/>
      <c r="G112" s="51"/>
      <c r="H112" s="52"/>
      <c r="I112" s="52"/>
      <c r="J112" s="59"/>
      <c r="K112" s="60"/>
      <c r="L112" s="61" t="str">
        <f t="shared" si="69"/>
        <v/>
      </c>
      <c r="M112" s="70" t="str">
        <f t="shared" si="70"/>
        <v/>
      </c>
      <c r="N112" s="71"/>
      <c r="O112" s="69" t="str">
        <f t="shared" si="74"/>
        <v/>
      </c>
      <c r="P112" s="69" t="str">
        <f t="shared" si="75"/>
        <v/>
      </c>
      <c r="Q112" s="69" t="str">
        <f t="shared" si="76"/>
        <v/>
      </c>
      <c r="R112" s="79" t="str">
        <f t="shared" si="77"/>
        <v/>
      </c>
      <c r="S112" s="80" t="str">
        <f t="shared" si="79"/>
        <v/>
      </c>
      <c r="T112" s="81" t="str">
        <f t="shared" si="67"/>
        <v/>
      </c>
      <c r="U112" s="81" t="str">
        <f t="shared" si="68"/>
        <v/>
      </c>
      <c r="V112" s="80" t="str">
        <f t="shared" si="80"/>
        <v/>
      </c>
      <c r="W112" s="80" t="str">
        <f t="shared" si="81"/>
        <v/>
      </c>
      <c r="X112" s="80" t="str">
        <f t="shared" si="63"/>
        <v/>
      </c>
      <c r="Y112" s="87" t="str">
        <f t="shared" si="64"/>
        <v/>
      </c>
      <c r="Z112" s="88" t="str">
        <f t="shared" si="71"/>
        <v/>
      </c>
      <c r="AA112" s="88" t="str">
        <f t="shared" si="72"/>
        <v/>
      </c>
      <c r="AB112" s="88" t="str">
        <f t="shared" si="73"/>
        <v/>
      </c>
      <c r="AC112" s="88" t="str">
        <f t="shared" si="65"/>
        <v/>
      </c>
      <c r="AD112" s="95"/>
      <c r="AE112" s="96" t="str">
        <f t="shared" si="78"/>
        <v/>
      </c>
      <c r="AF112" s="97"/>
      <c r="AG112" s="104"/>
      <c r="AH112" s="104"/>
      <c r="AI112" s="105"/>
      <c r="AJ112" s="107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20"/>
      <c r="BR112" s="121"/>
      <c r="BS112" s="121"/>
      <c r="BT112" s="121"/>
      <c r="BU112" s="121"/>
      <c r="BV112" s="121"/>
      <c r="BW112" s="121"/>
      <c r="BX112" s="121"/>
      <c r="BY112" s="121"/>
      <c r="BZ112" s="121"/>
      <c r="CA112" s="121"/>
      <c r="CB112" s="121"/>
      <c r="CC112" s="121"/>
      <c r="CD112" s="121"/>
      <c r="CE112" s="121"/>
      <c r="CF112" s="121"/>
      <c r="CG112" s="121"/>
      <c r="CH112" s="121"/>
      <c r="CI112" s="121"/>
      <c r="CJ112" s="121"/>
      <c r="CK112" s="121"/>
      <c r="CL112" s="121"/>
      <c r="CM112" s="121"/>
      <c r="CN112" s="121"/>
      <c r="CO112" s="121"/>
      <c r="CP112" s="121"/>
      <c r="CQ112" s="121"/>
      <c r="CR112" s="121"/>
      <c r="CS112" s="121"/>
      <c r="CT112" s="121"/>
      <c r="CU112" s="121"/>
      <c r="CV112" s="121"/>
      <c r="CW112" s="121"/>
      <c r="CX112" s="121"/>
      <c r="CY112" s="121"/>
      <c r="CZ112" s="121"/>
      <c r="DA112" s="121"/>
      <c r="DB112" s="121"/>
      <c r="DC112" s="121"/>
      <c r="DD112" s="121"/>
      <c r="DE112" s="121"/>
      <c r="DF112" s="121"/>
      <c r="DG112" s="121"/>
      <c r="DH112" s="121"/>
      <c r="DI112" s="121"/>
      <c r="DJ112" s="121"/>
      <c r="DK112" s="121"/>
      <c r="DL112" s="121"/>
      <c r="DM112" s="121"/>
      <c r="DN112" s="121"/>
      <c r="DO112" s="121"/>
      <c r="DP112" s="121"/>
      <c r="DQ112" s="121"/>
      <c r="DR112" s="121"/>
      <c r="DS112" s="121"/>
      <c r="DT112" s="121"/>
      <c r="DU112" s="121"/>
      <c r="DV112" s="121"/>
      <c r="DW112" s="121"/>
      <c r="DX112" s="121"/>
      <c r="DY112" s="121"/>
      <c r="DZ112" s="121"/>
      <c r="EA112" s="121"/>
      <c r="EB112" s="121"/>
      <c r="EC112" s="121"/>
      <c r="ED112" s="121"/>
      <c r="EE112" s="121"/>
      <c r="EF112" s="121"/>
    </row>
    <row r="113" ht="15" customHeight="1" spans="1:136">
      <c r="A113" s="34">
        <v>25</v>
      </c>
      <c r="B113" s="125"/>
      <c r="C113" s="126"/>
      <c r="D113" s="128"/>
      <c r="E113" s="49"/>
      <c r="F113" s="50"/>
      <c r="G113" s="51"/>
      <c r="H113" s="52"/>
      <c r="I113" s="52"/>
      <c r="J113" s="59"/>
      <c r="K113" s="60"/>
      <c r="L113" s="61" t="str">
        <f t="shared" si="69"/>
        <v/>
      </c>
      <c r="M113" s="70" t="str">
        <f t="shared" si="70"/>
        <v/>
      </c>
      <c r="N113" s="71"/>
      <c r="O113" s="69" t="str">
        <f t="shared" si="74"/>
        <v/>
      </c>
      <c r="P113" s="69" t="str">
        <f t="shared" si="75"/>
        <v/>
      </c>
      <c r="Q113" s="69" t="str">
        <f t="shared" si="76"/>
        <v/>
      </c>
      <c r="R113" s="79" t="str">
        <f t="shared" si="77"/>
        <v/>
      </c>
      <c r="S113" s="80" t="str">
        <f t="shared" si="79"/>
        <v/>
      </c>
      <c r="T113" s="81" t="str">
        <f t="shared" si="67"/>
        <v/>
      </c>
      <c r="U113" s="81" t="str">
        <f t="shared" si="68"/>
        <v/>
      </c>
      <c r="V113" s="80" t="str">
        <f t="shared" si="80"/>
        <v/>
      </c>
      <c r="W113" s="80" t="str">
        <f t="shared" si="81"/>
        <v/>
      </c>
      <c r="X113" s="80" t="str">
        <f t="shared" si="63"/>
        <v/>
      </c>
      <c r="Y113" s="87" t="str">
        <f t="shared" si="64"/>
        <v/>
      </c>
      <c r="Z113" s="88" t="str">
        <f t="shared" si="71"/>
        <v/>
      </c>
      <c r="AA113" s="88" t="str">
        <f t="shared" si="72"/>
        <v/>
      </c>
      <c r="AB113" s="88" t="str">
        <f t="shared" si="73"/>
        <v/>
      </c>
      <c r="AC113" s="88" t="str">
        <f t="shared" si="65"/>
        <v/>
      </c>
      <c r="AD113" s="95"/>
      <c r="AE113" s="96" t="str">
        <f t="shared" si="78"/>
        <v/>
      </c>
      <c r="AF113" s="97"/>
      <c r="AG113" s="104"/>
      <c r="AH113" s="104"/>
      <c r="AI113" s="105"/>
      <c r="AJ113" s="107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20"/>
      <c r="BR113" s="121"/>
      <c r="BS113" s="121"/>
      <c r="BT113" s="121"/>
      <c r="BU113" s="121"/>
      <c r="BV113" s="121"/>
      <c r="BW113" s="121"/>
      <c r="BX113" s="121"/>
      <c r="BY113" s="121"/>
      <c r="BZ113" s="121"/>
      <c r="CA113" s="121"/>
      <c r="CB113" s="121"/>
      <c r="CC113" s="121"/>
      <c r="CD113" s="121"/>
      <c r="CE113" s="121"/>
      <c r="CF113" s="121"/>
      <c r="CG113" s="121"/>
      <c r="CH113" s="121"/>
      <c r="CI113" s="121"/>
      <c r="CJ113" s="121"/>
      <c r="CK113" s="121"/>
      <c r="CL113" s="121"/>
      <c r="CM113" s="121"/>
      <c r="CN113" s="121"/>
      <c r="CO113" s="121"/>
      <c r="CP113" s="121"/>
      <c r="CQ113" s="121"/>
      <c r="CR113" s="121"/>
      <c r="CS113" s="121"/>
      <c r="CT113" s="121"/>
      <c r="CU113" s="121"/>
      <c r="CV113" s="121"/>
      <c r="CW113" s="121"/>
      <c r="CX113" s="121"/>
      <c r="CY113" s="121"/>
      <c r="CZ113" s="121"/>
      <c r="DA113" s="121"/>
      <c r="DB113" s="121"/>
      <c r="DC113" s="121"/>
      <c r="DD113" s="121"/>
      <c r="DE113" s="121"/>
      <c r="DF113" s="121"/>
      <c r="DG113" s="121"/>
      <c r="DH113" s="121"/>
      <c r="DI113" s="121"/>
      <c r="DJ113" s="121"/>
      <c r="DK113" s="121"/>
      <c r="DL113" s="121"/>
      <c r="DM113" s="121"/>
      <c r="DN113" s="121"/>
      <c r="DO113" s="121"/>
      <c r="DP113" s="121"/>
      <c r="DQ113" s="121"/>
      <c r="DR113" s="121"/>
      <c r="DS113" s="121"/>
      <c r="DT113" s="121"/>
      <c r="DU113" s="121"/>
      <c r="DV113" s="121"/>
      <c r="DW113" s="121"/>
      <c r="DX113" s="121"/>
      <c r="DY113" s="121"/>
      <c r="DZ113" s="121"/>
      <c r="EA113" s="121"/>
      <c r="EB113" s="121"/>
      <c r="EC113" s="121"/>
      <c r="ED113" s="121"/>
      <c r="EE113" s="121"/>
      <c r="EF113" s="121"/>
    </row>
    <row r="114" ht="15" customHeight="1" spans="1:136">
      <c r="A114" s="34">
        <v>26</v>
      </c>
      <c r="B114" s="125"/>
      <c r="C114" s="126"/>
      <c r="D114" s="127"/>
      <c r="E114" s="49"/>
      <c r="F114" s="50"/>
      <c r="G114" s="51"/>
      <c r="H114" s="52"/>
      <c r="I114" s="52"/>
      <c r="J114" s="59"/>
      <c r="K114" s="60"/>
      <c r="L114" s="61" t="str">
        <f t="shared" si="69"/>
        <v/>
      </c>
      <c r="M114" s="70" t="str">
        <f t="shared" si="70"/>
        <v/>
      </c>
      <c r="N114" s="71"/>
      <c r="O114" s="69" t="str">
        <f t="shared" si="74"/>
        <v/>
      </c>
      <c r="P114" s="69" t="str">
        <f t="shared" si="75"/>
        <v/>
      </c>
      <c r="Q114" s="69" t="str">
        <f t="shared" si="76"/>
        <v/>
      </c>
      <c r="R114" s="79" t="str">
        <f t="shared" si="77"/>
        <v/>
      </c>
      <c r="S114" s="80" t="str">
        <f t="shared" si="79"/>
        <v/>
      </c>
      <c r="T114" s="81" t="str">
        <f t="shared" si="67"/>
        <v/>
      </c>
      <c r="U114" s="81" t="str">
        <f t="shared" si="68"/>
        <v/>
      </c>
      <c r="V114" s="80" t="str">
        <f t="shared" si="80"/>
        <v/>
      </c>
      <c r="W114" s="80" t="str">
        <f t="shared" si="81"/>
        <v/>
      </c>
      <c r="X114" s="80" t="str">
        <f t="shared" ref="X114:X138" si="82">IF(OR($AK114="",ISNUMBER($AK114)=FALSE),"",IF(AND(G114=0,I114=0),((H114)-(Q114))/(3*R114),MIN(V114:W114)))</f>
        <v/>
      </c>
      <c r="Y114" s="89" t="str">
        <f t="shared" ref="Y114:Y138" si="83">IF(OR($AK114="",ISNUMBER($AK114)=FALSE),"",IF(AND(G114=0,I114=0),NORMSDIST(3*X114),NORMSDIST(3*X114)+NORMSDIST(6*S114-3*X114)-1))</f>
        <v/>
      </c>
      <c r="Z114" s="88" t="str">
        <f t="shared" si="71"/>
        <v/>
      </c>
      <c r="AA114" s="88" t="str">
        <f t="shared" si="72"/>
        <v/>
      </c>
      <c r="AB114" s="88" t="str">
        <f t="shared" si="73"/>
        <v/>
      </c>
      <c r="AC114" s="88" t="str">
        <f t="shared" si="65"/>
        <v/>
      </c>
      <c r="AD114" s="95"/>
      <c r="AE114" s="96" t="str">
        <f t="shared" si="78"/>
        <v/>
      </c>
      <c r="AF114" s="97"/>
      <c r="AG114" s="104"/>
      <c r="AH114" s="104"/>
      <c r="AI114" s="105"/>
      <c r="AJ114" s="107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20"/>
      <c r="BR114" s="121"/>
      <c r="BS114" s="121"/>
      <c r="BT114" s="121"/>
      <c r="BU114" s="121"/>
      <c r="BV114" s="121"/>
      <c r="BW114" s="121"/>
      <c r="BX114" s="121"/>
      <c r="BY114" s="121"/>
      <c r="BZ114" s="121"/>
      <c r="CA114" s="121"/>
      <c r="CB114" s="121"/>
      <c r="CC114" s="121"/>
      <c r="CD114" s="121"/>
      <c r="CE114" s="121"/>
      <c r="CF114" s="121"/>
      <c r="CG114" s="121"/>
      <c r="CH114" s="121"/>
      <c r="CI114" s="121"/>
      <c r="CJ114" s="121"/>
      <c r="CK114" s="121"/>
      <c r="CL114" s="121"/>
      <c r="CM114" s="121"/>
      <c r="CN114" s="121"/>
      <c r="CO114" s="121"/>
      <c r="CP114" s="121"/>
      <c r="CQ114" s="121"/>
      <c r="CR114" s="123"/>
      <c r="CS114" s="121"/>
      <c r="CT114" s="121"/>
      <c r="CU114" s="121"/>
      <c r="CV114" s="121"/>
      <c r="CW114" s="121"/>
      <c r="CX114" s="121"/>
      <c r="CY114" s="121"/>
      <c r="CZ114" s="121"/>
      <c r="DA114" s="121"/>
      <c r="DB114" s="121"/>
      <c r="DC114" s="121"/>
      <c r="DD114" s="121"/>
      <c r="DE114" s="121"/>
      <c r="DF114" s="121"/>
      <c r="DG114" s="121"/>
      <c r="DH114" s="121"/>
      <c r="DI114" s="121"/>
      <c r="DJ114" s="121"/>
      <c r="DK114" s="121"/>
      <c r="DL114" s="121"/>
      <c r="DM114" s="121"/>
      <c r="DN114" s="121"/>
      <c r="DO114" s="121"/>
      <c r="DP114" s="121"/>
      <c r="DQ114" s="121"/>
      <c r="DR114" s="121"/>
      <c r="DS114" s="121"/>
      <c r="DT114" s="121"/>
      <c r="DU114" s="121"/>
      <c r="DV114" s="121"/>
      <c r="DW114" s="121"/>
      <c r="DX114" s="121"/>
      <c r="DY114" s="121"/>
      <c r="DZ114" s="121"/>
      <c r="EA114" s="121"/>
      <c r="EB114" s="121"/>
      <c r="EC114" s="121"/>
      <c r="ED114" s="121"/>
      <c r="EE114" s="121"/>
      <c r="EF114" s="121"/>
    </row>
    <row r="115" ht="15" customHeight="1" spans="1:136">
      <c r="A115" s="34">
        <v>27</v>
      </c>
      <c r="B115" s="125"/>
      <c r="C115" s="126"/>
      <c r="D115" s="127"/>
      <c r="E115" s="49"/>
      <c r="F115" s="50"/>
      <c r="G115" s="51"/>
      <c r="H115" s="52"/>
      <c r="I115" s="52"/>
      <c r="J115" s="59"/>
      <c r="K115" s="60"/>
      <c r="L115" s="61" t="str">
        <f t="shared" si="69"/>
        <v/>
      </c>
      <c r="M115" s="70" t="str">
        <f t="shared" si="70"/>
        <v/>
      </c>
      <c r="N115" s="71"/>
      <c r="O115" s="69" t="str">
        <f t="shared" si="74"/>
        <v/>
      </c>
      <c r="P115" s="69" t="str">
        <f t="shared" si="75"/>
        <v/>
      </c>
      <c r="Q115" s="69" t="str">
        <f t="shared" si="76"/>
        <v/>
      </c>
      <c r="R115" s="79" t="str">
        <f t="shared" si="77"/>
        <v/>
      </c>
      <c r="S115" s="80" t="str">
        <f t="shared" si="79"/>
        <v/>
      </c>
      <c r="T115" s="81" t="str">
        <f t="shared" si="67"/>
        <v/>
      </c>
      <c r="U115" s="81" t="str">
        <f t="shared" si="68"/>
        <v/>
      </c>
      <c r="V115" s="80" t="str">
        <f t="shared" si="80"/>
        <v/>
      </c>
      <c r="W115" s="80" t="str">
        <f t="shared" si="81"/>
        <v/>
      </c>
      <c r="X115" s="80" t="str">
        <f t="shared" si="82"/>
        <v/>
      </c>
      <c r="Y115" s="89" t="str">
        <f t="shared" si="83"/>
        <v/>
      </c>
      <c r="Z115" s="88" t="str">
        <f t="shared" si="71"/>
        <v/>
      </c>
      <c r="AA115" s="88" t="str">
        <f t="shared" si="72"/>
        <v/>
      </c>
      <c r="AB115" s="88" t="str">
        <f t="shared" si="73"/>
        <v/>
      </c>
      <c r="AC115" s="88" t="str">
        <f t="shared" si="65"/>
        <v/>
      </c>
      <c r="AD115" s="95"/>
      <c r="AE115" s="96" t="str">
        <f t="shared" si="78"/>
        <v/>
      </c>
      <c r="AF115" s="97"/>
      <c r="AG115" s="104"/>
      <c r="AH115" s="104"/>
      <c r="AI115" s="105"/>
      <c r="AJ115" s="107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20"/>
      <c r="BR115" s="121"/>
      <c r="BS115" s="121"/>
      <c r="BT115" s="121"/>
      <c r="BU115" s="121"/>
      <c r="BV115" s="121"/>
      <c r="BW115" s="121"/>
      <c r="BX115" s="121"/>
      <c r="BY115" s="121"/>
      <c r="BZ115" s="121"/>
      <c r="CA115" s="121"/>
      <c r="CB115" s="121"/>
      <c r="CC115" s="121"/>
      <c r="CD115" s="121"/>
      <c r="CE115" s="121"/>
      <c r="CF115" s="121"/>
      <c r="CG115" s="121"/>
      <c r="CH115" s="121"/>
      <c r="CI115" s="121"/>
      <c r="CJ115" s="121"/>
      <c r="CK115" s="121"/>
      <c r="CL115" s="121"/>
      <c r="CM115" s="121"/>
      <c r="CN115" s="121"/>
      <c r="CO115" s="121"/>
      <c r="CP115" s="121"/>
      <c r="CQ115" s="121"/>
      <c r="CR115" s="121"/>
      <c r="CS115" s="121"/>
      <c r="CT115" s="121"/>
      <c r="CU115" s="121"/>
      <c r="CV115" s="121"/>
      <c r="CW115" s="121"/>
      <c r="CX115" s="121"/>
      <c r="CY115" s="121"/>
      <c r="CZ115" s="121"/>
      <c r="DA115" s="121"/>
      <c r="DB115" s="121"/>
      <c r="DC115" s="121"/>
      <c r="DD115" s="121"/>
      <c r="DE115" s="121"/>
      <c r="DF115" s="121"/>
      <c r="DG115" s="121"/>
      <c r="DH115" s="121"/>
      <c r="DI115" s="121"/>
      <c r="DJ115" s="121"/>
      <c r="DK115" s="121"/>
      <c r="DL115" s="121"/>
      <c r="DM115" s="121"/>
      <c r="DN115" s="121"/>
      <c r="DO115" s="121"/>
      <c r="DP115" s="121"/>
      <c r="DQ115" s="121"/>
      <c r="DR115" s="121"/>
      <c r="DS115" s="121"/>
      <c r="DT115" s="121"/>
      <c r="DU115" s="121"/>
      <c r="DV115" s="121"/>
      <c r="DW115" s="121"/>
      <c r="DX115" s="121"/>
      <c r="DY115" s="121"/>
      <c r="DZ115" s="121"/>
      <c r="EA115" s="121"/>
      <c r="EB115" s="121"/>
      <c r="EC115" s="121"/>
      <c r="ED115" s="121"/>
      <c r="EE115" s="121"/>
      <c r="EF115" s="121"/>
    </row>
    <row r="116" ht="15" customHeight="1" spans="1:136">
      <c r="A116" s="34">
        <v>28</v>
      </c>
      <c r="B116" s="125"/>
      <c r="C116" s="126"/>
      <c r="D116" s="127"/>
      <c r="E116" s="49"/>
      <c r="F116" s="50"/>
      <c r="G116" s="51"/>
      <c r="H116" s="52"/>
      <c r="I116" s="52"/>
      <c r="J116" s="59"/>
      <c r="K116" s="60"/>
      <c r="L116" s="61" t="str">
        <f t="shared" si="69"/>
        <v/>
      </c>
      <c r="M116" s="70" t="str">
        <f t="shared" si="70"/>
        <v/>
      </c>
      <c r="N116" s="71"/>
      <c r="O116" s="69" t="str">
        <f t="shared" si="74"/>
        <v/>
      </c>
      <c r="P116" s="69" t="str">
        <f t="shared" si="75"/>
        <v/>
      </c>
      <c r="Q116" s="69" t="str">
        <f t="shared" si="76"/>
        <v/>
      </c>
      <c r="R116" s="79" t="str">
        <f t="shared" si="77"/>
        <v/>
      </c>
      <c r="S116" s="80" t="str">
        <f t="shared" si="79"/>
        <v/>
      </c>
      <c r="T116" s="81" t="str">
        <f t="shared" si="67"/>
        <v/>
      </c>
      <c r="U116" s="81" t="str">
        <f t="shared" si="68"/>
        <v/>
      </c>
      <c r="V116" s="80" t="str">
        <f t="shared" si="80"/>
        <v/>
      </c>
      <c r="W116" s="80" t="str">
        <f t="shared" si="81"/>
        <v/>
      </c>
      <c r="X116" s="80" t="str">
        <f t="shared" si="82"/>
        <v/>
      </c>
      <c r="Y116" s="89" t="str">
        <f t="shared" si="83"/>
        <v/>
      </c>
      <c r="Z116" s="88" t="str">
        <f t="shared" si="71"/>
        <v/>
      </c>
      <c r="AA116" s="88" t="str">
        <f t="shared" si="72"/>
        <v/>
      </c>
      <c r="AB116" s="88" t="str">
        <f t="shared" si="73"/>
        <v/>
      </c>
      <c r="AC116" s="88" t="str">
        <f t="shared" si="65"/>
        <v/>
      </c>
      <c r="AD116" s="95"/>
      <c r="AE116" s="96" t="str">
        <f t="shared" si="78"/>
        <v/>
      </c>
      <c r="AF116" s="97"/>
      <c r="AG116" s="104"/>
      <c r="AH116" s="104"/>
      <c r="AI116" s="105"/>
      <c r="AJ116" s="107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20"/>
      <c r="BR116" s="121"/>
      <c r="BS116" s="121"/>
      <c r="BT116" s="121"/>
      <c r="BU116" s="121"/>
      <c r="BV116" s="121"/>
      <c r="BW116" s="123"/>
      <c r="BX116" s="121"/>
      <c r="BY116" s="121"/>
      <c r="BZ116" s="121"/>
      <c r="CA116" s="121"/>
      <c r="CB116" s="121"/>
      <c r="CC116" s="121"/>
      <c r="CD116" s="121"/>
      <c r="CE116" s="121"/>
      <c r="CF116" s="121"/>
      <c r="CG116" s="121"/>
      <c r="CH116" s="121"/>
      <c r="CI116" s="121"/>
      <c r="CJ116" s="121"/>
      <c r="CK116" s="121"/>
      <c r="CL116" s="121"/>
      <c r="CM116" s="121"/>
      <c r="CN116" s="121"/>
      <c r="CO116" s="121"/>
      <c r="CP116" s="121"/>
      <c r="CQ116" s="121"/>
      <c r="CR116" s="121"/>
      <c r="CS116" s="121"/>
      <c r="CT116" s="121"/>
      <c r="CU116" s="121"/>
      <c r="CV116" s="121"/>
      <c r="CW116" s="121"/>
      <c r="CX116" s="121"/>
      <c r="CY116" s="121"/>
      <c r="CZ116" s="121"/>
      <c r="DA116" s="121"/>
      <c r="DB116" s="121"/>
      <c r="DC116" s="121"/>
      <c r="DD116" s="121"/>
      <c r="DE116" s="121"/>
      <c r="DF116" s="121"/>
      <c r="DG116" s="121"/>
      <c r="DH116" s="121"/>
      <c r="DI116" s="121"/>
      <c r="DJ116" s="121"/>
      <c r="DK116" s="121"/>
      <c r="DL116" s="121"/>
      <c r="DM116" s="121"/>
      <c r="DN116" s="121"/>
      <c r="DO116" s="121"/>
      <c r="DP116" s="121"/>
      <c r="DQ116" s="121"/>
      <c r="DR116" s="121"/>
      <c r="DS116" s="121"/>
      <c r="DT116" s="121"/>
      <c r="DU116" s="121"/>
      <c r="DV116" s="121"/>
      <c r="DW116" s="121"/>
      <c r="DX116" s="121"/>
      <c r="DY116" s="121"/>
      <c r="DZ116" s="121"/>
      <c r="EA116" s="121"/>
      <c r="EB116" s="121"/>
      <c r="EC116" s="121"/>
      <c r="ED116" s="121"/>
      <c r="EE116" s="121"/>
      <c r="EF116" s="121"/>
    </row>
    <row r="117" ht="15" customHeight="1" spans="1:136">
      <c r="A117" s="34">
        <v>29</v>
      </c>
      <c r="B117" s="125"/>
      <c r="C117" s="126"/>
      <c r="D117" s="127"/>
      <c r="E117" s="49"/>
      <c r="F117" s="50"/>
      <c r="G117" s="51"/>
      <c r="H117" s="52"/>
      <c r="I117" s="52"/>
      <c r="J117" s="59"/>
      <c r="K117" s="60"/>
      <c r="L117" s="61" t="str">
        <f t="shared" si="69"/>
        <v/>
      </c>
      <c r="M117" s="70" t="str">
        <f t="shared" si="70"/>
        <v/>
      </c>
      <c r="N117" s="71"/>
      <c r="O117" s="69" t="str">
        <f t="shared" si="74"/>
        <v/>
      </c>
      <c r="P117" s="69" t="str">
        <f t="shared" si="75"/>
        <v/>
      </c>
      <c r="Q117" s="69" t="str">
        <f t="shared" si="76"/>
        <v/>
      </c>
      <c r="R117" s="79" t="str">
        <f t="shared" si="77"/>
        <v/>
      </c>
      <c r="S117" s="80" t="str">
        <f t="shared" si="79"/>
        <v/>
      </c>
      <c r="T117" s="81" t="str">
        <f t="shared" si="67"/>
        <v/>
      </c>
      <c r="U117" s="81" t="str">
        <f t="shared" si="68"/>
        <v/>
      </c>
      <c r="V117" s="80" t="str">
        <f t="shared" si="80"/>
        <v/>
      </c>
      <c r="W117" s="80" t="str">
        <f t="shared" si="81"/>
        <v/>
      </c>
      <c r="X117" s="80" t="str">
        <f t="shared" si="82"/>
        <v/>
      </c>
      <c r="Y117" s="89" t="str">
        <f t="shared" si="83"/>
        <v/>
      </c>
      <c r="Z117" s="88" t="str">
        <f t="shared" si="71"/>
        <v/>
      </c>
      <c r="AA117" s="88" t="str">
        <f t="shared" si="72"/>
        <v/>
      </c>
      <c r="AB117" s="88" t="str">
        <f t="shared" si="73"/>
        <v/>
      </c>
      <c r="AC117" s="88" t="str">
        <f t="shared" si="65"/>
        <v/>
      </c>
      <c r="AD117" s="95"/>
      <c r="AE117" s="96" t="str">
        <f t="shared" si="78"/>
        <v/>
      </c>
      <c r="AF117" s="97"/>
      <c r="AG117" s="104"/>
      <c r="AH117" s="104"/>
      <c r="AI117" s="105"/>
      <c r="AJ117" s="107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20"/>
      <c r="BR117" s="121"/>
      <c r="BS117" s="121"/>
      <c r="BT117" s="121"/>
      <c r="BU117" s="121"/>
      <c r="BV117" s="121"/>
      <c r="BW117" s="121"/>
      <c r="BX117" s="121"/>
      <c r="BY117" s="121"/>
      <c r="BZ117" s="121"/>
      <c r="CA117" s="121"/>
      <c r="CB117" s="121"/>
      <c r="CC117" s="121"/>
      <c r="CD117" s="121"/>
      <c r="CE117" s="121"/>
      <c r="CF117" s="121"/>
      <c r="CG117" s="121"/>
      <c r="CH117" s="121"/>
      <c r="CI117" s="121"/>
      <c r="CJ117" s="121"/>
      <c r="CK117" s="121"/>
      <c r="CL117" s="121"/>
      <c r="CM117" s="121"/>
      <c r="CN117" s="121"/>
      <c r="CO117" s="121"/>
      <c r="CP117" s="121"/>
      <c r="CQ117" s="121"/>
      <c r="CR117" s="121"/>
      <c r="CS117" s="121"/>
      <c r="CT117" s="121"/>
      <c r="CU117" s="121"/>
      <c r="CV117" s="121"/>
      <c r="CW117" s="121"/>
      <c r="CX117" s="121"/>
      <c r="CY117" s="121"/>
      <c r="CZ117" s="121"/>
      <c r="DA117" s="121"/>
      <c r="DB117" s="121"/>
      <c r="DC117" s="121"/>
      <c r="DD117" s="121"/>
      <c r="DE117" s="121"/>
      <c r="DF117" s="121"/>
      <c r="DG117" s="121"/>
      <c r="DH117" s="121"/>
      <c r="DI117" s="121"/>
      <c r="DJ117" s="121"/>
      <c r="DK117" s="121"/>
      <c r="DL117" s="121"/>
      <c r="DM117" s="121"/>
      <c r="DN117" s="121"/>
      <c r="DO117" s="121"/>
      <c r="DP117" s="121"/>
      <c r="DQ117" s="121"/>
      <c r="DR117" s="121"/>
      <c r="DS117" s="121"/>
      <c r="DT117" s="121"/>
      <c r="DU117" s="121"/>
      <c r="DV117" s="121"/>
      <c r="DW117" s="121"/>
      <c r="DX117" s="121"/>
      <c r="DY117" s="121"/>
      <c r="DZ117" s="121"/>
      <c r="EA117" s="121"/>
      <c r="EB117" s="121"/>
      <c r="EC117" s="121"/>
      <c r="ED117" s="121"/>
      <c r="EE117" s="121"/>
      <c r="EF117" s="121"/>
    </row>
    <row r="118" ht="15" customHeight="1" spans="1:136">
      <c r="A118" s="34">
        <v>30</v>
      </c>
      <c r="B118" s="125"/>
      <c r="C118" s="126"/>
      <c r="D118" s="127"/>
      <c r="E118" s="49"/>
      <c r="F118" s="50"/>
      <c r="G118" s="51"/>
      <c r="H118" s="52"/>
      <c r="I118" s="52"/>
      <c r="J118" s="59"/>
      <c r="K118" s="60"/>
      <c r="L118" s="61" t="str">
        <f t="shared" si="69"/>
        <v/>
      </c>
      <c r="M118" s="70" t="str">
        <f t="shared" si="70"/>
        <v/>
      </c>
      <c r="N118" s="71"/>
      <c r="O118" s="69" t="str">
        <f t="shared" si="74"/>
        <v/>
      </c>
      <c r="P118" s="69" t="str">
        <f t="shared" si="75"/>
        <v/>
      </c>
      <c r="Q118" s="69" t="str">
        <f t="shared" si="76"/>
        <v/>
      </c>
      <c r="R118" s="79" t="str">
        <f t="shared" si="77"/>
        <v/>
      </c>
      <c r="S118" s="80" t="str">
        <f t="shared" si="79"/>
        <v/>
      </c>
      <c r="T118" s="81" t="str">
        <f t="shared" si="67"/>
        <v/>
      </c>
      <c r="U118" s="81" t="str">
        <f t="shared" si="68"/>
        <v/>
      </c>
      <c r="V118" s="80" t="str">
        <f t="shared" si="80"/>
        <v/>
      </c>
      <c r="W118" s="80" t="str">
        <f t="shared" si="81"/>
        <v/>
      </c>
      <c r="X118" s="80" t="str">
        <f t="shared" si="82"/>
        <v/>
      </c>
      <c r="Y118" s="89" t="str">
        <f t="shared" si="83"/>
        <v/>
      </c>
      <c r="Z118" s="88" t="str">
        <f t="shared" si="71"/>
        <v/>
      </c>
      <c r="AA118" s="88" t="str">
        <f t="shared" si="72"/>
        <v/>
      </c>
      <c r="AB118" s="88" t="str">
        <f t="shared" si="73"/>
        <v/>
      </c>
      <c r="AC118" s="88" t="str">
        <f t="shared" si="65"/>
        <v/>
      </c>
      <c r="AD118" s="95"/>
      <c r="AE118" s="96" t="str">
        <f t="shared" si="78"/>
        <v/>
      </c>
      <c r="AF118" s="97"/>
      <c r="AG118" s="104"/>
      <c r="AH118" s="104"/>
      <c r="AI118" s="105"/>
      <c r="AJ118" s="107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20"/>
      <c r="BR118" s="121"/>
      <c r="BS118" s="121"/>
      <c r="BT118" s="121"/>
      <c r="BU118" s="121"/>
      <c r="BV118" s="121"/>
      <c r="BW118" s="121"/>
      <c r="BX118" s="121"/>
      <c r="BY118" s="121"/>
      <c r="BZ118" s="121"/>
      <c r="CA118" s="121"/>
      <c r="CB118" s="121"/>
      <c r="CC118" s="121"/>
      <c r="CD118" s="121"/>
      <c r="CE118" s="121"/>
      <c r="CF118" s="121"/>
      <c r="CG118" s="121"/>
      <c r="CH118" s="121"/>
      <c r="CI118" s="121"/>
      <c r="CJ118" s="121"/>
      <c r="CK118" s="121"/>
      <c r="CL118" s="121"/>
      <c r="CM118" s="121"/>
      <c r="CN118" s="121"/>
      <c r="CO118" s="121"/>
      <c r="CP118" s="121"/>
      <c r="CQ118" s="121"/>
      <c r="CR118" s="121"/>
      <c r="CS118" s="121"/>
      <c r="CT118" s="121"/>
      <c r="CU118" s="121"/>
      <c r="CV118" s="121"/>
      <c r="CW118" s="121"/>
      <c r="CX118" s="121"/>
      <c r="CY118" s="121"/>
      <c r="CZ118" s="121"/>
      <c r="DA118" s="121"/>
      <c r="DB118" s="121"/>
      <c r="DC118" s="121"/>
      <c r="DD118" s="121"/>
      <c r="DE118" s="121"/>
      <c r="DF118" s="121"/>
      <c r="DG118" s="121"/>
      <c r="DH118" s="121"/>
      <c r="DI118" s="121"/>
      <c r="DJ118" s="121"/>
      <c r="DK118" s="121"/>
      <c r="DL118" s="121"/>
      <c r="DM118" s="121"/>
      <c r="DN118" s="121"/>
      <c r="DO118" s="121"/>
      <c r="DP118" s="121"/>
      <c r="DQ118" s="121"/>
      <c r="DR118" s="121"/>
      <c r="DS118" s="121"/>
      <c r="DT118" s="121"/>
      <c r="DU118" s="121"/>
      <c r="DV118" s="121"/>
      <c r="DW118" s="121"/>
      <c r="DX118" s="121"/>
      <c r="DY118" s="121"/>
      <c r="DZ118" s="121"/>
      <c r="EA118" s="121"/>
      <c r="EB118" s="121"/>
      <c r="EC118" s="121"/>
      <c r="ED118" s="121"/>
      <c r="EE118" s="121"/>
      <c r="EF118" s="121"/>
    </row>
    <row r="119" ht="15" customHeight="1" spans="1:136">
      <c r="A119" s="34">
        <v>31</v>
      </c>
      <c r="B119" s="125"/>
      <c r="C119" s="126"/>
      <c r="D119" s="128"/>
      <c r="E119" s="49"/>
      <c r="F119" s="50"/>
      <c r="G119" s="51"/>
      <c r="H119" s="52"/>
      <c r="I119" s="52"/>
      <c r="J119" s="59"/>
      <c r="K119" s="60"/>
      <c r="L119" s="61" t="str">
        <f t="shared" si="69"/>
        <v/>
      </c>
      <c r="M119" s="70" t="str">
        <f t="shared" si="70"/>
        <v/>
      </c>
      <c r="N119" s="71"/>
      <c r="O119" s="69" t="str">
        <f t="shared" si="74"/>
        <v/>
      </c>
      <c r="P119" s="69" t="str">
        <f t="shared" si="75"/>
        <v/>
      </c>
      <c r="Q119" s="69" t="str">
        <f t="shared" si="76"/>
        <v/>
      </c>
      <c r="R119" s="79" t="str">
        <f t="shared" si="77"/>
        <v/>
      </c>
      <c r="S119" s="80" t="str">
        <f t="shared" si="79"/>
        <v/>
      </c>
      <c r="T119" s="81" t="str">
        <f t="shared" si="67"/>
        <v/>
      </c>
      <c r="U119" s="81" t="str">
        <f t="shared" si="68"/>
        <v/>
      </c>
      <c r="V119" s="80" t="str">
        <f t="shared" si="80"/>
        <v/>
      </c>
      <c r="W119" s="80" t="str">
        <f t="shared" si="81"/>
        <v/>
      </c>
      <c r="X119" s="80" t="str">
        <f t="shared" si="82"/>
        <v/>
      </c>
      <c r="Y119" s="89" t="str">
        <f t="shared" si="83"/>
        <v/>
      </c>
      <c r="Z119" s="88" t="str">
        <f t="shared" si="71"/>
        <v/>
      </c>
      <c r="AA119" s="88" t="str">
        <f t="shared" si="72"/>
        <v/>
      </c>
      <c r="AB119" s="88" t="str">
        <f t="shared" si="73"/>
        <v/>
      </c>
      <c r="AC119" s="88" t="str">
        <f t="shared" si="65"/>
        <v/>
      </c>
      <c r="AD119" s="95"/>
      <c r="AE119" s="96" t="str">
        <f t="shared" si="78"/>
        <v/>
      </c>
      <c r="AF119" s="97"/>
      <c r="AG119" s="104"/>
      <c r="AH119" s="104"/>
      <c r="AI119" s="105"/>
      <c r="AJ119" s="107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20"/>
      <c r="BR119" s="121"/>
      <c r="BS119" s="121"/>
      <c r="BT119" s="121"/>
      <c r="BU119" s="121"/>
      <c r="BV119" s="121"/>
      <c r="BW119" s="121"/>
      <c r="BX119" s="121"/>
      <c r="BY119" s="121"/>
      <c r="BZ119" s="121"/>
      <c r="CA119" s="121"/>
      <c r="CB119" s="121"/>
      <c r="CC119" s="121"/>
      <c r="CD119" s="121"/>
      <c r="CE119" s="121"/>
      <c r="CF119" s="121"/>
      <c r="CG119" s="121"/>
      <c r="CH119" s="121"/>
      <c r="CI119" s="121"/>
      <c r="CJ119" s="121"/>
      <c r="CK119" s="121"/>
      <c r="CL119" s="121"/>
      <c r="CM119" s="121"/>
      <c r="CN119" s="121"/>
      <c r="CO119" s="121"/>
      <c r="CP119" s="121"/>
      <c r="CQ119" s="121"/>
      <c r="CR119" s="121"/>
      <c r="CS119" s="121"/>
      <c r="CT119" s="121"/>
      <c r="CU119" s="121"/>
      <c r="CV119" s="121"/>
      <c r="CW119" s="121"/>
      <c r="CX119" s="121"/>
      <c r="CY119" s="121"/>
      <c r="CZ119" s="121"/>
      <c r="DA119" s="121"/>
      <c r="DB119" s="121"/>
      <c r="DC119" s="121"/>
      <c r="DD119" s="121"/>
      <c r="DE119" s="121"/>
      <c r="DF119" s="121"/>
      <c r="DG119" s="121"/>
      <c r="DH119" s="121"/>
      <c r="DI119" s="121"/>
      <c r="DJ119" s="121"/>
      <c r="DK119" s="121"/>
      <c r="DL119" s="121"/>
      <c r="DM119" s="121"/>
      <c r="DN119" s="121"/>
      <c r="DO119" s="121"/>
      <c r="DP119" s="121"/>
      <c r="DQ119" s="121"/>
      <c r="DR119" s="121"/>
      <c r="DS119" s="121"/>
      <c r="DT119" s="121"/>
      <c r="DU119" s="121"/>
      <c r="DV119" s="121"/>
      <c r="DW119" s="121"/>
      <c r="DX119" s="121"/>
      <c r="DY119" s="121"/>
      <c r="DZ119" s="121"/>
      <c r="EA119" s="121"/>
      <c r="EB119" s="121"/>
      <c r="EC119" s="121"/>
      <c r="ED119" s="121"/>
      <c r="EE119" s="121"/>
      <c r="EF119" s="121"/>
    </row>
    <row r="120" ht="15" customHeight="1" spans="1:136">
      <c r="A120" s="34">
        <v>32</v>
      </c>
      <c r="B120" s="125"/>
      <c r="C120" s="126"/>
      <c r="D120" s="127"/>
      <c r="E120" s="49"/>
      <c r="F120" s="50"/>
      <c r="G120" s="51"/>
      <c r="H120" s="52"/>
      <c r="I120" s="52"/>
      <c r="J120" s="59"/>
      <c r="K120" s="60"/>
      <c r="L120" s="61" t="str">
        <f t="shared" si="69"/>
        <v/>
      </c>
      <c r="M120" s="70" t="str">
        <f t="shared" si="70"/>
        <v/>
      </c>
      <c r="N120" s="71"/>
      <c r="O120" s="69" t="str">
        <f t="shared" si="74"/>
        <v/>
      </c>
      <c r="P120" s="69" t="str">
        <f t="shared" si="75"/>
        <v/>
      </c>
      <c r="Q120" s="69" t="str">
        <f t="shared" si="76"/>
        <v/>
      </c>
      <c r="R120" s="79" t="str">
        <f t="shared" si="77"/>
        <v/>
      </c>
      <c r="S120" s="80" t="str">
        <f t="shared" si="79"/>
        <v/>
      </c>
      <c r="T120" s="81" t="str">
        <f t="shared" si="67"/>
        <v/>
      </c>
      <c r="U120" s="81" t="str">
        <f t="shared" si="68"/>
        <v/>
      </c>
      <c r="V120" s="80" t="str">
        <f t="shared" si="80"/>
        <v/>
      </c>
      <c r="W120" s="80" t="str">
        <f t="shared" si="81"/>
        <v/>
      </c>
      <c r="X120" s="80" t="str">
        <f t="shared" si="82"/>
        <v/>
      </c>
      <c r="Y120" s="89" t="str">
        <f t="shared" si="83"/>
        <v/>
      </c>
      <c r="Z120" s="88" t="str">
        <f t="shared" si="71"/>
        <v/>
      </c>
      <c r="AA120" s="88" t="str">
        <f t="shared" si="72"/>
        <v/>
      </c>
      <c r="AB120" s="88" t="str">
        <f t="shared" si="73"/>
        <v/>
      </c>
      <c r="AC120" s="88" t="str">
        <f t="shared" si="65"/>
        <v/>
      </c>
      <c r="AD120" s="95"/>
      <c r="AE120" s="96" t="str">
        <f t="shared" si="78"/>
        <v/>
      </c>
      <c r="AF120" s="97"/>
      <c r="AG120" s="104"/>
      <c r="AH120" s="104"/>
      <c r="AI120" s="105"/>
      <c r="AJ120" s="107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20"/>
      <c r="BR120" s="121"/>
      <c r="BS120" s="121"/>
      <c r="BT120" s="121"/>
      <c r="BU120" s="121"/>
      <c r="BV120" s="121"/>
      <c r="BW120" s="121"/>
      <c r="BX120" s="121"/>
      <c r="BY120" s="121"/>
      <c r="BZ120" s="121"/>
      <c r="CA120" s="121"/>
      <c r="CB120" s="121"/>
      <c r="CC120" s="121"/>
      <c r="CD120" s="121"/>
      <c r="CE120" s="121"/>
      <c r="CF120" s="121"/>
      <c r="CG120" s="121"/>
      <c r="CH120" s="121"/>
      <c r="CI120" s="121"/>
      <c r="CJ120" s="121"/>
      <c r="CK120" s="121"/>
      <c r="CL120" s="121"/>
      <c r="CM120" s="121"/>
      <c r="CN120" s="121"/>
      <c r="CO120" s="121"/>
      <c r="CP120" s="121"/>
      <c r="CQ120" s="121"/>
      <c r="CR120" s="121"/>
      <c r="CS120" s="121"/>
      <c r="CT120" s="121"/>
      <c r="CU120" s="121"/>
      <c r="CV120" s="121"/>
      <c r="CW120" s="121"/>
      <c r="CX120" s="121"/>
      <c r="CY120" s="121"/>
      <c r="CZ120" s="121"/>
      <c r="DA120" s="121"/>
      <c r="DB120" s="121"/>
      <c r="DC120" s="121"/>
      <c r="DD120" s="121"/>
      <c r="DE120" s="121"/>
      <c r="DF120" s="121"/>
      <c r="DG120" s="121"/>
      <c r="DH120" s="121"/>
      <c r="DI120" s="121"/>
      <c r="DJ120" s="121"/>
      <c r="DK120" s="121"/>
      <c r="DL120" s="121"/>
      <c r="DM120" s="121"/>
      <c r="DN120" s="121"/>
      <c r="DO120" s="121"/>
      <c r="DP120" s="121"/>
      <c r="DQ120" s="121"/>
      <c r="DR120" s="121"/>
      <c r="DS120" s="121"/>
      <c r="DT120" s="121"/>
      <c r="DU120" s="121"/>
      <c r="DV120" s="121"/>
      <c r="DW120" s="121"/>
      <c r="DX120" s="121"/>
      <c r="DY120" s="121"/>
      <c r="DZ120" s="121"/>
      <c r="EA120" s="121"/>
      <c r="EB120" s="121"/>
      <c r="EC120" s="121"/>
      <c r="ED120" s="121"/>
      <c r="EE120" s="121"/>
      <c r="EF120" s="121"/>
    </row>
    <row r="121" ht="15" customHeight="1" spans="1:136">
      <c r="A121" s="34">
        <v>33</v>
      </c>
      <c r="B121" s="125"/>
      <c r="C121" s="126"/>
      <c r="D121" s="127"/>
      <c r="E121" s="49"/>
      <c r="F121" s="50"/>
      <c r="G121" s="51"/>
      <c r="H121" s="52"/>
      <c r="I121" s="52"/>
      <c r="J121" s="59"/>
      <c r="K121" s="60"/>
      <c r="L121" s="61" t="str">
        <f t="shared" si="69"/>
        <v/>
      </c>
      <c r="M121" s="70" t="str">
        <f t="shared" si="70"/>
        <v/>
      </c>
      <c r="N121" s="71"/>
      <c r="O121" s="69" t="str">
        <f t="shared" si="74"/>
        <v/>
      </c>
      <c r="P121" s="69" t="str">
        <f t="shared" si="75"/>
        <v/>
      </c>
      <c r="Q121" s="69" t="str">
        <f t="shared" si="76"/>
        <v/>
      </c>
      <c r="R121" s="79" t="str">
        <f t="shared" si="77"/>
        <v/>
      </c>
      <c r="S121" s="80" t="str">
        <f t="shared" si="79"/>
        <v/>
      </c>
      <c r="T121" s="81" t="str">
        <f t="shared" si="67"/>
        <v/>
      </c>
      <c r="U121" s="81" t="str">
        <f t="shared" si="68"/>
        <v/>
      </c>
      <c r="V121" s="80" t="str">
        <f t="shared" si="80"/>
        <v/>
      </c>
      <c r="W121" s="80" t="str">
        <f t="shared" si="81"/>
        <v/>
      </c>
      <c r="X121" s="80" t="str">
        <f t="shared" si="82"/>
        <v/>
      </c>
      <c r="Y121" s="89" t="str">
        <f t="shared" si="83"/>
        <v/>
      </c>
      <c r="Z121" s="88" t="str">
        <f t="shared" si="71"/>
        <v/>
      </c>
      <c r="AA121" s="88" t="str">
        <f t="shared" si="72"/>
        <v/>
      </c>
      <c r="AB121" s="88" t="str">
        <f t="shared" si="73"/>
        <v/>
      </c>
      <c r="AC121" s="88" t="str">
        <f t="shared" si="65"/>
        <v/>
      </c>
      <c r="AD121" s="95"/>
      <c r="AE121" s="96" t="str">
        <f t="shared" si="78"/>
        <v/>
      </c>
      <c r="AF121" s="97"/>
      <c r="AG121" s="104"/>
      <c r="AH121" s="104"/>
      <c r="AI121" s="105"/>
      <c r="AJ121" s="107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20"/>
      <c r="BR121" s="121"/>
      <c r="BS121" s="121"/>
      <c r="BT121" s="121"/>
      <c r="BU121" s="121"/>
      <c r="BV121" s="121"/>
      <c r="BW121" s="121"/>
      <c r="BX121" s="121"/>
      <c r="BY121" s="121"/>
      <c r="BZ121" s="121"/>
      <c r="CA121" s="121"/>
      <c r="CB121" s="121"/>
      <c r="CC121" s="121"/>
      <c r="CD121" s="121"/>
      <c r="CE121" s="121"/>
      <c r="CF121" s="121"/>
      <c r="CG121" s="121"/>
      <c r="CH121" s="121"/>
      <c r="CI121" s="121"/>
      <c r="CJ121" s="121"/>
      <c r="CK121" s="121"/>
      <c r="CL121" s="121"/>
      <c r="CM121" s="121"/>
      <c r="CN121" s="121"/>
      <c r="CO121" s="121"/>
      <c r="CP121" s="121"/>
      <c r="CQ121" s="121"/>
      <c r="CR121" s="121"/>
      <c r="CS121" s="121"/>
      <c r="CT121" s="121"/>
      <c r="CU121" s="123"/>
      <c r="CV121" s="121"/>
      <c r="CW121" s="121"/>
      <c r="CX121" s="121"/>
      <c r="CY121" s="121"/>
      <c r="CZ121" s="121"/>
      <c r="DA121" s="121"/>
      <c r="DB121" s="121"/>
      <c r="DC121" s="121"/>
      <c r="DD121" s="121"/>
      <c r="DE121" s="121"/>
      <c r="DF121" s="121"/>
      <c r="DG121" s="121"/>
      <c r="DH121" s="121"/>
      <c r="DI121" s="121"/>
      <c r="DJ121" s="121"/>
      <c r="DK121" s="121"/>
      <c r="DL121" s="121"/>
      <c r="DM121" s="121"/>
      <c r="DN121" s="121"/>
      <c r="DO121" s="121"/>
      <c r="DP121" s="121"/>
      <c r="DQ121" s="121"/>
      <c r="DR121" s="121"/>
      <c r="DS121" s="121"/>
      <c r="DT121" s="121"/>
      <c r="DU121" s="121"/>
      <c r="DV121" s="121"/>
      <c r="DW121" s="121"/>
      <c r="DX121" s="121"/>
      <c r="DY121" s="121"/>
      <c r="DZ121" s="121"/>
      <c r="EA121" s="121"/>
      <c r="EB121" s="121"/>
      <c r="EC121" s="121"/>
      <c r="ED121" s="121"/>
      <c r="EE121" s="121"/>
      <c r="EF121" s="121"/>
    </row>
    <row r="122" ht="15" customHeight="1" spans="1:136">
      <c r="A122" s="34">
        <v>34</v>
      </c>
      <c r="B122" s="125"/>
      <c r="C122" s="126"/>
      <c r="D122" s="127"/>
      <c r="E122" s="49"/>
      <c r="F122" s="50"/>
      <c r="G122" s="51"/>
      <c r="H122" s="52"/>
      <c r="I122" s="52"/>
      <c r="J122" s="59"/>
      <c r="K122" s="60"/>
      <c r="L122" s="61" t="str">
        <f t="shared" si="69"/>
        <v/>
      </c>
      <c r="M122" s="70" t="str">
        <f t="shared" si="70"/>
        <v/>
      </c>
      <c r="N122" s="71"/>
      <c r="O122" s="69" t="str">
        <f t="shared" si="74"/>
        <v/>
      </c>
      <c r="P122" s="69" t="str">
        <f t="shared" si="75"/>
        <v/>
      </c>
      <c r="Q122" s="69" t="str">
        <f t="shared" si="76"/>
        <v/>
      </c>
      <c r="R122" s="79" t="str">
        <f t="shared" si="77"/>
        <v/>
      </c>
      <c r="S122" s="80" t="str">
        <f t="shared" si="79"/>
        <v/>
      </c>
      <c r="T122" s="81" t="str">
        <f t="shared" si="67"/>
        <v/>
      </c>
      <c r="U122" s="81" t="str">
        <f t="shared" si="68"/>
        <v/>
      </c>
      <c r="V122" s="80" t="str">
        <f t="shared" si="80"/>
        <v/>
      </c>
      <c r="W122" s="80" t="str">
        <f t="shared" si="81"/>
        <v/>
      </c>
      <c r="X122" s="80" t="str">
        <f t="shared" si="82"/>
        <v/>
      </c>
      <c r="Y122" s="89" t="str">
        <f t="shared" si="83"/>
        <v/>
      </c>
      <c r="Z122" s="88" t="str">
        <f t="shared" si="71"/>
        <v/>
      </c>
      <c r="AA122" s="88" t="str">
        <f t="shared" si="72"/>
        <v/>
      </c>
      <c r="AB122" s="88" t="str">
        <f t="shared" si="73"/>
        <v/>
      </c>
      <c r="AC122" s="88" t="str">
        <f t="shared" si="65"/>
        <v/>
      </c>
      <c r="AD122" s="95"/>
      <c r="AE122" s="96" t="str">
        <f t="shared" si="78"/>
        <v/>
      </c>
      <c r="AF122" s="97"/>
      <c r="AG122" s="104"/>
      <c r="AH122" s="104"/>
      <c r="AI122" s="105"/>
      <c r="AJ122" s="107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20"/>
      <c r="BR122" s="121"/>
      <c r="BS122" s="121"/>
      <c r="BT122" s="121"/>
      <c r="BU122" s="121"/>
      <c r="BV122" s="121"/>
      <c r="BW122" s="121"/>
      <c r="BX122" s="121"/>
      <c r="BY122" s="121"/>
      <c r="BZ122" s="121"/>
      <c r="CA122" s="121"/>
      <c r="CB122" s="121"/>
      <c r="CC122" s="121"/>
      <c r="CD122" s="121"/>
      <c r="CE122" s="121"/>
      <c r="CF122" s="121"/>
      <c r="CG122" s="121"/>
      <c r="CH122" s="121"/>
      <c r="CI122" s="121"/>
      <c r="CJ122" s="121"/>
      <c r="CK122" s="121"/>
      <c r="CL122" s="121"/>
      <c r="CM122" s="121"/>
      <c r="CN122" s="121"/>
      <c r="CO122" s="121"/>
      <c r="CP122" s="121"/>
      <c r="CQ122" s="121"/>
      <c r="CR122" s="121"/>
      <c r="CS122" s="121"/>
      <c r="CT122" s="121"/>
      <c r="CU122" s="121"/>
      <c r="CV122" s="121"/>
      <c r="CW122" s="121"/>
      <c r="CX122" s="121"/>
      <c r="CY122" s="121"/>
      <c r="CZ122" s="121"/>
      <c r="DA122" s="121"/>
      <c r="DB122" s="121"/>
      <c r="DC122" s="121"/>
      <c r="DD122" s="121"/>
      <c r="DE122" s="121"/>
      <c r="DF122" s="121"/>
      <c r="DG122" s="121"/>
      <c r="DH122" s="121"/>
      <c r="DI122" s="121"/>
      <c r="DJ122" s="121"/>
      <c r="DK122" s="121"/>
      <c r="DL122" s="121"/>
      <c r="DM122" s="121"/>
      <c r="DN122" s="121"/>
      <c r="DO122" s="121"/>
      <c r="DP122" s="121"/>
      <c r="DQ122" s="121"/>
      <c r="DR122" s="121"/>
      <c r="DS122" s="121"/>
      <c r="DT122" s="121"/>
      <c r="DU122" s="121"/>
      <c r="DV122" s="121"/>
      <c r="DW122" s="121"/>
      <c r="DX122" s="121"/>
      <c r="DY122" s="121"/>
      <c r="DZ122" s="121"/>
      <c r="EA122" s="121"/>
      <c r="EB122" s="121"/>
      <c r="EC122" s="121"/>
      <c r="ED122" s="121"/>
      <c r="EE122" s="121"/>
      <c r="EF122" s="121"/>
    </row>
    <row r="123" ht="15" customHeight="1" spans="1:136">
      <c r="A123" s="34">
        <v>35</v>
      </c>
      <c r="B123" s="125"/>
      <c r="C123" s="126"/>
      <c r="D123" s="127"/>
      <c r="E123" s="49"/>
      <c r="F123" s="50"/>
      <c r="G123" s="51"/>
      <c r="H123" s="52"/>
      <c r="I123" s="52"/>
      <c r="J123" s="59"/>
      <c r="K123" s="60"/>
      <c r="L123" s="61" t="str">
        <f t="shared" si="69"/>
        <v/>
      </c>
      <c r="M123" s="70" t="str">
        <f t="shared" si="70"/>
        <v/>
      </c>
      <c r="N123" s="71"/>
      <c r="O123" s="69" t="str">
        <f t="shared" si="74"/>
        <v/>
      </c>
      <c r="P123" s="69" t="str">
        <f t="shared" si="75"/>
        <v/>
      </c>
      <c r="Q123" s="69" t="str">
        <f t="shared" si="76"/>
        <v/>
      </c>
      <c r="R123" s="79" t="str">
        <f t="shared" si="77"/>
        <v/>
      </c>
      <c r="S123" s="80" t="str">
        <f t="shared" si="79"/>
        <v/>
      </c>
      <c r="T123" s="81" t="str">
        <f t="shared" si="67"/>
        <v/>
      </c>
      <c r="U123" s="81" t="str">
        <f t="shared" si="68"/>
        <v/>
      </c>
      <c r="V123" s="80" t="str">
        <f t="shared" si="80"/>
        <v/>
      </c>
      <c r="W123" s="80" t="str">
        <f t="shared" si="81"/>
        <v/>
      </c>
      <c r="X123" s="80" t="str">
        <f t="shared" si="82"/>
        <v/>
      </c>
      <c r="Y123" s="89" t="str">
        <f t="shared" si="83"/>
        <v/>
      </c>
      <c r="Z123" s="88" t="str">
        <f t="shared" si="71"/>
        <v/>
      </c>
      <c r="AA123" s="88" t="str">
        <f t="shared" si="72"/>
        <v/>
      </c>
      <c r="AB123" s="88" t="str">
        <f t="shared" si="73"/>
        <v/>
      </c>
      <c r="AC123" s="88" t="str">
        <f t="shared" si="65"/>
        <v/>
      </c>
      <c r="AD123" s="95"/>
      <c r="AE123" s="96" t="str">
        <f t="shared" si="78"/>
        <v/>
      </c>
      <c r="AF123" s="97"/>
      <c r="AG123" s="104"/>
      <c r="AH123" s="104"/>
      <c r="AI123" s="105"/>
      <c r="AJ123" s="107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20"/>
      <c r="BR123" s="121"/>
      <c r="BS123" s="121"/>
      <c r="BT123" s="121"/>
      <c r="BU123" s="121"/>
      <c r="BV123" s="121"/>
      <c r="BW123" s="121"/>
      <c r="BX123" s="121"/>
      <c r="BY123" s="121"/>
      <c r="BZ123" s="121"/>
      <c r="CA123" s="121"/>
      <c r="CB123" s="121"/>
      <c r="CC123" s="121"/>
      <c r="CD123" s="121"/>
      <c r="CE123" s="121"/>
      <c r="CF123" s="121"/>
      <c r="CG123" s="121"/>
      <c r="CH123" s="121"/>
      <c r="CI123" s="121"/>
      <c r="CJ123" s="121"/>
      <c r="CK123" s="121"/>
      <c r="CL123" s="121"/>
      <c r="CM123" s="121"/>
      <c r="CN123" s="121"/>
      <c r="CO123" s="121"/>
      <c r="CP123" s="121"/>
      <c r="CQ123" s="121"/>
      <c r="CR123" s="121"/>
      <c r="CS123" s="121"/>
      <c r="CT123" s="121"/>
      <c r="CU123" s="121"/>
      <c r="CV123" s="121"/>
      <c r="CW123" s="121"/>
      <c r="CX123" s="121"/>
      <c r="CY123" s="121"/>
      <c r="CZ123" s="121"/>
      <c r="DA123" s="121"/>
      <c r="DB123" s="121"/>
      <c r="DC123" s="121"/>
      <c r="DD123" s="121"/>
      <c r="DE123" s="121"/>
      <c r="DF123" s="121"/>
      <c r="DG123" s="121"/>
      <c r="DH123" s="121"/>
      <c r="DI123" s="121"/>
      <c r="DJ123" s="121"/>
      <c r="DK123" s="121"/>
      <c r="DL123" s="121"/>
      <c r="DM123" s="121"/>
      <c r="DN123" s="121"/>
      <c r="DO123" s="121"/>
      <c r="DP123" s="121"/>
      <c r="DQ123" s="121"/>
      <c r="DR123" s="121"/>
      <c r="DS123" s="121"/>
      <c r="DT123" s="121"/>
      <c r="DU123" s="121"/>
      <c r="DV123" s="121"/>
      <c r="DW123" s="121"/>
      <c r="DX123" s="121"/>
      <c r="DY123" s="121"/>
      <c r="DZ123" s="121"/>
      <c r="EA123" s="121"/>
      <c r="EB123" s="121"/>
      <c r="EC123" s="121"/>
      <c r="ED123" s="121"/>
      <c r="EE123" s="121"/>
      <c r="EF123" s="121"/>
    </row>
    <row r="124" ht="15" customHeight="1" spans="1:136">
      <c r="A124" s="40">
        <v>36</v>
      </c>
      <c r="B124" s="125"/>
      <c r="C124" s="126"/>
      <c r="D124" s="127"/>
      <c r="E124" s="49"/>
      <c r="F124" s="50"/>
      <c r="G124" s="51"/>
      <c r="H124" s="52"/>
      <c r="I124" s="52"/>
      <c r="J124" s="59"/>
      <c r="K124" s="60"/>
      <c r="L124" s="61" t="str">
        <f t="shared" si="69"/>
        <v/>
      </c>
      <c r="M124" s="70" t="str">
        <f t="shared" si="70"/>
        <v/>
      </c>
      <c r="N124" s="72"/>
      <c r="O124" s="69" t="str">
        <f t="shared" si="74"/>
        <v/>
      </c>
      <c r="P124" s="69" t="str">
        <f t="shared" si="75"/>
        <v/>
      </c>
      <c r="Q124" s="69" t="str">
        <f t="shared" si="76"/>
        <v/>
      </c>
      <c r="R124" s="79" t="str">
        <f t="shared" si="77"/>
        <v/>
      </c>
      <c r="S124" s="80" t="str">
        <f t="shared" si="79"/>
        <v/>
      </c>
      <c r="T124" s="81" t="str">
        <f t="shared" si="67"/>
        <v/>
      </c>
      <c r="U124" s="81" t="str">
        <f t="shared" si="68"/>
        <v/>
      </c>
      <c r="V124" s="80" t="str">
        <f t="shared" si="80"/>
        <v/>
      </c>
      <c r="W124" s="80" t="str">
        <f t="shared" si="81"/>
        <v/>
      </c>
      <c r="X124" s="80" t="str">
        <f t="shared" si="82"/>
        <v/>
      </c>
      <c r="Y124" s="89" t="str">
        <f t="shared" si="83"/>
        <v/>
      </c>
      <c r="Z124" s="88" t="str">
        <f t="shared" si="71"/>
        <v/>
      </c>
      <c r="AA124" s="88" t="str">
        <f t="shared" si="72"/>
        <v/>
      </c>
      <c r="AB124" s="88" t="str">
        <f t="shared" si="73"/>
        <v/>
      </c>
      <c r="AC124" s="88" t="str">
        <f t="shared" si="65"/>
        <v/>
      </c>
      <c r="AD124" s="95"/>
      <c r="AE124" s="96" t="str">
        <f t="shared" si="78"/>
        <v/>
      </c>
      <c r="AF124" s="97"/>
      <c r="AG124" s="104"/>
      <c r="AH124" s="104"/>
      <c r="AI124" s="105"/>
      <c r="AJ124" s="107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20"/>
      <c r="BR124" s="121"/>
      <c r="BS124" s="121"/>
      <c r="BT124" s="121"/>
      <c r="BU124" s="121"/>
      <c r="BV124" s="121"/>
      <c r="BW124" s="121"/>
      <c r="BX124" s="121"/>
      <c r="BY124" s="121"/>
      <c r="BZ124" s="121"/>
      <c r="CA124" s="121"/>
      <c r="CB124" s="121"/>
      <c r="CC124" s="121"/>
      <c r="CD124" s="121"/>
      <c r="CE124" s="121"/>
      <c r="CF124" s="121"/>
      <c r="CG124" s="121"/>
      <c r="CH124" s="121"/>
      <c r="CI124" s="121"/>
      <c r="CJ124" s="121"/>
      <c r="CK124" s="121"/>
      <c r="CL124" s="121"/>
      <c r="CM124" s="121"/>
      <c r="CN124" s="121"/>
      <c r="CO124" s="121"/>
      <c r="CP124" s="121"/>
      <c r="CQ124" s="121"/>
      <c r="CR124" s="121"/>
      <c r="CS124" s="121"/>
      <c r="CT124" s="121"/>
      <c r="CU124" s="121"/>
      <c r="CV124" s="121"/>
      <c r="CW124" s="121"/>
      <c r="CX124" s="121"/>
      <c r="CY124" s="121"/>
      <c r="CZ124" s="121"/>
      <c r="DA124" s="121"/>
      <c r="DB124" s="121"/>
      <c r="DC124" s="121"/>
      <c r="DD124" s="121"/>
      <c r="DE124" s="121"/>
      <c r="DF124" s="121"/>
      <c r="DG124" s="121"/>
      <c r="DH124" s="121"/>
      <c r="DI124" s="121"/>
      <c r="DJ124" s="121"/>
      <c r="DK124" s="121"/>
      <c r="DL124" s="121"/>
      <c r="DM124" s="121"/>
      <c r="DN124" s="121"/>
      <c r="DO124" s="121"/>
      <c r="DP124" s="121"/>
      <c r="DQ124" s="121"/>
      <c r="DR124" s="121"/>
      <c r="DS124" s="121"/>
      <c r="DT124" s="121"/>
      <c r="DU124" s="121"/>
      <c r="DV124" s="121"/>
      <c r="DW124" s="121"/>
      <c r="DX124" s="121"/>
      <c r="DY124" s="121"/>
      <c r="DZ124" s="121"/>
      <c r="EA124" s="121"/>
      <c r="EB124" s="121"/>
      <c r="EC124" s="121"/>
      <c r="ED124" s="121"/>
      <c r="EE124" s="121"/>
      <c r="EF124" s="121"/>
    </row>
    <row r="125" ht="15" customHeight="1" spans="1:136">
      <c r="A125" s="34">
        <v>37</v>
      </c>
      <c r="B125" s="125"/>
      <c r="C125" s="126"/>
      <c r="D125" s="127"/>
      <c r="E125" s="49"/>
      <c r="F125" s="50"/>
      <c r="G125" s="51"/>
      <c r="H125" s="52"/>
      <c r="I125" s="52"/>
      <c r="J125" s="59"/>
      <c r="K125" s="60"/>
      <c r="L125" s="61" t="str">
        <f t="shared" si="69"/>
        <v/>
      </c>
      <c r="M125" s="70" t="str">
        <f t="shared" si="70"/>
        <v/>
      </c>
      <c r="N125" s="71"/>
      <c r="O125" s="69" t="str">
        <f t="shared" si="74"/>
        <v/>
      </c>
      <c r="P125" s="69" t="str">
        <f t="shared" si="75"/>
        <v/>
      </c>
      <c r="Q125" s="69" t="str">
        <f t="shared" si="76"/>
        <v/>
      </c>
      <c r="R125" s="79" t="str">
        <f t="shared" si="77"/>
        <v/>
      </c>
      <c r="S125" s="80" t="str">
        <f t="shared" si="79"/>
        <v/>
      </c>
      <c r="T125" s="81" t="str">
        <f t="shared" si="67"/>
        <v/>
      </c>
      <c r="U125" s="81" t="str">
        <f t="shared" si="68"/>
        <v/>
      </c>
      <c r="V125" s="80" t="str">
        <f t="shared" si="80"/>
        <v/>
      </c>
      <c r="W125" s="80" t="str">
        <f t="shared" si="81"/>
        <v/>
      </c>
      <c r="X125" s="80" t="str">
        <f t="shared" si="82"/>
        <v/>
      </c>
      <c r="Y125" s="89" t="str">
        <f t="shared" si="83"/>
        <v/>
      </c>
      <c r="Z125" s="88" t="str">
        <f t="shared" si="71"/>
        <v/>
      </c>
      <c r="AA125" s="88" t="str">
        <f t="shared" si="72"/>
        <v/>
      </c>
      <c r="AB125" s="88" t="str">
        <f t="shared" si="73"/>
        <v/>
      </c>
      <c r="AC125" s="88" t="str">
        <f t="shared" si="65"/>
        <v/>
      </c>
      <c r="AD125" s="95"/>
      <c r="AE125" s="96" t="str">
        <f t="shared" si="78"/>
        <v/>
      </c>
      <c r="AF125" s="97"/>
      <c r="AG125" s="104"/>
      <c r="AH125" s="104"/>
      <c r="AI125" s="105"/>
      <c r="AJ125" s="107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20"/>
      <c r="BR125" s="121"/>
      <c r="BS125" s="121"/>
      <c r="BT125" s="121"/>
      <c r="BU125" s="121"/>
      <c r="BV125" s="121"/>
      <c r="BW125" s="121"/>
      <c r="BX125" s="121"/>
      <c r="BY125" s="121"/>
      <c r="BZ125" s="121"/>
      <c r="CA125" s="121"/>
      <c r="CB125" s="121"/>
      <c r="CC125" s="121"/>
      <c r="CD125" s="121"/>
      <c r="CE125" s="121"/>
      <c r="CF125" s="121"/>
      <c r="CG125" s="121"/>
      <c r="CH125" s="121"/>
      <c r="CI125" s="121"/>
      <c r="CJ125" s="121"/>
      <c r="CK125" s="121"/>
      <c r="CL125" s="121"/>
      <c r="CM125" s="121"/>
      <c r="CN125" s="121"/>
      <c r="CO125" s="121"/>
      <c r="CP125" s="121"/>
      <c r="CQ125" s="121"/>
      <c r="CR125" s="121"/>
      <c r="CS125" s="121"/>
      <c r="CT125" s="121"/>
      <c r="CU125" s="121"/>
      <c r="CV125" s="121"/>
      <c r="CW125" s="121"/>
      <c r="CX125" s="121"/>
      <c r="CY125" s="121"/>
      <c r="CZ125" s="121"/>
      <c r="DA125" s="121"/>
      <c r="DB125" s="121"/>
      <c r="DC125" s="121"/>
      <c r="DD125" s="121"/>
      <c r="DE125" s="121"/>
      <c r="DF125" s="121"/>
      <c r="DG125" s="121"/>
      <c r="DH125" s="121"/>
      <c r="DI125" s="121"/>
      <c r="DJ125" s="121"/>
      <c r="DK125" s="121"/>
      <c r="DL125" s="121"/>
      <c r="DM125" s="121"/>
      <c r="DN125" s="121"/>
      <c r="DO125" s="121"/>
      <c r="DP125" s="121"/>
      <c r="DQ125" s="121"/>
      <c r="DR125" s="121"/>
      <c r="DS125" s="121"/>
      <c r="DT125" s="121"/>
      <c r="DU125" s="121"/>
      <c r="DV125" s="121"/>
      <c r="DW125" s="121"/>
      <c r="DX125" s="121"/>
      <c r="DY125" s="121"/>
      <c r="DZ125" s="121"/>
      <c r="EA125" s="121"/>
      <c r="EB125" s="121"/>
      <c r="EC125" s="121"/>
      <c r="ED125" s="121"/>
      <c r="EE125" s="121"/>
      <c r="EF125" s="121"/>
    </row>
    <row r="126" ht="15" customHeight="1" spans="1:136">
      <c r="A126" s="34">
        <v>38</v>
      </c>
      <c r="B126" s="125"/>
      <c r="C126" s="126"/>
      <c r="D126" s="127"/>
      <c r="E126" s="49"/>
      <c r="F126" s="50"/>
      <c r="G126" s="51"/>
      <c r="H126" s="52"/>
      <c r="I126" s="52"/>
      <c r="J126" s="59"/>
      <c r="K126" s="60"/>
      <c r="L126" s="61" t="str">
        <f t="shared" si="69"/>
        <v/>
      </c>
      <c r="M126" s="70" t="str">
        <f t="shared" si="70"/>
        <v/>
      </c>
      <c r="N126" s="71"/>
      <c r="O126" s="69" t="str">
        <f t="shared" si="74"/>
        <v/>
      </c>
      <c r="P126" s="69" t="str">
        <f t="shared" si="75"/>
        <v/>
      </c>
      <c r="Q126" s="69" t="str">
        <f t="shared" si="76"/>
        <v/>
      </c>
      <c r="R126" s="79" t="str">
        <f t="shared" si="77"/>
        <v/>
      </c>
      <c r="S126" s="80" t="str">
        <f t="shared" si="79"/>
        <v/>
      </c>
      <c r="T126" s="81" t="str">
        <f t="shared" si="67"/>
        <v/>
      </c>
      <c r="U126" s="81" t="str">
        <f t="shared" si="68"/>
        <v/>
      </c>
      <c r="V126" s="80" t="str">
        <f t="shared" si="80"/>
        <v/>
      </c>
      <c r="W126" s="80" t="str">
        <f t="shared" si="81"/>
        <v/>
      </c>
      <c r="X126" s="80" t="str">
        <f t="shared" si="82"/>
        <v/>
      </c>
      <c r="Y126" s="89" t="str">
        <f t="shared" si="83"/>
        <v/>
      </c>
      <c r="Z126" s="88" t="str">
        <f t="shared" si="71"/>
        <v/>
      </c>
      <c r="AA126" s="88" t="str">
        <f t="shared" si="72"/>
        <v/>
      </c>
      <c r="AB126" s="88" t="str">
        <f t="shared" si="73"/>
        <v/>
      </c>
      <c r="AC126" s="88" t="str">
        <f t="shared" si="65"/>
        <v/>
      </c>
      <c r="AD126" s="95"/>
      <c r="AE126" s="96" t="str">
        <f t="shared" si="78"/>
        <v/>
      </c>
      <c r="AF126" s="97"/>
      <c r="AG126" s="104"/>
      <c r="AH126" s="104"/>
      <c r="AI126" s="105"/>
      <c r="AJ126" s="107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20"/>
      <c r="BR126" s="121"/>
      <c r="BS126" s="121"/>
      <c r="BT126" s="121"/>
      <c r="BU126" s="121"/>
      <c r="BV126" s="121"/>
      <c r="BW126" s="121"/>
      <c r="BX126" s="121"/>
      <c r="BY126" s="121"/>
      <c r="BZ126" s="121"/>
      <c r="CA126" s="121"/>
      <c r="CB126" s="121"/>
      <c r="CC126" s="121"/>
      <c r="CD126" s="121"/>
      <c r="CE126" s="121"/>
      <c r="CF126" s="121"/>
      <c r="CG126" s="121"/>
      <c r="CH126" s="123"/>
      <c r="CI126" s="121"/>
      <c r="CJ126" s="121"/>
      <c r="CK126" s="121"/>
      <c r="CL126" s="121"/>
      <c r="CM126" s="121"/>
      <c r="CN126" s="121"/>
      <c r="CO126" s="121"/>
      <c r="CP126" s="121"/>
      <c r="CQ126" s="121"/>
      <c r="CR126" s="121"/>
      <c r="CS126" s="121"/>
      <c r="CT126" s="121"/>
      <c r="CU126" s="121"/>
      <c r="CV126" s="121"/>
      <c r="CW126" s="121"/>
      <c r="CX126" s="121"/>
      <c r="CY126" s="121"/>
      <c r="CZ126" s="121"/>
      <c r="DA126" s="121"/>
      <c r="DB126" s="121"/>
      <c r="DC126" s="121"/>
      <c r="DD126" s="121"/>
      <c r="DE126" s="121"/>
      <c r="DF126" s="121"/>
      <c r="DG126" s="121"/>
      <c r="DH126" s="121"/>
      <c r="DI126" s="121"/>
      <c r="DJ126" s="121"/>
      <c r="DK126" s="121"/>
      <c r="DL126" s="121"/>
      <c r="DM126" s="121"/>
      <c r="DN126" s="121"/>
      <c r="DO126" s="121"/>
      <c r="DP126" s="121"/>
      <c r="DQ126" s="121"/>
      <c r="DR126" s="121"/>
      <c r="DS126" s="121"/>
      <c r="DT126" s="121"/>
      <c r="DU126" s="121"/>
      <c r="DV126" s="121"/>
      <c r="DW126" s="121"/>
      <c r="DX126" s="121"/>
      <c r="DY126" s="121"/>
      <c r="DZ126" s="121"/>
      <c r="EA126" s="121"/>
      <c r="EB126" s="121"/>
      <c r="EC126" s="121"/>
      <c r="ED126" s="121"/>
      <c r="EE126" s="121"/>
      <c r="EF126" s="121"/>
    </row>
    <row r="127" ht="15" customHeight="1" spans="1:136">
      <c r="A127" s="34">
        <v>39</v>
      </c>
      <c r="B127" s="125"/>
      <c r="C127" s="126"/>
      <c r="D127" s="127"/>
      <c r="E127" s="49"/>
      <c r="F127" s="50"/>
      <c r="G127" s="51"/>
      <c r="H127" s="52"/>
      <c r="I127" s="52"/>
      <c r="J127" s="59"/>
      <c r="K127" s="60"/>
      <c r="L127" s="61" t="str">
        <f t="shared" si="69"/>
        <v/>
      </c>
      <c r="M127" s="70" t="str">
        <f t="shared" si="70"/>
        <v/>
      </c>
      <c r="N127" s="71"/>
      <c r="O127" s="69" t="str">
        <f t="shared" si="74"/>
        <v/>
      </c>
      <c r="P127" s="69" t="str">
        <f t="shared" si="75"/>
        <v/>
      </c>
      <c r="Q127" s="69" t="str">
        <f t="shared" si="76"/>
        <v/>
      </c>
      <c r="R127" s="79" t="str">
        <f t="shared" si="77"/>
        <v/>
      </c>
      <c r="S127" s="80" t="str">
        <f t="shared" si="79"/>
        <v/>
      </c>
      <c r="T127" s="81" t="str">
        <f t="shared" si="67"/>
        <v/>
      </c>
      <c r="U127" s="81" t="str">
        <f t="shared" si="68"/>
        <v/>
      </c>
      <c r="V127" s="80" t="str">
        <f t="shared" si="80"/>
        <v/>
      </c>
      <c r="W127" s="80" t="str">
        <f t="shared" si="81"/>
        <v/>
      </c>
      <c r="X127" s="80" t="str">
        <f t="shared" si="82"/>
        <v/>
      </c>
      <c r="Y127" s="89" t="str">
        <f t="shared" si="83"/>
        <v/>
      </c>
      <c r="Z127" s="88" t="str">
        <f t="shared" si="71"/>
        <v/>
      </c>
      <c r="AA127" s="88" t="str">
        <f t="shared" si="72"/>
        <v/>
      </c>
      <c r="AB127" s="88" t="str">
        <f t="shared" si="73"/>
        <v/>
      </c>
      <c r="AC127" s="88" t="str">
        <f t="shared" si="65"/>
        <v/>
      </c>
      <c r="AD127" s="95"/>
      <c r="AE127" s="96" t="str">
        <f t="shared" si="78"/>
        <v/>
      </c>
      <c r="AF127" s="97"/>
      <c r="AG127" s="104"/>
      <c r="AH127" s="104"/>
      <c r="AI127" s="105"/>
      <c r="AJ127" s="107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20"/>
      <c r="BR127" s="121"/>
      <c r="BS127" s="121"/>
      <c r="BT127" s="121"/>
      <c r="BU127" s="121"/>
      <c r="BV127" s="121"/>
      <c r="BW127" s="121"/>
      <c r="BX127" s="121"/>
      <c r="BY127" s="121"/>
      <c r="BZ127" s="121"/>
      <c r="CA127" s="121"/>
      <c r="CB127" s="121"/>
      <c r="CC127" s="121"/>
      <c r="CD127" s="121"/>
      <c r="CE127" s="121"/>
      <c r="CF127" s="121"/>
      <c r="CG127" s="121"/>
      <c r="CH127" s="121"/>
      <c r="CI127" s="121"/>
      <c r="CJ127" s="121"/>
      <c r="CK127" s="121"/>
      <c r="CL127" s="121"/>
      <c r="CM127" s="121"/>
      <c r="CN127" s="121"/>
      <c r="CO127" s="121"/>
      <c r="CP127" s="121"/>
      <c r="CQ127" s="121"/>
      <c r="CR127" s="121"/>
      <c r="CS127" s="121"/>
      <c r="CT127" s="121"/>
      <c r="CU127" s="121"/>
      <c r="CV127" s="121"/>
      <c r="CW127" s="121"/>
      <c r="CX127" s="121"/>
      <c r="CY127" s="121"/>
      <c r="CZ127" s="121"/>
      <c r="DA127" s="121"/>
      <c r="DB127" s="121"/>
      <c r="DC127" s="121"/>
      <c r="DD127" s="121"/>
      <c r="DE127" s="121"/>
      <c r="DF127" s="121"/>
      <c r="DG127" s="121"/>
      <c r="DH127" s="121"/>
      <c r="DI127" s="121"/>
      <c r="DJ127" s="121"/>
      <c r="DK127" s="121"/>
      <c r="DL127" s="121"/>
      <c r="DM127" s="121"/>
      <c r="DN127" s="121"/>
      <c r="DO127" s="121"/>
      <c r="DP127" s="121"/>
      <c r="DQ127" s="121"/>
      <c r="DR127" s="121"/>
      <c r="DS127" s="121"/>
      <c r="DT127" s="121"/>
      <c r="DU127" s="121"/>
      <c r="DV127" s="121"/>
      <c r="DW127" s="121"/>
      <c r="DX127" s="121"/>
      <c r="DY127" s="121"/>
      <c r="DZ127" s="121"/>
      <c r="EA127" s="121"/>
      <c r="EB127" s="121"/>
      <c r="EC127" s="121"/>
      <c r="ED127" s="121"/>
      <c r="EE127" s="121"/>
      <c r="EF127" s="121"/>
    </row>
    <row r="128" ht="15" customHeight="1" spans="1:136">
      <c r="A128" s="34">
        <v>40</v>
      </c>
      <c r="B128" s="125"/>
      <c r="C128" s="126"/>
      <c r="D128" s="127"/>
      <c r="E128" s="49"/>
      <c r="F128" s="50"/>
      <c r="G128" s="51"/>
      <c r="H128" s="52"/>
      <c r="I128" s="52"/>
      <c r="J128" s="59"/>
      <c r="K128" s="60"/>
      <c r="L128" s="61" t="str">
        <f t="shared" si="69"/>
        <v/>
      </c>
      <c r="M128" s="70" t="str">
        <f t="shared" si="70"/>
        <v/>
      </c>
      <c r="N128" s="71"/>
      <c r="O128" s="69" t="str">
        <f t="shared" si="74"/>
        <v/>
      </c>
      <c r="P128" s="69" t="str">
        <f t="shared" si="75"/>
        <v/>
      </c>
      <c r="Q128" s="69" t="str">
        <f t="shared" si="76"/>
        <v/>
      </c>
      <c r="R128" s="79" t="str">
        <f t="shared" si="77"/>
        <v/>
      </c>
      <c r="S128" s="80" t="str">
        <f t="shared" si="79"/>
        <v/>
      </c>
      <c r="T128" s="81" t="str">
        <f t="shared" si="67"/>
        <v/>
      </c>
      <c r="U128" s="81" t="str">
        <f t="shared" si="68"/>
        <v/>
      </c>
      <c r="V128" s="80" t="str">
        <f t="shared" si="80"/>
        <v/>
      </c>
      <c r="W128" s="80" t="str">
        <f t="shared" si="81"/>
        <v/>
      </c>
      <c r="X128" s="80" t="str">
        <f t="shared" si="82"/>
        <v/>
      </c>
      <c r="Y128" s="89" t="str">
        <f t="shared" si="83"/>
        <v/>
      </c>
      <c r="Z128" s="88" t="str">
        <f t="shared" si="71"/>
        <v/>
      </c>
      <c r="AA128" s="88" t="str">
        <f t="shared" si="72"/>
        <v/>
      </c>
      <c r="AB128" s="88" t="str">
        <f t="shared" si="73"/>
        <v/>
      </c>
      <c r="AC128" s="88" t="str">
        <f t="shared" si="65"/>
        <v/>
      </c>
      <c r="AD128" s="95"/>
      <c r="AE128" s="96" t="str">
        <f t="shared" si="78"/>
        <v/>
      </c>
      <c r="AF128" s="97"/>
      <c r="AG128" s="104"/>
      <c r="AH128" s="104"/>
      <c r="AI128" s="105"/>
      <c r="AJ128" s="107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20"/>
      <c r="BR128" s="121"/>
      <c r="BS128" s="121"/>
      <c r="BT128" s="121"/>
      <c r="BU128" s="121"/>
      <c r="BV128" s="121"/>
      <c r="BW128" s="121"/>
      <c r="BX128" s="121"/>
      <c r="BY128" s="121"/>
      <c r="BZ128" s="121"/>
      <c r="CA128" s="121"/>
      <c r="CB128" s="121"/>
      <c r="CC128" s="121"/>
      <c r="CD128" s="121"/>
      <c r="CE128" s="121"/>
      <c r="CF128" s="121"/>
      <c r="CG128" s="121"/>
      <c r="CH128" s="121"/>
      <c r="CI128" s="121"/>
      <c r="CJ128" s="121"/>
      <c r="CK128" s="121"/>
      <c r="CL128" s="121"/>
      <c r="CM128" s="121"/>
      <c r="CN128" s="121"/>
      <c r="CO128" s="121"/>
      <c r="CP128" s="121"/>
      <c r="CQ128" s="121"/>
      <c r="CR128" s="121"/>
      <c r="CS128" s="121"/>
      <c r="CT128" s="121"/>
      <c r="CU128" s="121"/>
      <c r="CV128" s="121"/>
      <c r="CW128" s="121"/>
      <c r="CX128" s="121"/>
      <c r="CY128" s="121"/>
      <c r="CZ128" s="121"/>
      <c r="DA128" s="121"/>
      <c r="DB128" s="121"/>
      <c r="DC128" s="121"/>
      <c r="DD128" s="121"/>
      <c r="DE128" s="121"/>
      <c r="DF128" s="121"/>
      <c r="DG128" s="121"/>
      <c r="DH128" s="121"/>
      <c r="DI128" s="121"/>
      <c r="DJ128" s="121"/>
      <c r="DK128" s="121"/>
      <c r="DL128" s="121"/>
      <c r="DM128" s="121"/>
      <c r="DN128" s="121"/>
      <c r="DO128" s="121"/>
      <c r="DP128" s="121"/>
      <c r="DQ128" s="121"/>
      <c r="DR128" s="121"/>
      <c r="DS128" s="121"/>
      <c r="DT128" s="121"/>
      <c r="DU128" s="121"/>
      <c r="DV128" s="121"/>
      <c r="DW128" s="121"/>
      <c r="DX128" s="121"/>
      <c r="DY128" s="121"/>
      <c r="DZ128" s="121"/>
      <c r="EA128" s="121"/>
      <c r="EB128" s="121"/>
      <c r="EC128" s="121"/>
      <c r="ED128" s="121"/>
      <c r="EE128" s="121"/>
      <c r="EF128" s="121"/>
    </row>
    <row r="129" ht="15" customHeight="1" spans="1:136">
      <c r="A129" s="34">
        <v>41</v>
      </c>
      <c r="B129" s="125"/>
      <c r="C129" s="126"/>
      <c r="D129" s="127"/>
      <c r="E129" s="49"/>
      <c r="F129" s="50"/>
      <c r="G129" s="51"/>
      <c r="H129" s="52"/>
      <c r="I129" s="52"/>
      <c r="J129" s="59"/>
      <c r="K129" s="60"/>
      <c r="L129" s="61" t="str">
        <f t="shared" si="69"/>
        <v/>
      </c>
      <c r="M129" s="70" t="str">
        <f t="shared" si="70"/>
        <v/>
      </c>
      <c r="N129" s="71"/>
      <c r="O129" s="69" t="str">
        <f t="shared" si="74"/>
        <v/>
      </c>
      <c r="P129" s="69" t="str">
        <f t="shared" si="75"/>
        <v/>
      </c>
      <c r="Q129" s="69" t="str">
        <f t="shared" si="76"/>
        <v/>
      </c>
      <c r="R129" s="79" t="str">
        <f t="shared" si="77"/>
        <v/>
      </c>
      <c r="S129" s="80" t="str">
        <f t="shared" si="79"/>
        <v/>
      </c>
      <c r="T129" s="81" t="str">
        <f t="shared" si="67"/>
        <v/>
      </c>
      <c r="U129" s="81" t="str">
        <f t="shared" si="68"/>
        <v/>
      </c>
      <c r="V129" s="80" t="str">
        <f t="shared" si="80"/>
        <v/>
      </c>
      <c r="W129" s="80" t="str">
        <f t="shared" si="81"/>
        <v/>
      </c>
      <c r="X129" s="80" t="str">
        <f t="shared" si="82"/>
        <v/>
      </c>
      <c r="Y129" s="89" t="str">
        <f t="shared" si="83"/>
        <v/>
      </c>
      <c r="Z129" s="88" t="str">
        <f t="shared" si="71"/>
        <v/>
      </c>
      <c r="AA129" s="88" t="str">
        <f t="shared" si="72"/>
        <v/>
      </c>
      <c r="AB129" s="88" t="str">
        <f t="shared" si="73"/>
        <v/>
      </c>
      <c r="AC129" s="88" t="str">
        <f t="shared" si="65"/>
        <v/>
      </c>
      <c r="AD129" s="95"/>
      <c r="AE129" s="96" t="str">
        <f t="shared" si="78"/>
        <v/>
      </c>
      <c r="AF129" s="97"/>
      <c r="AG129" s="104"/>
      <c r="AH129" s="104"/>
      <c r="AI129" s="105"/>
      <c r="AJ129" s="107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20"/>
      <c r="BR129" s="121"/>
      <c r="BS129" s="121"/>
      <c r="BT129" s="121"/>
      <c r="BU129" s="121"/>
      <c r="BV129" s="121"/>
      <c r="BW129" s="121"/>
      <c r="BX129" s="121"/>
      <c r="BY129" s="121"/>
      <c r="BZ129" s="121"/>
      <c r="CA129" s="121"/>
      <c r="CB129" s="121"/>
      <c r="CC129" s="121"/>
      <c r="CD129" s="121"/>
      <c r="CE129" s="121"/>
      <c r="CF129" s="121"/>
      <c r="CG129" s="121"/>
      <c r="CH129" s="121"/>
      <c r="CI129" s="121"/>
      <c r="CJ129" s="121"/>
      <c r="CK129" s="121"/>
      <c r="CL129" s="121"/>
      <c r="CM129" s="121"/>
      <c r="CN129" s="121"/>
      <c r="CO129" s="121"/>
      <c r="CP129" s="121"/>
      <c r="CQ129" s="121"/>
      <c r="CR129" s="121"/>
      <c r="CS129" s="121"/>
      <c r="CT129" s="121"/>
      <c r="CU129" s="121"/>
      <c r="CV129" s="121"/>
      <c r="CW129" s="121"/>
      <c r="CX129" s="121"/>
      <c r="CY129" s="121"/>
      <c r="CZ129" s="121"/>
      <c r="DA129" s="121"/>
      <c r="DB129" s="121"/>
      <c r="DC129" s="121"/>
      <c r="DD129" s="121"/>
      <c r="DE129" s="121"/>
      <c r="DF129" s="121"/>
      <c r="DG129" s="121"/>
      <c r="DH129" s="121"/>
      <c r="DI129" s="121"/>
      <c r="DJ129" s="121"/>
      <c r="DK129" s="121"/>
      <c r="DL129" s="121"/>
      <c r="DM129" s="121"/>
      <c r="DN129" s="121"/>
      <c r="DO129" s="121"/>
      <c r="DP129" s="121"/>
      <c r="DQ129" s="121"/>
      <c r="DR129" s="121"/>
      <c r="DS129" s="121"/>
      <c r="DT129" s="121"/>
      <c r="DU129" s="121"/>
      <c r="DV129" s="121"/>
      <c r="DW129" s="121"/>
      <c r="DX129" s="121"/>
      <c r="DY129" s="121"/>
      <c r="DZ129" s="121"/>
      <c r="EA129" s="121"/>
      <c r="EB129" s="121"/>
      <c r="EC129" s="121"/>
      <c r="ED129" s="121"/>
      <c r="EE129" s="121"/>
      <c r="EF129" s="121"/>
    </row>
    <row r="130" ht="15" customHeight="1" spans="1:136">
      <c r="A130" s="34">
        <v>42</v>
      </c>
      <c r="B130" s="125"/>
      <c r="C130" s="126"/>
      <c r="D130" s="127"/>
      <c r="E130" s="49"/>
      <c r="F130" s="50"/>
      <c r="G130" s="51"/>
      <c r="H130" s="52"/>
      <c r="I130" s="52"/>
      <c r="J130" s="59"/>
      <c r="K130" s="60"/>
      <c r="L130" s="61" t="str">
        <f t="shared" si="69"/>
        <v/>
      </c>
      <c r="M130" s="70" t="str">
        <f t="shared" si="70"/>
        <v/>
      </c>
      <c r="N130" s="71"/>
      <c r="O130" s="69" t="str">
        <f t="shared" si="74"/>
        <v/>
      </c>
      <c r="P130" s="69" t="str">
        <f t="shared" si="75"/>
        <v/>
      </c>
      <c r="Q130" s="69" t="str">
        <f t="shared" si="76"/>
        <v/>
      </c>
      <c r="R130" s="79" t="str">
        <f t="shared" si="77"/>
        <v/>
      </c>
      <c r="S130" s="80" t="str">
        <f t="shared" si="79"/>
        <v/>
      </c>
      <c r="T130" s="81" t="str">
        <f t="shared" si="67"/>
        <v/>
      </c>
      <c r="U130" s="81" t="str">
        <f t="shared" si="68"/>
        <v/>
      </c>
      <c r="V130" s="80" t="str">
        <f t="shared" si="80"/>
        <v/>
      </c>
      <c r="W130" s="80" t="str">
        <f t="shared" si="81"/>
        <v/>
      </c>
      <c r="X130" s="80" t="str">
        <f t="shared" si="82"/>
        <v/>
      </c>
      <c r="Y130" s="89" t="str">
        <f t="shared" si="83"/>
        <v/>
      </c>
      <c r="Z130" s="88" t="str">
        <f t="shared" si="71"/>
        <v/>
      </c>
      <c r="AA130" s="88" t="str">
        <f t="shared" si="72"/>
        <v/>
      </c>
      <c r="AB130" s="88" t="str">
        <f t="shared" si="73"/>
        <v/>
      </c>
      <c r="AC130" s="88" t="str">
        <f t="shared" si="65"/>
        <v/>
      </c>
      <c r="AD130" s="95"/>
      <c r="AE130" s="96" t="str">
        <f t="shared" si="78"/>
        <v/>
      </c>
      <c r="AF130" s="97"/>
      <c r="AG130" s="104"/>
      <c r="AH130" s="104"/>
      <c r="AI130" s="105"/>
      <c r="AJ130" s="107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20"/>
      <c r="BR130" s="121"/>
      <c r="BS130" s="121"/>
      <c r="BT130" s="121"/>
      <c r="BU130" s="121"/>
      <c r="BV130" s="121"/>
      <c r="BW130" s="121"/>
      <c r="BX130" s="121"/>
      <c r="BY130" s="121"/>
      <c r="BZ130" s="121"/>
      <c r="CA130" s="121"/>
      <c r="CB130" s="121"/>
      <c r="CC130" s="121"/>
      <c r="CD130" s="121"/>
      <c r="CE130" s="121"/>
      <c r="CF130" s="121"/>
      <c r="CG130" s="121"/>
      <c r="CH130" s="121"/>
      <c r="CI130" s="121"/>
      <c r="CJ130" s="121"/>
      <c r="CK130" s="121"/>
      <c r="CL130" s="121"/>
      <c r="CM130" s="121"/>
      <c r="CN130" s="121"/>
      <c r="CO130" s="121"/>
      <c r="CP130" s="121"/>
      <c r="CQ130" s="121"/>
      <c r="CR130" s="121"/>
      <c r="CS130" s="121"/>
      <c r="CT130" s="121"/>
      <c r="CU130" s="121"/>
      <c r="CV130" s="121"/>
      <c r="CW130" s="121"/>
      <c r="CX130" s="121"/>
      <c r="CY130" s="121"/>
      <c r="CZ130" s="121"/>
      <c r="DA130" s="121"/>
      <c r="DB130" s="121"/>
      <c r="DC130" s="121"/>
      <c r="DD130" s="121"/>
      <c r="DE130" s="121"/>
      <c r="DF130" s="121"/>
      <c r="DG130" s="121"/>
      <c r="DH130" s="121"/>
      <c r="DI130" s="121"/>
      <c r="DJ130" s="121"/>
      <c r="DK130" s="121"/>
      <c r="DL130" s="121"/>
      <c r="DM130" s="121"/>
      <c r="DN130" s="121"/>
      <c r="DO130" s="121"/>
      <c r="DP130" s="121"/>
      <c r="DQ130" s="121"/>
      <c r="DR130" s="121"/>
      <c r="DS130" s="121"/>
      <c r="DT130" s="121"/>
      <c r="DU130" s="121"/>
      <c r="DV130" s="121"/>
      <c r="DW130" s="121"/>
      <c r="DX130" s="121"/>
      <c r="DY130" s="121"/>
      <c r="DZ130" s="121"/>
      <c r="EA130" s="121"/>
      <c r="EB130" s="121"/>
      <c r="EC130" s="121"/>
      <c r="ED130" s="121"/>
      <c r="EE130" s="121"/>
      <c r="EF130" s="121"/>
    </row>
    <row r="131" ht="15" customHeight="1" spans="1:136">
      <c r="A131" s="34">
        <v>43</v>
      </c>
      <c r="B131" s="125"/>
      <c r="C131" s="126"/>
      <c r="D131" s="127"/>
      <c r="E131" s="49"/>
      <c r="F131" s="50"/>
      <c r="G131" s="51"/>
      <c r="H131" s="52"/>
      <c r="I131" s="52"/>
      <c r="J131" s="59"/>
      <c r="K131" s="60"/>
      <c r="L131" s="61" t="str">
        <f t="shared" si="69"/>
        <v/>
      </c>
      <c r="M131" s="70" t="str">
        <f t="shared" si="70"/>
        <v/>
      </c>
      <c r="N131" s="71"/>
      <c r="O131" s="69" t="str">
        <f t="shared" si="74"/>
        <v/>
      </c>
      <c r="P131" s="69" t="str">
        <f t="shared" si="75"/>
        <v/>
      </c>
      <c r="Q131" s="69" t="str">
        <f t="shared" si="76"/>
        <v/>
      </c>
      <c r="R131" s="79" t="str">
        <f t="shared" si="77"/>
        <v/>
      </c>
      <c r="S131" s="80" t="str">
        <f t="shared" si="79"/>
        <v/>
      </c>
      <c r="T131" s="81" t="str">
        <f t="shared" si="67"/>
        <v/>
      </c>
      <c r="U131" s="81" t="str">
        <f t="shared" si="68"/>
        <v/>
      </c>
      <c r="V131" s="80" t="str">
        <f t="shared" si="80"/>
        <v/>
      </c>
      <c r="W131" s="80" t="str">
        <f t="shared" si="81"/>
        <v/>
      </c>
      <c r="X131" s="80" t="str">
        <f t="shared" si="82"/>
        <v/>
      </c>
      <c r="Y131" s="89" t="str">
        <f t="shared" si="83"/>
        <v/>
      </c>
      <c r="Z131" s="88" t="str">
        <f t="shared" si="71"/>
        <v/>
      </c>
      <c r="AA131" s="88" t="str">
        <f t="shared" si="72"/>
        <v/>
      </c>
      <c r="AB131" s="88" t="str">
        <f t="shared" si="73"/>
        <v/>
      </c>
      <c r="AC131" s="88" t="str">
        <f t="shared" si="65"/>
        <v/>
      </c>
      <c r="AD131" s="95"/>
      <c r="AE131" s="96" t="str">
        <f t="shared" si="78"/>
        <v/>
      </c>
      <c r="AF131" s="97"/>
      <c r="AG131" s="104"/>
      <c r="AH131" s="104"/>
      <c r="AI131" s="105"/>
      <c r="AJ131" s="107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20"/>
      <c r="BR131" s="121"/>
      <c r="BS131" s="121"/>
      <c r="BT131" s="121"/>
      <c r="BU131" s="121"/>
      <c r="BV131" s="121"/>
      <c r="BW131" s="121"/>
      <c r="BX131" s="121"/>
      <c r="BY131" s="121"/>
      <c r="BZ131" s="121"/>
      <c r="CA131" s="121"/>
      <c r="CB131" s="121"/>
      <c r="CC131" s="121"/>
      <c r="CD131" s="121"/>
      <c r="CE131" s="121"/>
      <c r="CF131" s="121"/>
      <c r="CG131" s="121"/>
      <c r="CH131" s="121"/>
      <c r="CI131" s="121"/>
      <c r="CJ131" s="121"/>
      <c r="CK131" s="121"/>
      <c r="CL131" s="121"/>
      <c r="CM131" s="121"/>
      <c r="CN131" s="121"/>
      <c r="CO131" s="121"/>
      <c r="CP131" s="121"/>
      <c r="CQ131" s="121"/>
      <c r="CR131" s="121"/>
      <c r="CS131" s="121"/>
      <c r="CT131" s="121"/>
      <c r="CU131" s="121"/>
      <c r="CV131" s="121"/>
      <c r="CW131" s="121"/>
      <c r="CX131" s="121"/>
      <c r="CY131" s="121"/>
      <c r="CZ131" s="121"/>
      <c r="DA131" s="121"/>
      <c r="DB131" s="121"/>
      <c r="DC131" s="121"/>
      <c r="DD131" s="121"/>
      <c r="DE131" s="121"/>
      <c r="DF131" s="121"/>
      <c r="DG131" s="121"/>
      <c r="DH131" s="121"/>
      <c r="DI131" s="121"/>
      <c r="DJ131" s="121"/>
      <c r="DK131" s="121"/>
      <c r="DL131" s="121"/>
      <c r="DM131" s="121"/>
      <c r="DN131" s="121"/>
      <c r="DO131" s="121"/>
      <c r="DP131" s="121"/>
      <c r="DQ131" s="121"/>
      <c r="DR131" s="121"/>
      <c r="DS131" s="121"/>
      <c r="DT131" s="121"/>
      <c r="DU131" s="121"/>
      <c r="DV131" s="121"/>
      <c r="DW131" s="121"/>
      <c r="DX131" s="121"/>
      <c r="DY131" s="121"/>
      <c r="DZ131" s="121"/>
      <c r="EA131" s="121"/>
      <c r="EB131" s="121"/>
      <c r="EC131" s="121"/>
      <c r="ED131" s="121"/>
      <c r="EE131" s="121"/>
      <c r="EF131" s="121"/>
    </row>
    <row r="132" ht="15" customHeight="1" spans="1:136">
      <c r="A132" s="34">
        <v>44</v>
      </c>
      <c r="B132" s="125"/>
      <c r="C132" s="126"/>
      <c r="D132" s="127"/>
      <c r="E132" s="49"/>
      <c r="F132" s="50"/>
      <c r="G132" s="51"/>
      <c r="H132" s="52"/>
      <c r="I132" s="52"/>
      <c r="J132" s="59"/>
      <c r="K132" s="60"/>
      <c r="L132" s="61" t="str">
        <f t="shared" si="69"/>
        <v/>
      </c>
      <c r="M132" s="70" t="str">
        <f t="shared" si="70"/>
        <v/>
      </c>
      <c r="N132" s="71"/>
      <c r="O132" s="69" t="str">
        <f t="shared" si="74"/>
        <v/>
      </c>
      <c r="P132" s="69" t="str">
        <f t="shared" si="75"/>
        <v/>
      </c>
      <c r="Q132" s="69" t="str">
        <f t="shared" si="76"/>
        <v/>
      </c>
      <c r="R132" s="79" t="str">
        <f t="shared" si="77"/>
        <v/>
      </c>
      <c r="S132" s="80" t="str">
        <f t="shared" si="79"/>
        <v/>
      </c>
      <c r="T132" s="81" t="str">
        <f t="shared" si="67"/>
        <v/>
      </c>
      <c r="U132" s="81" t="str">
        <f t="shared" si="68"/>
        <v/>
      </c>
      <c r="V132" s="80" t="str">
        <f t="shared" si="80"/>
        <v/>
      </c>
      <c r="W132" s="80" t="str">
        <f t="shared" si="81"/>
        <v/>
      </c>
      <c r="X132" s="80" t="str">
        <f t="shared" si="82"/>
        <v/>
      </c>
      <c r="Y132" s="89" t="str">
        <f t="shared" si="83"/>
        <v/>
      </c>
      <c r="Z132" s="88" t="str">
        <f t="shared" si="71"/>
        <v/>
      </c>
      <c r="AA132" s="88" t="str">
        <f t="shared" si="72"/>
        <v/>
      </c>
      <c r="AB132" s="88" t="str">
        <f t="shared" si="73"/>
        <v/>
      </c>
      <c r="AC132" s="88" t="str">
        <f t="shared" si="65"/>
        <v/>
      </c>
      <c r="AD132" s="95"/>
      <c r="AE132" s="96" t="str">
        <f t="shared" si="78"/>
        <v/>
      </c>
      <c r="AF132" s="97"/>
      <c r="AG132" s="104"/>
      <c r="AH132" s="104"/>
      <c r="AI132" s="105"/>
      <c r="AJ132" s="107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20"/>
      <c r="BR132" s="121"/>
      <c r="BS132" s="121"/>
      <c r="BT132" s="121"/>
      <c r="BU132" s="121"/>
      <c r="BV132" s="121"/>
      <c r="BW132" s="121"/>
      <c r="BX132" s="121"/>
      <c r="BY132" s="121"/>
      <c r="BZ132" s="121"/>
      <c r="CA132" s="121"/>
      <c r="CB132" s="121"/>
      <c r="CC132" s="121"/>
      <c r="CD132" s="121"/>
      <c r="CE132" s="121"/>
      <c r="CF132" s="121"/>
      <c r="CG132" s="121"/>
      <c r="CH132" s="121"/>
      <c r="CI132" s="121"/>
      <c r="CJ132" s="121"/>
      <c r="CK132" s="121"/>
      <c r="CL132" s="121"/>
      <c r="CM132" s="121"/>
      <c r="CN132" s="121"/>
      <c r="CO132" s="121"/>
      <c r="CP132" s="121"/>
      <c r="CQ132" s="121"/>
      <c r="CR132" s="121"/>
      <c r="CS132" s="121"/>
      <c r="CT132" s="121"/>
      <c r="CU132" s="121"/>
      <c r="CV132" s="121"/>
      <c r="CW132" s="121"/>
      <c r="CX132" s="121"/>
      <c r="CY132" s="121"/>
      <c r="CZ132" s="121"/>
      <c r="DA132" s="121"/>
      <c r="DB132" s="121"/>
      <c r="DC132" s="121"/>
      <c r="DD132" s="121"/>
      <c r="DE132" s="121"/>
      <c r="DF132" s="121"/>
      <c r="DG132" s="121"/>
      <c r="DH132" s="121"/>
      <c r="DI132" s="121"/>
      <c r="DJ132" s="121"/>
      <c r="DK132" s="121"/>
      <c r="DL132" s="121"/>
      <c r="DM132" s="121"/>
      <c r="DN132" s="121"/>
      <c r="DO132" s="121"/>
      <c r="DP132" s="121"/>
      <c r="DQ132" s="121"/>
      <c r="DR132" s="121"/>
      <c r="DS132" s="121"/>
      <c r="DT132" s="121"/>
      <c r="DU132" s="121"/>
      <c r="DV132" s="121"/>
      <c r="DW132" s="121"/>
      <c r="DX132" s="121"/>
      <c r="DY132" s="121"/>
      <c r="DZ132" s="121"/>
      <c r="EA132" s="121"/>
      <c r="EB132" s="121"/>
      <c r="EC132" s="121"/>
      <c r="ED132" s="121"/>
      <c r="EE132" s="121"/>
      <c r="EF132" s="121"/>
    </row>
    <row r="133" ht="15" customHeight="1" spans="1:136">
      <c r="A133" s="34">
        <v>45</v>
      </c>
      <c r="B133" s="125"/>
      <c r="C133" s="126"/>
      <c r="D133" s="127"/>
      <c r="E133" s="49"/>
      <c r="F133" s="50"/>
      <c r="G133" s="51"/>
      <c r="H133" s="52"/>
      <c r="I133" s="52"/>
      <c r="J133" s="59"/>
      <c r="K133" s="60"/>
      <c r="L133" s="61" t="str">
        <f t="shared" si="69"/>
        <v/>
      </c>
      <c r="M133" s="70" t="str">
        <f t="shared" si="70"/>
        <v/>
      </c>
      <c r="N133" s="71"/>
      <c r="O133" s="69" t="str">
        <f t="shared" si="74"/>
        <v/>
      </c>
      <c r="P133" s="69" t="str">
        <f t="shared" si="75"/>
        <v/>
      </c>
      <c r="Q133" s="69" t="str">
        <f t="shared" si="76"/>
        <v/>
      </c>
      <c r="R133" s="79" t="str">
        <f t="shared" si="77"/>
        <v/>
      </c>
      <c r="S133" s="80" t="str">
        <f t="shared" si="79"/>
        <v/>
      </c>
      <c r="T133" s="81" t="str">
        <f t="shared" si="67"/>
        <v/>
      </c>
      <c r="U133" s="81" t="str">
        <f t="shared" si="68"/>
        <v/>
      </c>
      <c r="V133" s="80" t="str">
        <f t="shared" si="80"/>
        <v/>
      </c>
      <c r="W133" s="80" t="str">
        <f t="shared" si="81"/>
        <v/>
      </c>
      <c r="X133" s="80" t="str">
        <f t="shared" si="82"/>
        <v/>
      </c>
      <c r="Y133" s="89" t="str">
        <f t="shared" si="83"/>
        <v/>
      </c>
      <c r="Z133" s="88" t="str">
        <f t="shared" si="71"/>
        <v/>
      </c>
      <c r="AA133" s="88" t="str">
        <f t="shared" si="72"/>
        <v/>
      </c>
      <c r="AB133" s="88" t="str">
        <f t="shared" si="73"/>
        <v/>
      </c>
      <c r="AC133" s="88" t="str">
        <f t="shared" si="65"/>
        <v/>
      </c>
      <c r="AD133" s="95"/>
      <c r="AE133" s="96" t="str">
        <f t="shared" si="78"/>
        <v/>
      </c>
      <c r="AF133" s="97"/>
      <c r="AG133" s="104"/>
      <c r="AH133" s="104"/>
      <c r="AI133" s="105"/>
      <c r="AJ133" s="107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20"/>
      <c r="BR133" s="121"/>
      <c r="BS133" s="121"/>
      <c r="BT133" s="121"/>
      <c r="BU133" s="121"/>
      <c r="BV133" s="121"/>
      <c r="BW133" s="121"/>
      <c r="BX133" s="121"/>
      <c r="BY133" s="121"/>
      <c r="BZ133" s="121"/>
      <c r="CA133" s="121"/>
      <c r="CB133" s="121"/>
      <c r="CC133" s="121"/>
      <c r="CD133" s="121"/>
      <c r="CE133" s="121"/>
      <c r="CF133" s="121"/>
      <c r="CG133" s="121"/>
      <c r="CH133" s="121"/>
      <c r="CI133" s="121"/>
      <c r="CJ133" s="121"/>
      <c r="CK133" s="121"/>
      <c r="CL133" s="121"/>
      <c r="CM133" s="121"/>
      <c r="CN133" s="121"/>
      <c r="CO133" s="121"/>
      <c r="CP133" s="121"/>
      <c r="CQ133" s="121"/>
      <c r="CR133" s="121"/>
      <c r="CS133" s="121"/>
      <c r="CT133" s="121"/>
      <c r="CU133" s="121"/>
      <c r="CV133" s="121"/>
      <c r="CW133" s="121"/>
      <c r="CX133" s="121"/>
      <c r="CY133" s="121"/>
      <c r="CZ133" s="121"/>
      <c r="DA133" s="121"/>
      <c r="DB133" s="121"/>
      <c r="DC133" s="121"/>
      <c r="DD133" s="121"/>
      <c r="DE133" s="121"/>
      <c r="DF133" s="121"/>
      <c r="DG133" s="121"/>
      <c r="DH133" s="121"/>
      <c r="DI133" s="121"/>
      <c r="DJ133" s="121"/>
      <c r="DK133" s="121"/>
      <c r="DL133" s="121"/>
      <c r="DM133" s="121"/>
      <c r="DN133" s="121"/>
      <c r="DO133" s="121"/>
      <c r="DP133" s="121"/>
      <c r="DQ133" s="121"/>
      <c r="DR133" s="121"/>
      <c r="DS133" s="121"/>
      <c r="DT133" s="121"/>
      <c r="DU133" s="121"/>
      <c r="DV133" s="121"/>
      <c r="DW133" s="121"/>
      <c r="DX133" s="121"/>
      <c r="DY133" s="121"/>
      <c r="DZ133" s="121"/>
      <c r="EA133" s="121"/>
      <c r="EB133" s="121"/>
      <c r="EC133" s="121"/>
      <c r="ED133" s="121"/>
      <c r="EE133" s="121"/>
      <c r="EF133" s="121"/>
    </row>
    <row r="134" ht="15" customHeight="1" spans="1:136">
      <c r="A134" s="34">
        <v>46</v>
      </c>
      <c r="B134" s="125"/>
      <c r="C134" s="126"/>
      <c r="D134" s="127"/>
      <c r="E134" s="49"/>
      <c r="F134" s="50"/>
      <c r="G134" s="51"/>
      <c r="H134" s="52"/>
      <c r="I134" s="52"/>
      <c r="J134" s="59"/>
      <c r="K134" s="60"/>
      <c r="L134" s="61" t="str">
        <f t="shared" si="69"/>
        <v/>
      </c>
      <c r="M134" s="70" t="str">
        <f t="shared" si="70"/>
        <v/>
      </c>
      <c r="N134" s="71"/>
      <c r="O134" s="69" t="str">
        <f t="shared" si="74"/>
        <v/>
      </c>
      <c r="P134" s="69" t="str">
        <f t="shared" si="75"/>
        <v/>
      </c>
      <c r="Q134" s="69" t="str">
        <f t="shared" si="76"/>
        <v/>
      </c>
      <c r="R134" s="79" t="str">
        <f t="shared" si="77"/>
        <v/>
      </c>
      <c r="S134" s="80" t="str">
        <f t="shared" si="79"/>
        <v/>
      </c>
      <c r="T134" s="81" t="str">
        <f t="shared" si="67"/>
        <v/>
      </c>
      <c r="U134" s="81" t="str">
        <f t="shared" si="68"/>
        <v/>
      </c>
      <c r="V134" s="80" t="str">
        <f t="shared" si="80"/>
        <v/>
      </c>
      <c r="W134" s="80" t="str">
        <f t="shared" si="81"/>
        <v/>
      </c>
      <c r="X134" s="80" t="str">
        <f t="shared" si="82"/>
        <v/>
      </c>
      <c r="Y134" s="89" t="str">
        <f t="shared" si="83"/>
        <v/>
      </c>
      <c r="Z134" s="88" t="str">
        <f t="shared" si="71"/>
        <v/>
      </c>
      <c r="AA134" s="88" t="str">
        <f t="shared" si="72"/>
        <v/>
      </c>
      <c r="AB134" s="88" t="str">
        <f t="shared" si="73"/>
        <v/>
      </c>
      <c r="AC134" s="88" t="str">
        <f t="shared" si="65"/>
        <v/>
      </c>
      <c r="AD134" s="95"/>
      <c r="AE134" s="96" t="str">
        <f t="shared" si="78"/>
        <v/>
      </c>
      <c r="AF134" s="97"/>
      <c r="AG134" s="104"/>
      <c r="AH134" s="104"/>
      <c r="AI134" s="105"/>
      <c r="AJ134" s="107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20"/>
      <c r="BR134" s="121"/>
      <c r="BS134" s="121"/>
      <c r="BT134" s="121"/>
      <c r="BU134" s="121"/>
      <c r="BV134" s="121"/>
      <c r="BW134" s="121"/>
      <c r="BX134" s="121"/>
      <c r="BY134" s="121"/>
      <c r="BZ134" s="121"/>
      <c r="CA134" s="121"/>
      <c r="CB134" s="121"/>
      <c r="CC134" s="121"/>
      <c r="CD134" s="121"/>
      <c r="CE134" s="121"/>
      <c r="CF134" s="121"/>
      <c r="CG134" s="121"/>
      <c r="CH134" s="121"/>
      <c r="CI134" s="121"/>
      <c r="CJ134" s="121"/>
      <c r="CK134" s="121"/>
      <c r="CL134" s="121"/>
      <c r="CM134" s="121"/>
      <c r="CN134" s="121"/>
      <c r="CO134" s="121"/>
      <c r="CP134" s="121"/>
      <c r="CQ134" s="121"/>
      <c r="CR134" s="121"/>
      <c r="CS134" s="121"/>
      <c r="CT134" s="121"/>
      <c r="CU134" s="121"/>
      <c r="CV134" s="121"/>
      <c r="CW134" s="121"/>
      <c r="CX134" s="121"/>
      <c r="CY134" s="121"/>
      <c r="CZ134" s="121"/>
      <c r="DA134" s="121"/>
      <c r="DB134" s="121"/>
      <c r="DC134" s="121"/>
      <c r="DD134" s="121"/>
      <c r="DE134" s="121"/>
      <c r="DF134" s="121"/>
      <c r="DG134" s="121"/>
      <c r="DH134" s="121"/>
      <c r="DI134" s="121"/>
      <c r="DJ134" s="121"/>
      <c r="DK134" s="121"/>
      <c r="DL134" s="121"/>
      <c r="DM134" s="121"/>
      <c r="DN134" s="121"/>
      <c r="DO134" s="121"/>
      <c r="DP134" s="121"/>
      <c r="DQ134" s="121"/>
      <c r="DR134" s="121"/>
      <c r="DS134" s="121"/>
      <c r="DT134" s="121"/>
      <c r="DU134" s="121"/>
      <c r="DV134" s="121"/>
      <c r="DW134" s="121"/>
      <c r="DX134" s="121"/>
      <c r="DY134" s="121"/>
      <c r="DZ134" s="121"/>
      <c r="EA134" s="121"/>
      <c r="EB134" s="121"/>
      <c r="EC134" s="121"/>
      <c r="ED134" s="121"/>
      <c r="EE134" s="121"/>
      <c r="EF134" s="121"/>
    </row>
    <row r="135" ht="15" customHeight="1" spans="1:136">
      <c r="A135" s="34">
        <v>47</v>
      </c>
      <c r="B135" s="125"/>
      <c r="C135" s="126"/>
      <c r="D135" s="127"/>
      <c r="E135" s="49"/>
      <c r="F135" s="50"/>
      <c r="G135" s="51"/>
      <c r="H135" s="52"/>
      <c r="I135" s="52"/>
      <c r="J135" s="59"/>
      <c r="K135" s="60"/>
      <c r="L135" s="61" t="str">
        <f t="shared" si="69"/>
        <v/>
      </c>
      <c r="M135" s="70" t="str">
        <f t="shared" si="70"/>
        <v/>
      </c>
      <c r="N135" s="71"/>
      <c r="O135" s="69" t="str">
        <f t="shared" si="74"/>
        <v/>
      </c>
      <c r="P135" s="69" t="str">
        <f t="shared" si="75"/>
        <v/>
      </c>
      <c r="Q135" s="69" t="str">
        <f t="shared" si="76"/>
        <v/>
      </c>
      <c r="R135" s="79" t="str">
        <f t="shared" si="77"/>
        <v/>
      </c>
      <c r="S135" s="80" t="str">
        <f t="shared" si="79"/>
        <v/>
      </c>
      <c r="T135" s="81" t="str">
        <f t="shared" si="67"/>
        <v/>
      </c>
      <c r="U135" s="81" t="str">
        <f t="shared" si="68"/>
        <v/>
      </c>
      <c r="V135" s="80" t="str">
        <f t="shared" si="80"/>
        <v/>
      </c>
      <c r="W135" s="80" t="str">
        <f t="shared" si="81"/>
        <v/>
      </c>
      <c r="X135" s="80" t="str">
        <f t="shared" si="82"/>
        <v/>
      </c>
      <c r="Y135" s="89" t="str">
        <f t="shared" si="83"/>
        <v/>
      </c>
      <c r="Z135" s="88" t="str">
        <f t="shared" si="71"/>
        <v/>
      </c>
      <c r="AA135" s="88" t="str">
        <f t="shared" si="72"/>
        <v/>
      </c>
      <c r="AB135" s="88" t="str">
        <f t="shared" si="73"/>
        <v/>
      </c>
      <c r="AC135" s="88" t="str">
        <f t="shared" si="65"/>
        <v/>
      </c>
      <c r="AD135" s="95"/>
      <c r="AE135" s="96" t="str">
        <f t="shared" si="78"/>
        <v/>
      </c>
      <c r="AF135" s="97"/>
      <c r="AG135" s="104"/>
      <c r="AH135" s="104"/>
      <c r="AI135" s="105"/>
      <c r="AJ135" s="107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20"/>
      <c r="BR135" s="121"/>
      <c r="BS135" s="121"/>
      <c r="BT135" s="121"/>
      <c r="BU135" s="121"/>
      <c r="BV135" s="121"/>
      <c r="BW135" s="121"/>
      <c r="BX135" s="121"/>
      <c r="BY135" s="121"/>
      <c r="BZ135" s="121"/>
      <c r="CA135" s="121"/>
      <c r="CB135" s="121"/>
      <c r="CC135" s="121"/>
      <c r="CD135" s="121"/>
      <c r="CE135" s="121"/>
      <c r="CF135" s="121"/>
      <c r="CG135" s="121"/>
      <c r="CH135" s="121"/>
      <c r="CI135" s="121"/>
      <c r="CJ135" s="121"/>
      <c r="CK135" s="121"/>
      <c r="CL135" s="121"/>
      <c r="CM135" s="121"/>
      <c r="CN135" s="121"/>
      <c r="CO135" s="121"/>
      <c r="CP135" s="121"/>
      <c r="CQ135" s="121"/>
      <c r="CR135" s="121"/>
      <c r="CS135" s="121"/>
      <c r="CT135" s="121"/>
      <c r="CU135" s="121"/>
      <c r="CV135" s="121"/>
      <c r="CW135" s="121"/>
      <c r="CX135" s="121"/>
      <c r="CY135" s="121"/>
      <c r="CZ135" s="121"/>
      <c r="DA135" s="121"/>
      <c r="DB135" s="121"/>
      <c r="DC135" s="121"/>
      <c r="DD135" s="121"/>
      <c r="DE135" s="121"/>
      <c r="DF135" s="121"/>
      <c r="DG135" s="121"/>
      <c r="DH135" s="121"/>
      <c r="DI135" s="121"/>
      <c r="DJ135" s="121"/>
      <c r="DK135" s="121"/>
      <c r="DL135" s="121"/>
      <c r="DM135" s="121"/>
      <c r="DN135" s="121"/>
      <c r="DO135" s="121"/>
      <c r="DP135" s="121"/>
      <c r="DQ135" s="121"/>
      <c r="DR135" s="121"/>
      <c r="DS135" s="121"/>
      <c r="DT135" s="121"/>
      <c r="DU135" s="121"/>
      <c r="DV135" s="121"/>
      <c r="DW135" s="121"/>
      <c r="DX135" s="121"/>
      <c r="DY135" s="121"/>
      <c r="DZ135" s="121"/>
      <c r="EA135" s="121"/>
      <c r="EB135" s="121"/>
      <c r="EC135" s="121"/>
      <c r="ED135" s="121"/>
      <c r="EE135" s="121"/>
      <c r="EF135" s="121"/>
    </row>
    <row r="136" ht="15" customHeight="1" spans="1:136">
      <c r="A136" s="34">
        <v>48</v>
      </c>
      <c r="B136" s="125"/>
      <c r="C136" s="126"/>
      <c r="D136" s="127"/>
      <c r="E136" s="49"/>
      <c r="F136" s="50"/>
      <c r="G136" s="51"/>
      <c r="H136" s="52"/>
      <c r="I136" s="52"/>
      <c r="J136" s="59"/>
      <c r="K136" s="60"/>
      <c r="L136" s="61" t="str">
        <f t="shared" si="69"/>
        <v/>
      </c>
      <c r="M136" s="70" t="str">
        <f t="shared" si="70"/>
        <v/>
      </c>
      <c r="N136" s="71"/>
      <c r="O136" s="69" t="str">
        <f t="shared" si="74"/>
        <v/>
      </c>
      <c r="P136" s="69" t="str">
        <f t="shared" si="75"/>
        <v/>
      </c>
      <c r="Q136" s="69" t="str">
        <f t="shared" si="76"/>
        <v/>
      </c>
      <c r="R136" s="79" t="str">
        <f t="shared" si="77"/>
        <v/>
      </c>
      <c r="S136" s="80" t="str">
        <f t="shared" si="79"/>
        <v/>
      </c>
      <c r="T136" s="81" t="str">
        <f t="shared" si="67"/>
        <v/>
      </c>
      <c r="U136" s="81" t="str">
        <f t="shared" si="68"/>
        <v/>
      </c>
      <c r="V136" s="80" t="str">
        <f t="shared" si="80"/>
        <v/>
      </c>
      <c r="W136" s="80" t="str">
        <f t="shared" si="81"/>
        <v/>
      </c>
      <c r="X136" s="80" t="str">
        <f t="shared" si="82"/>
        <v/>
      </c>
      <c r="Y136" s="89" t="str">
        <f t="shared" si="83"/>
        <v/>
      </c>
      <c r="Z136" s="88" t="str">
        <f t="shared" si="71"/>
        <v/>
      </c>
      <c r="AA136" s="88" t="str">
        <f t="shared" si="72"/>
        <v/>
      </c>
      <c r="AB136" s="88" t="str">
        <f t="shared" si="73"/>
        <v/>
      </c>
      <c r="AC136" s="88" t="str">
        <f t="shared" si="65"/>
        <v/>
      </c>
      <c r="AD136" s="95"/>
      <c r="AE136" s="96" t="str">
        <f t="shared" si="78"/>
        <v/>
      </c>
      <c r="AF136" s="97"/>
      <c r="AG136" s="104"/>
      <c r="AH136" s="104"/>
      <c r="AI136" s="105"/>
      <c r="AJ136" s="107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20"/>
      <c r="BR136" s="121"/>
      <c r="BS136" s="121"/>
      <c r="BT136" s="121"/>
      <c r="BU136" s="121"/>
      <c r="BV136" s="121"/>
      <c r="BW136" s="121"/>
      <c r="BX136" s="121"/>
      <c r="BY136" s="121"/>
      <c r="BZ136" s="121"/>
      <c r="CA136" s="121"/>
      <c r="CB136" s="121"/>
      <c r="CC136" s="121"/>
      <c r="CD136" s="121"/>
      <c r="CE136" s="121"/>
      <c r="CF136" s="121"/>
      <c r="CG136" s="121"/>
      <c r="CH136" s="121"/>
      <c r="CI136" s="121"/>
      <c r="CJ136" s="121"/>
      <c r="CK136" s="121"/>
      <c r="CL136" s="121"/>
      <c r="CM136" s="121"/>
      <c r="CN136" s="121"/>
      <c r="CO136" s="121"/>
      <c r="CP136" s="121"/>
      <c r="CQ136" s="121"/>
      <c r="CR136" s="121"/>
      <c r="CS136" s="121"/>
      <c r="CT136" s="121"/>
      <c r="CU136" s="121"/>
      <c r="CV136" s="121"/>
      <c r="CW136" s="121"/>
      <c r="CX136" s="121"/>
      <c r="CY136" s="121"/>
      <c r="CZ136" s="121"/>
      <c r="DA136" s="121"/>
      <c r="DB136" s="121"/>
      <c r="DC136" s="121"/>
      <c r="DD136" s="121"/>
      <c r="DE136" s="121"/>
      <c r="DF136" s="121"/>
      <c r="DG136" s="121"/>
      <c r="DH136" s="121"/>
      <c r="DI136" s="121"/>
      <c r="DJ136" s="121"/>
      <c r="DK136" s="121"/>
      <c r="DL136" s="121"/>
      <c r="DM136" s="121"/>
      <c r="DN136" s="121"/>
      <c r="DO136" s="121"/>
      <c r="DP136" s="121"/>
      <c r="DQ136" s="121"/>
      <c r="DR136" s="121"/>
      <c r="DS136" s="121"/>
      <c r="DT136" s="121"/>
      <c r="DU136" s="121"/>
      <c r="DV136" s="121"/>
      <c r="DW136" s="121"/>
      <c r="DX136" s="121"/>
      <c r="DY136" s="121"/>
      <c r="DZ136" s="121"/>
      <c r="EA136" s="121"/>
      <c r="EB136" s="121"/>
      <c r="EC136" s="121"/>
      <c r="ED136" s="121"/>
      <c r="EE136" s="121"/>
      <c r="EF136" s="121"/>
    </row>
    <row r="137" ht="15" customHeight="1" spans="1:136">
      <c r="A137" s="34">
        <v>2</v>
      </c>
      <c r="B137" s="125"/>
      <c r="C137" s="126"/>
      <c r="D137" s="128"/>
      <c r="E137" s="49"/>
      <c r="F137" s="50"/>
      <c r="G137" s="51"/>
      <c r="H137" s="52"/>
      <c r="I137" s="52"/>
      <c r="J137" s="59"/>
      <c r="K137" s="60"/>
      <c r="L137" s="61" t="str">
        <f t="shared" ref="L137:L138" si="84">IF(AND(G137="",H137=""),"",IF(G137="",H137,G137+H137))</f>
        <v/>
      </c>
      <c r="M137" s="70" t="str">
        <f t="shared" ref="M137:M138" si="85">IF(AND(G137="",I137=""),"",IF(G137="",I137,G137+I137))</f>
        <v/>
      </c>
      <c r="N137" s="68"/>
      <c r="O137" s="69" t="str">
        <f t="shared" si="74"/>
        <v/>
      </c>
      <c r="P137" s="69" t="str">
        <f t="shared" si="75"/>
        <v/>
      </c>
      <c r="Q137" s="69" t="str">
        <f t="shared" si="76"/>
        <v/>
      </c>
      <c r="R137" s="79" t="str">
        <f t="shared" si="77"/>
        <v/>
      </c>
      <c r="S137" s="80" t="str">
        <f t="shared" si="79"/>
        <v/>
      </c>
      <c r="T137" s="81" t="str">
        <f t="shared" si="67"/>
        <v/>
      </c>
      <c r="U137" s="81" t="str">
        <f t="shared" si="68"/>
        <v/>
      </c>
      <c r="V137" s="80" t="str">
        <f t="shared" si="80"/>
        <v/>
      </c>
      <c r="W137" s="80" t="str">
        <f t="shared" si="81"/>
        <v/>
      </c>
      <c r="X137" s="80" t="str">
        <f t="shared" si="82"/>
        <v/>
      </c>
      <c r="Y137" s="87" t="str">
        <f t="shared" si="83"/>
        <v/>
      </c>
      <c r="Z137" s="88" t="str">
        <f t="shared" ref="Z137:Z138" si="86">IF($Q137="","",IF(F137="Tolerance",IF(($E137*3*R137+Q137)-G137&lt;H137,"",($E137*3*R137+Q137)-G137),IF(OR(F137="GD&amp;T",F137="MAX"),IF(($E137*3*R137+Q137)&lt;H137,"",($E137*3*R137+Q137)),"")))</f>
        <v/>
      </c>
      <c r="AA137" s="88" t="str">
        <f t="shared" ref="AA137:AA138" si="87">IF(Q137="","",IF(F137="Tolerance",IF(-(($E137*3*R137)-Q137)-G137&gt;I137,"",-(($E137*3*R137)-Q137)-G137),IF(F137="MIN",IF(-(($E137*3*R137)-Q137)&gt;I137,"",-(($E137*3*R137)-Q137)),"")))</f>
        <v/>
      </c>
      <c r="AB137" s="88" t="str">
        <f t="shared" ref="AB137:AB138" si="88">IF(OR(G137="",Q137=""),"",(L137+M137)/2-Q137)</f>
        <v/>
      </c>
      <c r="AC137" s="88" t="str">
        <f t="shared" si="65"/>
        <v/>
      </c>
      <c r="AD137" s="95"/>
      <c r="AE137" s="96" t="str">
        <f t="shared" si="78"/>
        <v/>
      </c>
      <c r="AF137" s="97"/>
      <c r="AG137" s="104"/>
      <c r="AH137" s="104"/>
      <c r="AI137" s="105"/>
      <c r="AJ137" s="106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20"/>
      <c r="BR137" s="121"/>
      <c r="BS137" s="121"/>
      <c r="BT137" s="121"/>
      <c r="BU137" s="121"/>
      <c r="BV137" s="121"/>
      <c r="BW137" s="121"/>
      <c r="BX137" s="121"/>
      <c r="BY137" s="121"/>
      <c r="BZ137" s="121"/>
      <c r="CA137" s="121"/>
      <c r="CB137" s="121"/>
      <c r="CC137" s="121"/>
      <c r="CD137" s="121"/>
      <c r="CE137" s="121"/>
      <c r="CF137" s="121"/>
      <c r="CG137" s="121"/>
      <c r="CH137" s="121"/>
      <c r="CI137" s="121"/>
      <c r="CJ137" s="121"/>
      <c r="CK137" s="121"/>
      <c r="CL137" s="121"/>
      <c r="CM137" s="121"/>
      <c r="CN137" s="121"/>
      <c r="CO137" s="121"/>
      <c r="CP137" s="121"/>
      <c r="CQ137" s="121"/>
      <c r="CR137" s="121"/>
      <c r="CS137" s="121"/>
      <c r="CT137" s="121"/>
      <c r="CU137" s="121"/>
      <c r="CV137" s="121"/>
      <c r="CW137" s="121"/>
      <c r="CX137" s="121"/>
      <c r="CY137" s="121"/>
      <c r="CZ137" s="121"/>
      <c r="DA137" s="121"/>
      <c r="DB137" s="121"/>
      <c r="DC137" s="121"/>
      <c r="DD137" s="121"/>
      <c r="DE137" s="121"/>
      <c r="DF137" s="121"/>
      <c r="DG137" s="121"/>
      <c r="DH137" s="121"/>
      <c r="DI137" s="121"/>
      <c r="DJ137" s="121"/>
      <c r="DK137" s="121"/>
      <c r="DL137" s="121"/>
      <c r="DM137" s="121"/>
      <c r="DN137" s="121"/>
      <c r="DO137" s="121"/>
      <c r="DP137" s="121"/>
      <c r="DQ137" s="121"/>
      <c r="DR137" s="121"/>
      <c r="DS137" s="121"/>
      <c r="DT137" s="121"/>
      <c r="DU137" s="121"/>
      <c r="DV137" s="121"/>
      <c r="DW137" s="121"/>
      <c r="DX137" s="121"/>
      <c r="DY137" s="121"/>
      <c r="DZ137" s="121"/>
      <c r="EA137" s="121"/>
      <c r="EB137" s="121"/>
      <c r="EC137" s="121"/>
      <c r="ED137" s="121"/>
      <c r="EE137" s="121"/>
      <c r="EF137" s="121"/>
    </row>
    <row r="138" ht="15" customHeight="1" spans="1:136">
      <c r="A138" s="34">
        <v>2</v>
      </c>
      <c r="B138" s="125"/>
      <c r="C138" s="126"/>
      <c r="D138" s="128"/>
      <c r="E138" s="49"/>
      <c r="F138" s="50"/>
      <c r="G138" s="51"/>
      <c r="H138" s="52"/>
      <c r="I138" s="52"/>
      <c r="J138" s="59"/>
      <c r="K138" s="60"/>
      <c r="L138" s="61" t="str">
        <f t="shared" si="84"/>
        <v/>
      </c>
      <c r="M138" s="70" t="str">
        <f t="shared" si="85"/>
        <v/>
      </c>
      <c r="N138" s="68"/>
      <c r="O138" s="69" t="str">
        <f t="shared" si="74"/>
        <v/>
      </c>
      <c r="P138" s="69" t="str">
        <f t="shared" si="75"/>
        <v/>
      </c>
      <c r="Q138" s="69" t="str">
        <f t="shared" si="76"/>
        <v/>
      </c>
      <c r="R138" s="79" t="str">
        <f t="shared" si="77"/>
        <v/>
      </c>
      <c r="S138" s="80" t="str">
        <f t="shared" si="79"/>
        <v/>
      </c>
      <c r="T138" s="81" t="str">
        <f t="shared" si="67"/>
        <v/>
      </c>
      <c r="U138" s="81" t="str">
        <f t="shared" si="68"/>
        <v/>
      </c>
      <c r="V138" s="80" t="str">
        <f t="shared" si="80"/>
        <v/>
      </c>
      <c r="W138" s="80" t="str">
        <f t="shared" si="81"/>
        <v/>
      </c>
      <c r="X138" s="80" t="str">
        <f t="shared" si="82"/>
        <v/>
      </c>
      <c r="Y138" s="87" t="str">
        <f t="shared" si="83"/>
        <v/>
      </c>
      <c r="Z138" s="88" t="str">
        <f t="shared" si="86"/>
        <v/>
      </c>
      <c r="AA138" s="88" t="str">
        <f t="shared" si="87"/>
        <v/>
      </c>
      <c r="AB138" s="88" t="str">
        <f t="shared" si="88"/>
        <v/>
      </c>
      <c r="AC138" s="88" t="str">
        <f t="shared" si="65"/>
        <v/>
      </c>
      <c r="AD138" s="95"/>
      <c r="AE138" s="96" t="str">
        <f t="shared" si="78"/>
        <v/>
      </c>
      <c r="AF138" s="97"/>
      <c r="AG138" s="104"/>
      <c r="AH138" s="104"/>
      <c r="AI138" s="105"/>
      <c r="AJ138" s="106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20"/>
      <c r="BR138" s="121"/>
      <c r="BS138" s="121"/>
      <c r="BT138" s="121"/>
      <c r="BU138" s="121"/>
      <c r="BV138" s="121"/>
      <c r="BW138" s="121"/>
      <c r="BX138" s="121"/>
      <c r="BY138" s="121"/>
      <c r="BZ138" s="121"/>
      <c r="CA138" s="121"/>
      <c r="CB138" s="121"/>
      <c r="CC138" s="121"/>
      <c r="CD138" s="121"/>
      <c r="CE138" s="121"/>
      <c r="CF138" s="121"/>
      <c r="CG138" s="121"/>
      <c r="CH138" s="121"/>
      <c r="CI138" s="121"/>
      <c r="CJ138" s="121"/>
      <c r="CK138" s="121"/>
      <c r="CL138" s="121"/>
      <c r="CM138" s="121"/>
      <c r="CN138" s="121"/>
      <c r="CO138" s="121"/>
      <c r="CP138" s="121"/>
      <c r="CQ138" s="121"/>
      <c r="CR138" s="121"/>
      <c r="CS138" s="121"/>
      <c r="CT138" s="121"/>
      <c r="CU138" s="121"/>
      <c r="CV138" s="121"/>
      <c r="CW138" s="121"/>
      <c r="CX138" s="121"/>
      <c r="CY138" s="121"/>
      <c r="CZ138" s="121"/>
      <c r="DA138" s="121"/>
      <c r="DB138" s="121"/>
      <c r="DC138" s="121"/>
      <c r="DD138" s="121"/>
      <c r="DE138" s="121"/>
      <c r="DF138" s="121"/>
      <c r="DG138" s="121"/>
      <c r="DH138" s="121"/>
      <c r="DI138" s="121"/>
      <c r="DJ138" s="121"/>
      <c r="DK138" s="121"/>
      <c r="DL138" s="121"/>
      <c r="DM138" s="121"/>
      <c r="DN138" s="121"/>
      <c r="DO138" s="121"/>
      <c r="DP138" s="121"/>
      <c r="DQ138" s="121"/>
      <c r="DR138" s="121"/>
      <c r="DS138" s="121"/>
      <c r="DT138" s="121"/>
      <c r="DU138" s="121"/>
      <c r="DV138" s="121"/>
      <c r="DW138" s="121"/>
      <c r="DX138" s="121"/>
      <c r="DY138" s="121"/>
      <c r="DZ138" s="121"/>
      <c r="EA138" s="121"/>
      <c r="EB138" s="121"/>
      <c r="EC138" s="121"/>
      <c r="ED138" s="121"/>
      <c r="EE138" s="121"/>
      <c r="EF138" s="121"/>
    </row>
  </sheetData>
  <mergeCells count="22">
    <mergeCell ref="A1:AE1"/>
    <mergeCell ref="V2:W2"/>
    <mergeCell ref="B4:C4"/>
    <mergeCell ref="F4:G4"/>
    <mergeCell ref="H4:M4"/>
    <mergeCell ref="O4:Q4"/>
    <mergeCell ref="R4:W4"/>
    <mergeCell ref="B5:C5"/>
    <mergeCell ref="F5:G5"/>
    <mergeCell ref="H5:M5"/>
    <mergeCell ref="O5:Q5"/>
    <mergeCell ref="R5:W5"/>
    <mergeCell ref="B6:C6"/>
    <mergeCell ref="F6:G6"/>
    <mergeCell ref="H6:M6"/>
    <mergeCell ref="O6:Q6"/>
    <mergeCell ref="R6:W6"/>
    <mergeCell ref="B8:M8"/>
    <mergeCell ref="O8:AE8"/>
    <mergeCell ref="AG8:AI8"/>
    <mergeCell ref="AK8:BP8"/>
    <mergeCell ref="Z9:AA9"/>
  </mergeCells>
  <conditionalFormatting sqref="O11:Q11">
    <cfRule type="expression" dxfId="0" priority="3">
      <formula>AND($M11&lt;&gt;"",$AK11&lt;&gt;"",O11&lt;$M11)</formula>
    </cfRule>
    <cfRule type="expression" dxfId="1" priority="4">
      <formula>AND($L11&lt;&gt;"",$AK11&lt;&gt;"",O11&gt;$L11)</formula>
    </cfRule>
    <cfRule type="notContainsBlanks" dxfId="2" priority="5">
      <formula>LEN(TRIM(O11))&gt;0</formula>
    </cfRule>
  </conditionalFormatting>
  <conditionalFormatting sqref="R11">
    <cfRule type="expression" dxfId="3" priority="1">
      <formula>AND($R11&lt;&gt;"",$S11&lt;1.67)</formula>
    </cfRule>
    <cfRule type="notContainsBlanks" dxfId="2" priority="2">
      <formula>LEN(TRIM(R11))&gt;0</formula>
    </cfRule>
  </conditionalFormatting>
  <conditionalFormatting sqref="AK22:EF22">
    <cfRule type="containsBlanks" dxfId="4" priority="113">
      <formula>LEN(TRIM(AK22))=0</formula>
    </cfRule>
    <cfRule type="expression" dxfId="0" priority="114">
      <formula>AND($M22&lt;&gt;"",$AK22&lt;&gt;"",AK22&lt;$M22)</formula>
    </cfRule>
    <cfRule type="expression" dxfId="1" priority="115">
      <formula>AND($L22&lt;&gt;"",$AK22&lt;&gt;"",AK22&gt;$L22)</formula>
    </cfRule>
    <cfRule type="notContainsBlanks" dxfId="2" priority="116">
      <formula>LEN(TRIM(AK22))&gt;0</formula>
    </cfRule>
  </conditionalFormatting>
  <conditionalFormatting sqref="AK24:EF24">
    <cfRule type="containsBlanks" dxfId="4" priority="891">
      <formula>LEN(TRIM(AK24))=0</formula>
    </cfRule>
    <cfRule type="expression" dxfId="0" priority="894">
      <formula>AND($M24&lt;&gt;"",AK24&lt;$M24)</formula>
    </cfRule>
    <cfRule type="expression" dxfId="1" priority="895">
      <formula>AND($L24&lt;&gt;"",AK24&gt;$L24)</formula>
    </cfRule>
    <cfRule type="notContainsBlanks" dxfId="2" priority="896">
      <formula>LEN(TRIM(AK24))&gt;0</formula>
    </cfRule>
  </conditionalFormatting>
  <conditionalFormatting sqref="H25">
    <cfRule type="expression" dxfId="5" priority="551">
      <formula>AND($F25="MIN",$H25&lt;&gt;"")</formula>
    </cfRule>
    <cfRule type="expression" dxfId="6" priority="552">
      <formula>AND($F25="MIN",$H25="")</formula>
    </cfRule>
    <cfRule type="containsBlanks" dxfId="4" priority="553">
      <formula>LEN(TRIM(H25))=0</formula>
    </cfRule>
  </conditionalFormatting>
  <conditionalFormatting sqref="BQ25:EF25">
    <cfRule type="containsBlanks" dxfId="4" priority="870">
      <formula>LEN(TRIM(BQ25))=0</formula>
    </cfRule>
    <cfRule type="expression" dxfId="0" priority="873">
      <formula>AND($M25&lt;&gt;"",BQ25&lt;$M25)</formula>
    </cfRule>
    <cfRule type="expression" dxfId="1" priority="874">
      <formula>AND($L25&lt;&gt;"",BQ25&gt;$L25)</formula>
    </cfRule>
    <cfRule type="notContainsBlanks" dxfId="2" priority="875">
      <formula>LEN(TRIM(BQ25))&gt;0</formula>
    </cfRule>
  </conditionalFormatting>
  <conditionalFormatting sqref="H26">
    <cfRule type="expression" dxfId="5" priority="567">
      <formula>AND($F26="MIN",$H26&lt;&gt;"")</formula>
    </cfRule>
    <cfRule type="expression" dxfId="6" priority="568">
      <formula>AND($F26="MIN",$H26="")</formula>
    </cfRule>
    <cfRule type="containsBlanks" dxfId="4" priority="569">
      <formula>LEN(TRIM(H26))=0</formula>
    </cfRule>
  </conditionalFormatting>
  <conditionalFormatting sqref="Y26">
    <cfRule type="notContainsBlanks" dxfId="7" priority="576">
      <formula>LEN(TRIM(Y26))&gt;0</formula>
    </cfRule>
  </conditionalFormatting>
  <conditionalFormatting sqref="AD26">
    <cfRule type="expression" dxfId="7" priority="575">
      <formula>AND($AD26&lt;0.966,$AD26&lt;&gt;"")</formula>
    </cfRule>
  </conditionalFormatting>
  <conditionalFormatting sqref="BQ26:EF26">
    <cfRule type="containsBlanks" dxfId="4" priority="560">
      <formula>LEN(TRIM(BQ26))=0</formula>
    </cfRule>
    <cfRule type="expression" dxfId="0" priority="561">
      <formula>AND($M26&lt;&gt;"",BQ26&lt;$M26)</formula>
    </cfRule>
    <cfRule type="expression" dxfId="1" priority="562">
      <formula>AND($L26&lt;&gt;"",BQ26&gt;$L26)</formula>
    </cfRule>
    <cfRule type="notContainsBlanks" dxfId="2" priority="563">
      <formula>LEN(TRIM(BQ26))&gt;0</formula>
    </cfRule>
  </conditionalFormatting>
  <conditionalFormatting sqref="AK27:EF27">
    <cfRule type="containsBlanks" dxfId="4" priority="109">
      <formula>LEN(TRIM(AK27))=0</formula>
    </cfRule>
    <cfRule type="expression" dxfId="0" priority="110">
      <formula>AND($M27&lt;&gt;"",$AK27&lt;&gt;"",AK27&lt;$M27)</formula>
    </cfRule>
    <cfRule type="expression" dxfId="1" priority="111">
      <formula>AND($L27&lt;&gt;"",$AK27&lt;&gt;"",AK27&gt;$L27)</formula>
    </cfRule>
    <cfRule type="notContainsBlanks" dxfId="2" priority="112">
      <formula>LEN(TRIM(AK27))&gt;0</formula>
    </cfRule>
  </conditionalFormatting>
  <conditionalFormatting sqref="AK29:BP29">
    <cfRule type="containsBlanks" dxfId="4" priority="293">
      <formula>LEN(TRIM(AK29))=0</formula>
    </cfRule>
    <cfRule type="expression" dxfId="0" priority="294">
      <formula>AND($M29&lt;&gt;"",AK29&lt;$M29)</formula>
    </cfRule>
    <cfRule type="expression" dxfId="1" priority="295">
      <formula>AND($L29&lt;&gt;"",AK29&gt;$L29)</formula>
    </cfRule>
    <cfRule type="notContainsBlanks" dxfId="2" priority="296">
      <formula>LEN(TRIM(AK29))&gt;0</formula>
    </cfRule>
  </conditionalFormatting>
  <conditionalFormatting sqref="AK32:EF32">
    <cfRule type="containsBlanks" dxfId="4" priority="105">
      <formula>LEN(TRIM(AK32))=0</formula>
    </cfRule>
    <cfRule type="expression" dxfId="0" priority="106">
      <formula>AND($M32&lt;&gt;"",$AK32&lt;&gt;"",AK32&lt;$M32)</formula>
    </cfRule>
    <cfRule type="expression" dxfId="1" priority="107">
      <formula>AND($L32&lt;&gt;"",$AK32&lt;&gt;"",AK32&gt;$L32)</formula>
    </cfRule>
    <cfRule type="notContainsBlanks" dxfId="2" priority="108">
      <formula>LEN(TRIM(AK32))&gt;0</formula>
    </cfRule>
  </conditionalFormatting>
  <conditionalFormatting sqref="AK34:BP34">
    <cfRule type="containsBlanks" dxfId="4" priority="285">
      <formula>LEN(TRIM(AK34))=0</formula>
    </cfRule>
    <cfRule type="expression" dxfId="0" priority="286">
      <formula>AND($M34&lt;&gt;"",AK34&lt;$M34)</formula>
    </cfRule>
    <cfRule type="expression" dxfId="1" priority="287">
      <formula>AND($L34&lt;&gt;"",AK34&gt;$L34)</formula>
    </cfRule>
    <cfRule type="notContainsBlanks" dxfId="2" priority="288">
      <formula>LEN(TRIM(AK34))&gt;0</formula>
    </cfRule>
  </conditionalFormatting>
  <conditionalFormatting sqref="AK37:EF37">
    <cfRule type="containsBlanks" dxfId="4" priority="101">
      <formula>LEN(TRIM(AK37))=0</formula>
    </cfRule>
    <cfRule type="expression" dxfId="0" priority="102">
      <formula>AND($M37&lt;&gt;"",$AK37&lt;&gt;"",AK37&lt;$M37)</formula>
    </cfRule>
    <cfRule type="expression" dxfId="1" priority="103">
      <formula>AND($L37&lt;&gt;"",$AK37&lt;&gt;"",AK37&gt;$L37)</formula>
    </cfRule>
    <cfRule type="notContainsBlanks" dxfId="2" priority="104">
      <formula>LEN(TRIM(AK37))&gt;0</formula>
    </cfRule>
  </conditionalFormatting>
  <conditionalFormatting sqref="AK39:BP39">
    <cfRule type="containsBlanks" dxfId="4" priority="277">
      <formula>LEN(TRIM(AK39))=0</formula>
    </cfRule>
    <cfRule type="expression" dxfId="0" priority="278">
      <formula>AND($M39&lt;&gt;"",AK39&lt;$M39)</formula>
    </cfRule>
    <cfRule type="expression" dxfId="1" priority="279">
      <formula>AND($L39&lt;&gt;"",AK39&gt;$L39)</formula>
    </cfRule>
    <cfRule type="notContainsBlanks" dxfId="2" priority="280">
      <formula>LEN(TRIM(AK39))&gt;0</formula>
    </cfRule>
  </conditionalFormatting>
  <conditionalFormatting sqref="G41">
    <cfRule type="expression" dxfId="5" priority="533">
      <formula>AND($F41&lt;&gt;"Tolerance",$G41&lt;&gt;"")</formula>
    </cfRule>
    <cfRule type="expression" dxfId="6" priority="534">
      <formula>AND(OR($F41="GD&amp;T",$F41="MAX",$F41="MIN"),$G41="")</formula>
    </cfRule>
    <cfRule type="containsBlanks" dxfId="4" priority="535">
      <formula>LEN(TRIM(G41))=0</formula>
    </cfRule>
    <cfRule type="expression" dxfId="5" priority="530">
      <formula>AND($F41&lt;&gt;"Tolerance",$G41&lt;&gt;"")</formula>
    </cfRule>
    <cfRule type="expression" dxfId="6" priority="531">
      <formula>AND(OR($F41="GD&amp;T",$F41="MAX",$F41="MIN"),$G41="")</formula>
    </cfRule>
    <cfRule type="containsBlanks" dxfId="4" priority="532">
      <formula>LEN(TRIM(G41))=0</formula>
    </cfRule>
  </conditionalFormatting>
  <conditionalFormatting sqref="H41">
    <cfRule type="expression" dxfId="5" priority="539">
      <formula>AND($F41="MIN",$H41&lt;&gt;"")</formula>
    </cfRule>
    <cfRule type="expression" dxfId="6" priority="540">
      <formula>AND($F41="MIN",$H41="")</formula>
    </cfRule>
    <cfRule type="containsBlanks" dxfId="4" priority="541">
      <formula>LEN(TRIM(H41))=0</formula>
    </cfRule>
  </conditionalFormatting>
  <conditionalFormatting sqref="I41">
    <cfRule type="expression" dxfId="5" priority="536">
      <formula>AND(OR($F41="GD&amp;T",$F41="MAX"),$I41&lt;&gt;"")</formula>
    </cfRule>
    <cfRule type="expression" dxfId="6" priority="537">
      <formula>AND(OR($F41="GD&amp;T",$F41="MAX"),$I41="")</formula>
    </cfRule>
    <cfRule type="containsBlanks" dxfId="4" priority="538">
      <formula>LEN(TRIM(I41))=0</formula>
    </cfRule>
  </conditionalFormatting>
  <conditionalFormatting sqref="AK42:EF42">
    <cfRule type="containsBlanks" dxfId="4" priority="97">
      <formula>LEN(TRIM(AK42))=0</formula>
    </cfRule>
    <cfRule type="expression" dxfId="0" priority="98">
      <formula>AND($M42&lt;&gt;"",$AK42&lt;&gt;"",AK42&lt;$M42)</formula>
    </cfRule>
    <cfRule type="expression" dxfId="1" priority="99">
      <formula>AND($L42&lt;&gt;"",$AK42&lt;&gt;"",AK42&gt;$L42)</formula>
    </cfRule>
    <cfRule type="notContainsBlanks" dxfId="2" priority="100">
      <formula>LEN(TRIM(AK42))&gt;0</formula>
    </cfRule>
  </conditionalFormatting>
  <conditionalFormatting sqref="AK44:BP44">
    <cfRule type="containsBlanks" dxfId="4" priority="269">
      <formula>LEN(TRIM(AK44))=0</formula>
    </cfRule>
    <cfRule type="expression" dxfId="0" priority="270">
      <formula>AND($M44&lt;&gt;"",AK44&lt;$M44)</formula>
    </cfRule>
    <cfRule type="expression" dxfId="1" priority="271">
      <formula>AND($L44&lt;&gt;"",AK44&gt;$L44)</formula>
    </cfRule>
    <cfRule type="notContainsBlanks" dxfId="2" priority="272">
      <formula>LEN(TRIM(AK44))&gt;0</formula>
    </cfRule>
  </conditionalFormatting>
  <conditionalFormatting sqref="AK47:EF47">
    <cfRule type="containsBlanks" dxfId="4" priority="93">
      <formula>LEN(TRIM(AK47))=0</formula>
    </cfRule>
    <cfRule type="expression" dxfId="0" priority="94">
      <formula>AND($M47&lt;&gt;"",$AK47&lt;&gt;"",AK47&lt;$M47)</formula>
    </cfRule>
    <cfRule type="expression" dxfId="1" priority="95">
      <formula>AND($L47&lt;&gt;"",$AK47&lt;&gt;"",AK47&gt;$L47)</formula>
    </cfRule>
    <cfRule type="notContainsBlanks" dxfId="2" priority="96">
      <formula>LEN(TRIM(AK47))&gt;0</formula>
    </cfRule>
  </conditionalFormatting>
  <conditionalFormatting sqref="AK49:BP49">
    <cfRule type="containsBlanks" dxfId="4" priority="261">
      <formula>LEN(TRIM(AK49))=0</formula>
    </cfRule>
    <cfRule type="expression" dxfId="0" priority="262">
      <formula>AND($M49&lt;&gt;"",AK49&lt;$M49)</formula>
    </cfRule>
    <cfRule type="expression" dxfId="1" priority="263">
      <formula>AND($L49&lt;&gt;"",AK49&gt;$L49)</formula>
    </cfRule>
    <cfRule type="notContainsBlanks" dxfId="2" priority="264">
      <formula>LEN(TRIM(AK49))&gt;0</formula>
    </cfRule>
  </conditionalFormatting>
  <conditionalFormatting sqref="AK52:EF52">
    <cfRule type="containsBlanks" dxfId="4" priority="89">
      <formula>LEN(TRIM(AK52))=0</formula>
    </cfRule>
    <cfRule type="expression" dxfId="0" priority="90">
      <formula>AND($M52&lt;&gt;"",$AK52&lt;&gt;"",AK52&lt;$M52)</formula>
    </cfRule>
    <cfRule type="expression" dxfId="1" priority="91">
      <formula>AND($L52&lt;&gt;"",$AK52&lt;&gt;"",AK52&gt;$L52)</formula>
    </cfRule>
    <cfRule type="notContainsBlanks" dxfId="2" priority="92">
      <formula>LEN(TRIM(AK52))&gt;0</formula>
    </cfRule>
  </conditionalFormatting>
  <conditionalFormatting sqref="AK54:BP54">
    <cfRule type="containsBlanks" dxfId="4" priority="253">
      <formula>LEN(TRIM(AK54))=0</formula>
    </cfRule>
    <cfRule type="expression" dxfId="0" priority="254">
      <formula>AND($M54&lt;&gt;"",AK54&lt;$M54)</formula>
    </cfRule>
    <cfRule type="expression" dxfId="1" priority="255">
      <formula>AND($L54&lt;&gt;"",AK54&gt;$L54)</formula>
    </cfRule>
    <cfRule type="notContainsBlanks" dxfId="2" priority="256">
      <formula>LEN(TRIM(AK54))&gt;0</formula>
    </cfRule>
  </conditionalFormatting>
  <conditionalFormatting sqref="AK57:EF57">
    <cfRule type="containsBlanks" dxfId="4" priority="85">
      <formula>LEN(TRIM(AK57))=0</formula>
    </cfRule>
    <cfRule type="expression" dxfId="0" priority="86">
      <formula>AND($M57&lt;&gt;"",$AK57&lt;&gt;"",AK57&lt;$M57)</formula>
    </cfRule>
    <cfRule type="expression" dxfId="1" priority="87">
      <formula>AND($L57&lt;&gt;"",$AK57&lt;&gt;"",AK57&gt;$L57)</formula>
    </cfRule>
    <cfRule type="notContainsBlanks" dxfId="2" priority="88">
      <formula>LEN(TRIM(AK57))&gt;0</formula>
    </cfRule>
  </conditionalFormatting>
  <conditionalFormatting sqref="AK59:BP59">
    <cfRule type="containsBlanks" dxfId="4" priority="245">
      <formula>LEN(TRIM(AK59))=0</formula>
    </cfRule>
    <cfRule type="expression" dxfId="0" priority="246">
      <formula>AND($M59&lt;&gt;"",AK59&lt;$M59)</formula>
    </cfRule>
    <cfRule type="expression" dxfId="1" priority="247">
      <formula>AND($L59&lt;&gt;"",AK59&gt;$L59)</formula>
    </cfRule>
    <cfRule type="notContainsBlanks" dxfId="2" priority="248">
      <formula>LEN(TRIM(AK59))&gt;0</formula>
    </cfRule>
  </conditionalFormatting>
  <conditionalFormatting sqref="BQ61:EF61">
    <cfRule type="expression" dxfId="0" priority="475">
      <formula>AND($M61&lt;&gt;"",$AK61&lt;&gt;"",BQ61&lt;$M61)</formula>
    </cfRule>
    <cfRule type="expression" dxfId="1" priority="476">
      <formula>AND($L61&lt;&gt;"",$AK61&lt;&gt;"",BQ61&gt;$L61)</formula>
    </cfRule>
    <cfRule type="notContainsBlanks" dxfId="2" priority="477">
      <formula>LEN(TRIM(BQ61))&gt;0</formula>
    </cfRule>
  </conditionalFormatting>
  <conditionalFormatting sqref="AK62:EF62">
    <cfRule type="containsBlanks" dxfId="4" priority="81">
      <formula>LEN(TRIM(AK62))=0</formula>
    </cfRule>
    <cfRule type="expression" dxfId="0" priority="82">
      <formula>AND($M62&lt;&gt;"",$AK62&lt;&gt;"",AK62&lt;$M62)</formula>
    </cfRule>
    <cfRule type="expression" dxfId="1" priority="83">
      <formula>AND($L62&lt;&gt;"",$AK62&lt;&gt;"",AK62&gt;$L62)</formula>
    </cfRule>
    <cfRule type="notContainsBlanks" dxfId="2" priority="84">
      <formula>LEN(TRIM(AK62))&gt;0</formula>
    </cfRule>
  </conditionalFormatting>
  <conditionalFormatting sqref="BQ63:EF63">
    <cfRule type="containsBlanks" dxfId="4" priority="457">
      <formula>LEN(TRIM(BQ63))=0</formula>
    </cfRule>
    <cfRule type="expression" dxfId="0" priority="458">
      <formula>AND($M63&lt;&gt;"",BQ63&lt;$M63)</formula>
    </cfRule>
    <cfRule type="expression" dxfId="1" priority="459">
      <formula>AND($L63&lt;&gt;"",BQ63&gt;$L63)</formula>
    </cfRule>
    <cfRule type="notContainsBlanks" dxfId="2" priority="460">
      <formula>LEN(TRIM(BQ63))&gt;0</formula>
    </cfRule>
  </conditionalFormatting>
  <conditionalFormatting sqref="G64">
    <cfRule type="expression" dxfId="5" priority="411">
      <formula>AND($F64&lt;&gt;"Tolerance",$G64&lt;&gt;"")</formula>
    </cfRule>
    <cfRule type="expression" dxfId="6" priority="412">
      <formula>AND(OR($F64="GD&amp;T",$F64="MAX",$F64="MIN"),$G64="")</formula>
    </cfRule>
    <cfRule type="containsBlanks" dxfId="4" priority="413">
      <formula>LEN(TRIM(G64))=0</formula>
    </cfRule>
    <cfRule type="expression" dxfId="5" priority="408">
      <formula>AND($F64&lt;&gt;"Tolerance",$G64&lt;&gt;"")</formula>
    </cfRule>
    <cfRule type="expression" dxfId="6" priority="409">
      <formula>AND(OR($F64="GD&amp;T",$F64="MAX",$F64="MIN"),$G64="")</formula>
    </cfRule>
    <cfRule type="containsBlanks" dxfId="4" priority="410">
      <formula>LEN(TRIM(G64))=0</formula>
    </cfRule>
  </conditionalFormatting>
  <conditionalFormatting sqref="H64">
    <cfRule type="expression" dxfId="5" priority="417">
      <formula>AND($F64="MIN",$H64&lt;&gt;"")</formula>
    </cfRule>
    <cfRule type="expression" dxfId="6" priority="418">
      <formula>AND($F64="MIN",$H64="")</formula>
    </cfRule>
    <cfRule type="containsBlanks" dxfId="4" priority="419">
      <formula>LEN(TRIM(H64))=0</formula>
    </cfRule>
  </conditionalFormatting>
  <conditionalFormatting sqref="I64">
    <cfRule type="expression" dxfId="5" priority="414">
      <formula>AND(OR($F64="GD&amp;T",$F64="MAX"),$I64&lt;&gt;"")</formula>
    </cfRule>
    <cfRule type="expression" dxfId="6" priority="415">
      <formula>AND(OR($F64="GD&amp;T",$F64="MAX"),$I64="")</formula>
    </cfRule>
    <cfRule type="containsBlanks" dxfId="4" priority="416">
      <formula>LEN(TRIM(I64))=0</formula>
    </cfRule>
  </conditionalFormatting>
  <conditionalFormatting sqref="AK64:BP64">
    <cfRule type="containsBlanks" dxfId="4" priority="237">
      <formula>LEN(TRIM(AK64))=0</formula>
    </cfRule>
    <cfRule type="expression" dxfId="0" priority="238">
      <formula>AND($M64&lt;&gt;"",AK64&lt;$M64)</formula>
    </cfRule>
    <cfRule type="expression" dxfId="1" priority="239">
      <formula>AND($L64&lt;&gt;"",AK64&gt;$L64)</formula>
    </cfRule>
    <cfRule type="notContainsBlanks" dxfId="2" priority="240">
      <formula>LEN(TRIM(AK64))&gt;0</formula>
    </cfRule>
  </conditionalFormatting>
  <conditionalFormatting sqref="BQ64:EF64">
    <cfRule type="containsBlanks" dxfId="4" priority="453">
      <formula>LEN(TRIM(BQ64))=0</formula>
    </cfRule>
    <cfRule type="expression" dxfId="0" priority="454">
      <formula>AND($M64&lt;&gt;"",BQ64&lt;$M64)</formula>
    </cfRule>
    <cfRule type="expression" dxfId="1" priority="455">
      <formula>AND($L64&lt;&gt;"",BQ64&gt;$L64)</formula>
    </cfRule>
    <cfRule type="notContainsBlanks" dxfId="2" priority="456">
      <formula>LEN(TRIM(BQ64))&gt;0</formula>
    </cfRule>
  </conditionalFormatting>
  <conditionalFormatting sqref="G65">
    <cfRule type="expression" dxfId="5" priority="423">
      <formula>AND($F65&lt;&gt;"Tolerance",$G65&lt;&gt;"")</formula>
    </cfRule>
    <cfRule type="expression" dxfId="6" priority="424">
      <formula>AND(OR($F65="GD&amp;T",$F65="MAX",$F65="MIN"),$G65="")</formula>
    </cfRule>
    <cfRule type="containsBlanks" dxfId="4" priority="425">
      <formula>LEN(TRIM(G65))=0</formula>
    </cfRule>
    <cfRule type="expression" dxfId="5" priority="420">
      <formula>AND($F65&lt;&gt;"Tolerance",$G65&lt;&gt;"")</formula>
    </cfRule>
    <cfRule type="expression" dxfId="6" priority="421">
      <formula>AND(OR($F65="GD&amp;T",$F65="MAX",$F65="MIN"),$G65="")</formula>
    </cfRule>
    <cfRule type="containsBlanks" dxfId="4" priority="422">
      <formula>LEN(TRIM(G65))=0</formula>
    </cfRule>
  </conditionalFormatting>
  <conditionalFormatting sqref="H65">
    <cfRule type="expression" dxfId="5" priority="433">
      <formula>AND($F65="MIN",$H65&lt;&gt;"")</formula>
    </cfRule>
    <cfRule type="expression" dxfId="6" priority="434">
      <formula>AND($F65="MIN",$H65="")</formula>
    </cfRule>
    <cfRule type="containsBlanks" dxfId="4" priority="435">
      <formula>LEN(TRIM(H65))=0</formula>
    </cfRule>
  </conditionalFormatting>
  <conditionalFormatting sqref="I65">
    <cfRule type="expression" dxfId="5" priority="430">
      <formula>AND(OR($F65="GD&amp;T",$F65="MAX"),$I65&lt;&gt;"")</formula>
    </cfRule>
    <cfRule type="expression" dxfId="6" priority="431">
      <formula>AND(OR($F65="GD&amp;T",$F65="MAX"),$I65="")</formula>
    </cfRule>
    <cfRule type="containsBlanks" dxfId="4" priority="432">
      <formula>LEN(TRIM(I65))=0</formula>
    </cfRule>
  </conditionalFormatting>
  <conditionalFormatting sqref="O65:Q65">
    <cfRule type="expression" dxfId="0" priority="443">
      <formula>AND($M65&lt;&gt;"",$AK65&lt;&gt;"",O65&lt;$M65)</formula>
    </cfRule>
    <cfRule type="expression" dxfId="1" priority="444">
      <formula>AND($L65&lt;&gt;"",$AK65&lt;&gt;"",O65&gt;$L65)</formula>
    </cfRule>
    <cfRule type="notContainsBlanks" dxfId="2" priority="445">
      <formula>LEN(TRIM(O65))&gt;0</formula>
    </cfRule>
  </conditionalFormatting>
  <conditionalFormatting sqref="R65:S65">
    <cfRule type="expression" dxfId="8" priority="436">
      <formula>AND($AD65&lt;0.966,$AD65&lt;&gt;"")</formula>
    </cfRule>
  </conditionalFormatting>
  <conditionalFormatting sqref="Y65">
    <cfRule type="notContainsBlanks" dxfId="7" priority="442">
      <formula>LEN(TRIM(Y65))&gt;0</formula>
    </cfRule>
  </conditionalFormatting>
  <conditionalFormatting sqref="AD65">
    <cfRule type="expression" dxfId="7" priority="441">
      <formula>AND($AD65&lt;0.966,$AD65&lt;&gt;"")</formula>
    </cfRule>
  </conditionalFormatting>
  <conditionalFormatting sqref="BQ65:EF65">
    <cfRule type="containsBlanks" dxfId="4" priority="426">
      <formula>LEN(TRIM(BQ65))=0</formula>
    </cfRule>
    <cfRule type="expression" dxfId="0" priority="427">
      <formula>AND($M65&lt;&gt;"",BQ65&lt;$M65)</formula>
    </cfRule>
    <cfRule type="expression" dxfId="1" priority="428">
      <formula>AND($L65&lt;&gt;"",BQ65&gt;$L65)</formula>
    </cfRule>
    <cfRule type="notContainsBlanks" dxfId="2" priority="429">
      <formula>LEN(TRIM(BQ65))&gt;0</formula>
    </cfRule>
  </conditionalFormatting>
  <conditionalFormatting sqref="AK67:EF67">
    <cfRule type="containsBlanks" dxfId="4" priority="77">
      <formula>LEN(TRIM(AK67))=0</formula>
    </cfRule>
    <cfRule type="expression" dxfId="0" priority="78">
      <formula>AND($M67&lt;&gt;"",$AK67&lt;&gt;"",AK67&lt;$M67)</formula>
    </cfRule>
    <cfRule type="expression" dxfId="1" priority="79">
      <formula>AND($L67&lt;&gt;"",$AK67&lt;&gt;"",AK67&gt;$L67)</formula>
    </cfRule>
    <cfRule type="notContainsBlanks" dxfId="2" priority="80">
      <formula>LEN(TRIM(AK67))&gt;0</formula>
    </cfRule>
  </conditionalFormatting>
  <conditionalFormatting sqref="AK69:BP69">
    <cfRule type="containsBlanks" dxfId="4" priority="229">
      <formula>LEN(TRIM(AK69))=0</formula>
    </cfRule>
    <cfRule type="expression" dxfId="0" priority="230">
      <formula>AND($M69&lt;&gt;"",AK69&lt;$M69)</formula>
    </cfRule>
    <cfRule type="expression" dxfId="1" priority="231">
      <formula>AND($L69&lt;&gt;"",AK69&gt;$L69)</formula>
    </cfRule>
    <cfRule type="notContainsBlanks" dxfId="2" priority="232">
      <formula>LEN(TRIM(AK69))&gt;0</formula>
    </cfRule>
  </conditionalFormatting>
  <conditionalFormatting sqref="AK72:EF72">
    <cfRule type="containsBlanks" dxfId="4" priority="73">
      <formula>LEN(TRIM(AK72))=0</formula>
    </cfRule>
    <cfRule type="expression" dxfId="0" priority="74">
      <formula>AND($M72&lt;&gt;"",$AK72&lt;&gt;"",AK72&lt;$M72)</formula>
    </cfRule>
    <cfRule type="expression" dxfId="1" priority="75">
      <formula>AND($L72&lt;&gt;"",$AK72&lt;&gt;"",AK72&gt;$L72)</formula>
    </cfRule>
    <cfRule type="notContainsBlanks" dxfId="2" priority="76">
      <formula>LEN(TRIM(AK72))&gt;0</formula>
    </cfRule>
  </conditionalFormatting>
  <conditionalFormatting sqref="AK74:BP74">
    <cfRule type="containsBlanks" dxfId="4" priority="221">
      <formula>LEN(TRIM(AK74))=0</formula>
    </cfRule>
    <cfRule type="expression" dxfId="0" priority="222">
      <formula>AND($M74&lt;&gt;"",AK74&lt;$M74)</formula>
    </cfRule>
    <cfRule type="expression" dxfId="1" priority="223">
      <formula>AND($L74&lt;&gt;"",AK74&gt;$L74)</formula>
    </cfRule>
    <cfRule type="notContainsBlanks" dxfId="2" priority="224">
      <formula>LEN(TRIM(AK74))&gt;0</formula>
    </cfRule>
  </conditionalFormatting>
  <conditionalFormatting sqref="AK77:EF77">
    <cfRule type="containsBlanks" dxfId="4" priority="69">
      <formula>LEN(TRIM(AK77))=0</formula>
    </cfRule>
    <cfRule type="expression" dxfId="0" priority="70">
      <formula>AND($M77&lt;&gt;"",$AK77&lt;&gt;"",AK77&lt;$M77)</formula>
    </cfRule>
    <cfRule type="expression" dxfId="1" priority="71">
      <formula>AND($L77&lt;&gt;"",$AK77&lt;&gt;"",AK77&gt;$L77)</formula>
    </cfRule>
    <cfRule type="notContainsBlanks" dxfId="2" priority="72">
      <formula>LEN(TRIM(AK77))&gt;0</formula>
    </cfRule>
  </conditionalFormatting>
  <conditionalFormatting sqref="AK79:BP79">
    <cfRule type="containsBlanks" dxfId="4" priority="213">
      <formula>LEN(TRIM(AK79))=0</formula>
    </cfRule>
    <cfRule type="expression" dxfId="0" priority="214">
      <formula>AND($M79&lt;&gt;"",AK79&lt;$M79)</formula>
    </cfRule>
    <cfRule type="expression" dxfId="1" priority="215">
      <formula>AND($L79&lt;&gt;"",AK79&gt;$L79)</formula>
    </cfRule>
    <cfRule type="notContainsBlanks" dxfId="2" priority="216">
      <formula>LEN(TRIM(AK79))&gt;0</formula>
    </cfRule>
  </conditionalFormatting>
  <conditionalFormatting sqref="G80">
    <cfRule type="expression" dxfId="5" priority="399">
      <formula>AND($F80&lt;&gt;"Tolerance",$G80&lt;&gt;"")</formula>
    </cfRule>
    <cfRule type="expression" dxfId="6" priority="400">
      <formula>AND(OR($F80="GD&amp;T",$F80="MAX",$F80="MIN"),$G80="")</formula>
    </cfRule>
    <cfRule type="containsBlanks" dxfId="4" priority="401">
      <formula>LEN(TRIM(G80))=0</formula>
    </cfRule>
    <cfRule type="expression" dxfId="5" priority="396">
      <formula>AND($F80&lt;&gt;"Tolerance",$G80&lt;&gt;"")</formula>
    </cfRule>
    <cfRule type="expression" dxfId="6" priority="397">
      <formula>AND(OR($F80="GD&amp;T",$F80="MAX",$F80="MIN"),$G80="")</formula>
    </cfRule>
    <cfRule type="containsBlanks" dxfId="4" priority="398">
      <formula>LEN(TRIM(G80))=0</formula>
    </cfRule>
  </conditionalFormatting>
  <conditionalFormatting sqref="H80">
    <cfRule type="expression" dxfId="5" priority="405">
      <formula>AND($F80="MIN",$H80&lt;&gt;"")</formula>
    </cfRule>
    <cfRule type="expression" dxfId="6" priority="406">
      <formula>AND($F80="MIN",$H80="")</formula>
    </cfRule>
    <cfRule type="containsBlanks" dxfId="4" priority="407">
      <formula>LEN(TRIM(H80))=0</formula>
    </cfRule>
  </conditionalFormatting>
  <conditionalFormatting sqref="I80">
    <cfRule type="expression" dxfId="5" priority="402">
      <formula>AND(OR($F80="GD&amp;T",$F80="MAX"),$I80&lt;&gt;"")</formula>
    </cfRule>
    <cfRule type="expression" dxfId="6" priority="403">
      <formula>AND(OR($F80="GD&amp;T",$F80="MAX"),$I80="")</formula>
    </cfRule>
    <cfRule type="containsBlanks" dxfId="4" priority="404">
      <formula>LEN(TRIM(I80))=0</formula>
    </cfRule>
  </conditionalFormatting>
  <conditionalFormatting sqref="AK82:EF82">
    <cfRule type="containsBlanks" dxfId="4" priority="65">
      <formula>LEN(TRIM(AK82))=0</formula>
    </cfRule>
    <cfRule type="expression" dxfId="0" priority="66">
      <formula>AND($M82&lt;&gt;"",$AK82&lt;&gt;"",AK82&lt;$M82)</formula>
    </cfRule>
    <cfRule type="expression" dxfId="1" priority="67">
      <formula>AND($L82&lt;&gt;"",$AK82&lt;&gt;"",AK82&gt;$L82)</formula>
    </cfRule>
    <cfRule type="notContainsBlanks" dxfId="2" priority="68">
      <formula>LEN(TRIM(AK82))&gt;0</formula>
    </cfRule>
  </conditionalFormatting>
  <conditionalFormatting sqref="AK84:BP84">
    <cfRule type="containsBlanks" dxfId="4" priority="205">
      <formula>LEN(TRIM(AK84))=0</formula>
    </cfRule>
    <cfRule type="expression" dxfId="0" priority="206">
      <formula>AND($M84&lt;&gt;"",AK84&lt;$M84)</formula>
    </cfRule>
    <cfRule type="expression" dxfId="1" priority="207">
      <formula>AND($L84&lt;&gt;"",AK84&gt;$L84)</formula>
    </cfRule>
    <cfRule type="notContainsBlanks" dxfId="2" priority="208">
      <formula>LEN(TRIM(AK84))&gt;0</formula>
    </cfRule>
  </conditionalFormatting>
  <conditionalFormatting sqref="AK87:EF87">
    <cfRule type="containsBlanks" dxfId="4" priority="61">
      <formula>LEN(TRIM(AK87))=0</formula>
    </cfRule>
    <cfRule type="expression" dxfId="0" priority="62">
      <formula>AND($M87&lt;&gt;"",$AK87&lt;&gt;"",AK87&lt;$M87)</formula>
    </cfRule>
    <cfRule type="expression" dxfId="1" priority="63">
      <formula>AND($L87&lt;&gt;"",$AK87&lt;&gt;"",AK87&gt;$L87)</formula>
    </cfRule>
    <cfRule type="notContainsBlanks" dxfId="2" priority="64">
      <formula>LEN(TRIM(AK87))&gt;0</formula>
    </cfRule>
  </conditionalFormatting>
  <conditionalFormatting sqref="AK89:BP89">
    <cfRule type="containsBlanks" dxfId="4" priority="197">
      <formula>LEN(TRIM(AK89))=0</formula>
    </cfRule>
    <cfRule type="expression" dxfId="0" priority="198">
      <formula>AND($M89&lt;&gt;"",AK89&lt;$M89)</formula>
    </cfRule>
    <cfRule type="expression" dxfId="1" priority="199">
      <formula>AND($L89&lt;&gt;"",AK89&gt;$L89)</formula>
    </cfRule>
    <cfRule type="notContainsBlanks" dxfId="2" priority="200">
      <formula>LEN(TRIM(AK89))&gt;0</formula>
    </cfRule>
  </conditionalFormatting>
  <conditionalFormatting sqref="AK92:EF92">
    <cfRule type="containsBlanks" dxfId="4" priority="57">
      <formula>LEN(TRIM(AK92))=0</formula>
    </cfRule>
    <cfRule type="expression" dxfId="0" priority="58">
      <formula>AND($M92&lt;&gt;"",$AK92&lt;&gt;"",AK92&lt;$M92)</formula>
    </cfRule>
    <cfRule type="expression" dxfId="1" priority="59">
      <formula>AND($L92&lt;&gt;"",$AK92&lt;&gt;"",AK92&gt;$L92)</formula>
    </cfRule>
    <cfRule type="notContainsBlanks" dxfId="2" priority="60">
      <formula>LEN(TRIM(AK92))&gt;0</formula>
    </cfRule>
  </conditionalFormatting>
  <conditionalFormatting sqref="AK94:BP94">
    <cfRule type="containsBlanks" dxfId="4" priority="189">
      <formula>LEN(TRIM(AK94))=0</formula>
    </cfRule>
    <cfRule type="expression" dxfId="0" priority="190">
      <formula>AND($M94&lt;&gt;"",AK94&lt;$M94)</formula>
    </cfRule>
    <cfRule type="expression" dxfId="1" priority="191">
      <formula>AND($L94&lt;&gt;"",AK94&gt;$L94)</formula>
    </cfRule>
    <cfRule type="notContainsBlanks" dxfId="2" priority="192">
      <formula>LEN(TRIM(AK94))&gt;0</formula>
    </cfRule>
  </conditionalFormatting>
  <conditionalFormatting sqref="AK97:EF97">
    <cfRule type="containsBlanks" dxfId="4" priority="53">
      <formula>LEN(TRIM(AK97))=0</formula>
    </cfRule>
    <cfRule type="expression" dxfId="0" priority="54">
      <formula>AND($M97&lt;&gt;"",$AK97&lt;&gt;"",AK97&lt;$M97)</formula>
    </cfRule>
    <cfRule type="expression" dxfId="1" priority="55">
      <formula>AND($L97&lt;&gt;"",$AK97&lt;&gt;"",AK97&gt;$L97)</formula>
    </cfRule>
    <cfRule type="notContainsBlanks" dxfId="2" priority="56">
      <formula>LEN(TRIM(AK97))&gt;0</formula>
    </cfRule>
  </conditionalFormatting>
  <conditionalFormatting sqref="AK99:BP99">
    <cfRule type="containsBlanks" dxfId="4" priority="181">
      <formula>LEN(TRIM(AK99))=0</formula>
    </cfRule>
    <cfRule type="expression" dxfId="0" priority="182">
      <formula>AND($M99&lt;&gt;"",AK99&lt;$M99)</formula>
    </cfRule>
    <cfRule type="expression" dxfId="1" priority="183">
      <formula>AND($L99&lt;&gt;"",AK99&gt;$L99)</formula>
    </cfRule>
    <cfRule type="notContainsBlanks" dxfId="2" priority="184">
      <formula>LEN(TRIM(AK99))&gt;0</formula>
    </cfRule>
  </conditionalFormatting>
  <conditionalFormatting sqref="AK102:EF102">
    <cfRule type="containsBlanks" dxfId="4" priority="49">
      <formula>LEN(TRIM(AK102))=0</formula>
    </cfRule>
    <cfRule type="expression" dxfId="0" priority="50">
      <formula>AND($M102&lt;&gt;"",$AK102&lt;&gt;"",AK102&lt;$M102)</formula>
    </cfRule>
    <cfRule type="expression" dxfId="1" priority="51">
      <formula>AND($L102&lt;&gt;"",$AK102&lt;&gt;"",AK102&gt;$L102)</formula>
    </cfRule>
    <cfRule type="notContainsBlanks" dxfId="2" priority="52">
      <formula>LEN(TRIM(AK102))&gt;0</formula>
    </cfRule>
  </conditionalFormatting>
  <conditionalFormatting sqref="G103">
    <cfRule type="expression" dxfId="5" priority="322">
      <formula>AND($F103&lt;&gt;"Tolerance",$G103&lt;&gt;"")</formula>
    </cfRule>
    <cfRule type="expression" dxfId="6" priority="323">
      <formula>AND(OR($F103="GD&amp;T",$F103="MAX",$F103="MIN"),$G103="")</formula>
    </cfRule>
    <cfRule type="containsBlanks" dxfId="4" priority="324">
      <formula>LEN(TRIM(G103))=0</formula>
    </cfRule>
    <cfRule type="expression" dxfId="5" priority="319">
      <formula>AND($F103&lt;&gt;"Tolerance",$G103&lt;&gt;"")</formula>
    </cfRule>
    <cfRule type="expression" dxfId="6" priority="320">
      <formula>AND(OR($F103="GD&amp;T",$F103="MAX",$F103="MIN"),$G103="")</formula>
    </cfRule>
    <cfRule type="containsBlanks" dxfId="4" priority="321">
      <formula>LEN(TRIM(G103))=0</formula>
    </cfRule>
  </conditionalFormatting>
  <conditionalFormatting sqref="H103">
    <cfRule type="expression" dxfId="5" priority="328">
      <formula>AND($F103="MIN",$H103&lt;&gt;"")</formula>
    </cfRule>
    <cfRule type="expression" dxfId="6" priority="329">
      <formula>AND($F103="MIN",$H103="")</formula>
    </cfRule>
    <cfRule type="containsBlanks" dxfId="4" priority="330">
      <formula>LEN(TRIM(H103))=0</formula>
    </cfRule>
  </conditionalFormatting>
  <conditionalFormatting sqref="I103">
    <cfRule type="expression" dxfId="5" priority="325">
      <formula>AND(OR($F103="GD&amp;T",$F103="MAX"),$I103&lt;&gt;"")</formula>
    </cfRule>
    <cfRule type="expression" dxfId="6" priority="326">
      <formula>AND(OR($F103="GD&amp;T",$F103="MAX"),$I103="")</formula>
    </cfRule>
    <cfRule type="containsBlanks" dxfId="4" priority="327">
      <formula>LEN(TRIM(I103))=0</formula>
    </cfRule>
  </conditionalFormatting>
  <conditionalFormatting sqref="BQ103:EF103">
    <cfRule type="containsBlanks" dxfId="4" priority="364">
      <formula>LEN(TRIM(BQ103))=0</formula>
    </cfRule>
    <cfRule type="expression" dxfId="0" priority="365">
      <formula>AND($M103&lt;&gt;"",BQ103&lt;$M103)</formula>
    </cfRule>
    <cfRule type="expression" dxfId="1" priority="366">
      <formula>AND($L103&lt;&gt;"",BQ103&gt;$L103)</formula>
    </cfRule>
    <cfRule type="notContainsBlanks" dxfId="2" priority="367">
      <formula>LEN(TRIM(BQ103))&gt;0</formula>
    </cfRule>
  </conditionalFormatting>
  <conditionalFormatting sqref="G104">
    <cfRule type="expression" dxfId="5" priority="334">
      <formula>AND($F104&lt;&gt;"Tolerance",$G104&lt;&gt;"")</formula>
    </cfRule>
    <cfRule type="expression" dxfId="6" priority="335">
      <formula>AND(OR($F104="GD&amp;T",$F104="MAX",$F104="MIN"),$G104="")</formula>
    </cfRule>
    <cfRule type="containsBlanks" dxfId="4" priority="336">
      <formula>LEN(TRIM(G104))=0</formula>
    </cfRule>
    <cfRule type="expression" dxfId="5" priority="331">
      <formula>AND($F104&lt;&gt;"Tolerance",$G104&lt;&gt;"")</formula>
    </cfRule>
    <cfRule type="expression" dxfId="6" priority="332">
      <formula>AND(OR($F104="GD&amp;T",$F104="MAX",$F104="MIN"),$G104="")</formula>
    </cfRule>
    <cfRule type="containsBlanks" dxfId="4" priority="333">
      <formula>LEN(TRIM(G104))=0</formula>
    </cfRule>
  </conditionalFormatting>
  <conditionalFormatting sqref="H104">
    <cfRule type="expression" dxfId="5" priority="344">
      <formula>AND($F104="MIN",$H104&lt;&gt;"")</formula>
    </cfRule>
    <cfRule type="expression" dxfId="6" priority="345">
      <formula>AND($F104="MIN",$H104="")</formula>
    </cfRule>
    <cfRule type="containsBlanks" dxfId="4" priority="346">
      <formula>LEN(TRIM(H104))=0</formula>
    </cfRule>
  </conditionalFormatting>
  <conditionalFormatting sqref="I104">
    <cfRule type="expression" dxfId="5" priority="341">
      <formula>AND(OR($F104="GD&amp;T",$F104="MAX"),$I104&lt;&gt;"")</formula>
    </cfRule>
    <cfRule type="expression" dxfId="6" priority="342">
      <formula>AND(OR($F104="GD&amp;T",$F104="MAX"),$I104="")</formula>
    </cfRule>
    <cfRule type="containsBlanks" dxfId="4" priority="343">
      <formula>LEN(TRIM(I104))=0</formula>
    </cfRule>
  </conditionalFormatting>
  <conditionalFormatting sqref="O104:Q104">
    <cfRule type="expression" dxfId="0" priority="354">
      <formula>AND($M104&lt;&gt;"",$AK104&lt;&gt;"",O104&lt;$M104)</formula>
    </cfRule>
    <cfRule type="expression" dxfId="1" priority="355">
      <formula>AND($L104&lt;&gt;"",$AK104&lt;&gt;"",O104&gt;$L104)</formula>
    </cfRule>
    <cfRule type="notContainsBlanks" dxfId="2" priority="356">
      <formula>LEN(TRIM(O104))&gt;0</formula>
    </cfRule>
  </conditionalFormatting>
  <conditionalFormatting sqref="R104:S104">
    <cfRule type="expression" dxfId="8" priority="347">
      <formula>AND($AD104&lt;0.966,$AD104&lt;&gt;"")</formula>
    </cfRule>
  </conditionalFormatting>
  <conditionalFormatting sqref="Y104">
    <cfRule type="notContainsBlanks" dxfId="7" priority="353">
      <formula>LEN(TRIM(Y104))&gt;0</formula>
    </cfRule>
  </conditionalFormatting>
  <conditionalFormatting sqref="AD104">
    <cfRule type="expression" dxfId="7" priority="352">
      <formula>AND($AD104&lt;0.966,$AD104&lt;&gt;"")</formula>
    </cfRule>
  </conditionalFormatting>
  <conditionalFormatting sqref="AK104:BP104">
    <cfRule type="containsBlanks" dxfId="4" priority="173">
      <formula>LEN(TRIM(AK104))=0</formula>
    </cfRule>
    <cfRule type="expression" dxfId="0" priority="174">
      <formula>AND($M104&lt;&gt;"",AK104&lt;$M104)</formula>
    </cfRule>
    <cfRule type="expression" dxfId="1" priority="175">
      <formula>AND($L104&lt;&gt;"",AK104&gt;$L104)</formula>
    </cfRule>
    <cfRule type="notContainsBlanks" dxfId="2" priority="176">
      <formula>LEN(TRIM(AK104))&gt;0</formula>
    </cfRule>
  </conditionalFormatting>
  <conditionalFormatting sqref="BQ104:EF104">
    <cfRule type="containsBlanks" dxfId="4" priority="337">
      <formula>LEN(TRIM(BQ104))=0</formula>
    </cfRule>
    <cfRule type="expression" dxfId="0" priority="338">
      <formula>AND($M104&lt;&gt;"",BQ104&lt;$M104)</formula>
    </cfRule>
    <cfRule type="expression" dxfId="1" priority="339">
      <formula>AND($L104&lt;&gt;"",BQ104&gt;$L104)</formula>
    </cfRule>
    <cfRule type="notContainsBlanks" dxfId="2" priority="340">
      <formula>LEN(TRIM(BQ104))&gt;0</formula>
    </cfRule>
  </conditionalFormatting>
  <conditionalFormatting sqref="AK107:EF107">
    <cfRule type="containsBlanks" dxfId="4" priority="45">
      <formula>LEN(TRIM(AK107))=0</formula>
    </cfRule>
    <cfRule type="expression" dxfId="0" priority="46">
      <formula>AND($M107&lt;&gt;"",$AK107&lt;&gt;"",AK107&lt;$M107)</formula>
    </cfRule>
    <cfRule type="expression" dxfId="1" priority="47">
      <formula>AND($L107&lt;&gt;"",$AK107&lt;&gt;"",AK107&gt;$L107)</formula>
    </cfRule>
    <cfRule type="notContainsBlanks" dxfId="2" priority="48">
      <formula>LEN(TRIM(AK107))&gt;0</formula>
    </cfRule>
  </conditionalFormatting>
  <conditionalFormatting sqref="AK109:BP109">
    <cfRule type="containsBlanks" dxfId="4" priority="165">
      <formula>LEN(TRIM(AK109))=0</formula>
    </cfRule>
    <cfRule type="expression" dxfId="0" priority="166">
      <formula>AND($M109&lt;&gt;"",AK109&lt;$M109)</formula>
    </cfRule>
    <cfRule type="expression" dxfId="1" priority="167">
      <formula>AND($L109&lt;&gt;"",AK109&gt;$L109)</formula>
    </cfRule>
    <cfRule type="notContainsBlanks" dxfId="2" priority="168">
      <formula>LEN(TRIM(AK109))&gt;0</formula>
    </cfRule>
  </conditionalFormatting>
  <conditionalFormatting sqref="AK112:EF112">
    <cfRule type="containsBlanks" dxfId="4" priority="41">
      <formula>LEN(TRIM(AK112))=0</formula>
    </cfRule>
    <cfRule type="expression" dxfId="0" priority="42">
      <formula>AND($M112&lt;&gt;"",$AK112&lt;&gt;"",AK112&lt;$M112)</formula>
    </cfRule>
    <cfRule type="expression" dxfId="1" priority="43">
      <formula>AND($L112&lt;&gt;"",$AK112&lt;&gt;"",AK112&gt;$L112)</formula>
    </cfRule>
    <cfRule type="notContainsBlanks" dxfId="2" priority="44">
      <formula>LEN(TRIM(AK112))&gt;0</formula>
    </cfRule>
  </conditionalFormatting>
  <conditionalFormatting sqref="AK114:BP114">
    <cfRule type="containsBlanks" dxfId="4" priority="157">
      <formula>LEN(TRIM(AK114))=0</formula>
    </cfRule>
    <cfRule type="expression" dxfId="0" priority="158">
      <formula>AND($M114&lt;&gt;"",AK114&lt;$M114)</formula>
    </cfRule>
    <cfRule type="expression" dxfId="1" priority="159">
      <formula>AND($L114&lt;&gt;"",AK114&gt;$L114)</formula>
    </cfRule>
    <cfRule type="notContainsBlanks" dxfId="2" priority="160">
      <formula>LEN(TRIM(AK114))&gt;0</formula>
    </cfRule>
  </conditionalFormatting>
  <conditionalFormatting sqref="AK117:EF117">
    <cfRule type="containsBlanks" dxfId="4" priority="37">
      <formula>LEN(TRIM(AK117))=0</formula>
    </cfRule>
    <cfRule type="expression" dxfId="0" priority="38">
      <formula>AND($M117&lt;&gt;"",$AK117&lt;&gt;"",AK117&lt;$M117)</formula>
    </cfRule>
    <cfRule type="expression" dxfId="1" priority="39">
      <formula>AND($L117&lt;&gt;"",$AK117&lt;&gt;"",AK117&gt;$L117)</formula>
    </cfRule>
    <cfRule type="notContainsBlanks" dxfId="2" priority="40">
      <formula>LEN(TRIM(AK117))&gt;0</formula>
    </cfRule>
  </conditionalFormatting>
  <conditionalFormatting sqref="G119">
    <cfRule type="expression" dxfId="5" priority="310">
      <formula>AND($F119&lt;&gt;"Tolerance",$G119&lt;&gt;"")</formula>
    </cfRule>
    <cfRule type="expression" dxfId="6" priority="311">
      <formula>AND(OR($F119="GD&amp;T",$F119="MAX",$F119="MIN"),$G119="")</formula>
    </cfRule>
    <cfRule type="containsBlanks" dxfId="4" priority="312">
      <formula>LEN(TRIM(G119))=0</formula>
    </cfRule>
    <cfRule type="expression" dxfId="5" priority="307">
      <formula>AND($F119&lt;&gt;"Tolerance",$G119&lt;&gt;"")</formula>
    </cfRule>
    <cfRule type="expression" dxfId="6" priority="308">
      <formula>AND(OR($F119="GD&amp;T",$F119="MAX",$F119="MIN"),$G119="")</formula>
    </cfRule>
    <cfRule type="containsBlanks" dxfId="4" priority="309">
      <formula>LEN(TRIM(G119))=0</formula>
    </cfRule>
  </conditionalFormatting>
  <conditionalFormatting sqref="H119">
    <cfRule type="expression" dxfId="5" priority="316">
      <formula>AND($F119="MIN",$H119&lt;&gt;"")</formula>
    </cfRule>
    <cfRule type="expression" dxfId="6" priority="317">
      <formula>AND($F119="MIN",$H119="")</formula>
    </cfRule>
    <cfRule type="containsBlanks" dxfId="4" priority="318">
      <formula>LEN(TRIM(H119))=0</formula>
    </cfRule>
  </conditionalFormatting>
  <conditionalFormatting sqref="I119">
    <cfRule type="expression" dxfId="5" priority="313">
      <formula>AND(OR($F119="GD&amp;T",$F119="MAX"),$I119&lt;&gt;"")</formula>
    </cfRule>
    <cfRule type="expression" dxfId="6" priority="314">
      <formula>AND(OR($F119="GD&amp;T",$F119="MAX"),$I119="")</formula>
    </cfRule>
    <cfRule type="containsBlanks" dxfId="4" priority="315">
      <formula>LEN(TRIM(I119))=0</formula>
    </cfRule>
  </conditionalFormatting>
  <conditionalFormatting sqref="AK119:BP119">
    <cfRule type="containsBlanks" dxfId="4" priority="149">
      <formula>LEN(TRIM(AK119))=0</formula>
    </cfRule>
    <cfRule type="expression" dxfId="0" priority="150">
      <formula>AND($M119&lt;&gt;"",AK119&lt;$M119)</formula>
    </cfRule>
    <cfRule type="expression" dxfId="1" priority="151">
      <formula>AND($L119&lt;&gt;"",AK119&gt;$L119)</formula>
    </cfRule>
    <cfRule type="notContainsBlanks" dxfId="2" priority="152">
      <formula>LEN(TRIM(AK119))&gt;0</formula>
    </cfRule>
  </conditionalFormatting>
  <conditionalFormatting sqref="AK122:EF122">
    <cfRule type="containsBlanks" dxfId="4" priority="33">
      <formula>LEN(TRIM(AK122))=0</formula>
    </cfRule>
    <cfRule type="expression" dxfId="0" priority="34">
      <formula>AND($M122&lt;&gt;"",$AK122&lt;&gt;"",AK122&lt;$M122)</formula>
    </cfRule>
    <cfRule type="expression" dxfId="1" priority="35">
      <formula>AND($L122&lt;&gt;"",$AK122&lt;&gt;"",AK122&gt;$L122)</formula>
    </cfRule>
    <cfRule type="notContainsBlanks" dxfId="2" priority="36">
      <formula>LEN(TRIM(AK122))&gt;0</formula>
    </cfRule>
  </conditionalFormatting>
  <conditionalFormatting sqref="AK124:BP124">
    <cfRule type="containsBlanks" dxfId="4" priority="141">
      <formula>LEN(TRIM(AK124))=0</formula>
    </cfRule>
    <cfRule type="expression" dxfId="0" priority="142">
      <formula>AND($M124&lt;&gt;"",AK124&lt;$M124)</formula>
    </cfRule>
    <cfRule type="expression" dxfId="1" priority="143">
      <formula>AND($L124&lt;&gt;"",AK124&gt;$L124)</formula>
    </cfRule>
    <cfRule type="notContainsBlanks" dxfId="2" priority="144">
      <formula>LEN(TRIM(AK124))&gt;0</formula>
    </cfRule>
  </conditionalFormatting>
  <conditionalFormatting sqref="AK127:EF127">
    <cfRule type="containsBlanks" dxfId="4" priority="29">
      <formula>LEN(TRIM(AK127))=0</formula>
    </cfRule>
    <cfRule type="expression" dxfId="0" priority="30">
      <formula>AND($M127&lt;&gt;"",$AK127&lt;&gt;"",AK127&lt;$M127)</formula>
    </cfRule>
    <cfRule type="expression" dxfId="1" priority="31">
      <formula>AND($L127&lt;&gt;"",$AK127&lt;&gt;"",AK127&gt;$L127)</formula>
    </cfRule>
    <cfRule type="notContainsBlanks" dxfId="2" priority="32">
      <formula>LEN(TRIM(AK127))&gt;0</formula>
    </cfRule>
  </conditionalFormatting>
  <conditionalFormatting sqref="AK129:BP129">
    <cfRule type="containsBlanks" dxfId="4" priority="133">
      <formula>LEN(TRIM(AK129))=0</formula>
    </cfRule>
    <cfRule type="expression" dxfId="0" priority="134">
      <formula>AND($M129&lt;&gt;"",AK129&lt;$M129)</formula>
    </cfRule>
    <cfRule type="expression" dxfId="1" priority="135">
      <formula>AND($L129&lt;&gt;"",AK129&gt;$L129)</formula>
    </cfRule>
    <cfRule type="notContainsBlanks" dxfId="2" priority="136">
      <formula>LEN(TRIM(AK129))&gt;0</formula>
    </cfRule>
  </conditionalFormatting>
  <conditionalFormatting sqref="AK132:EF132">
    <cfRule type="containsBlanks" dxfId="4" priority="25">
      <formula>LEN(TRIM(AK132))=0</formula>
    </cfRule>
    <cfRule type="expression" dxfId="0" priority="26">
      <formula>AND($M132&lt;&gt;"",$AK132&lt;&gt;"",AK132&lt;$M132)</formula>
    </cfRule>
    <cfRule type="expression" dxfId="1" priority="27">
      <formula>AND($L132&lt;&gt;"",$AK132&lt;&gt;"",AK132&gt;$L132)</formula>
    </cfRule>
    <cfRule type="notContainsBlanks" dxfId="2" priority="28">
      <formula>LEN(TRIM(AK132))&gt;0</formula>
    </cfRule>
  </conditionalFormatting>
  <conditionalFormatting sqref="AK134:BP134">
    <cfRule type="containsBlanks" dxfId="4" priority="125">
      <formula>LEN(TRIM(AK134))=0</formula>
    </cfRule>
    <cfRule type="expression" dxfId="0" priority="126">
      <formula>AND($M134&lt;&gt;"",AK134&lt;$M134)</formula>
    </cfRule>
    <cfRule type="expression" dxfId="1" priority="127">
      <formula>AND($L134&lt;&gt;"",AK134&gt;$L134)</formula>
    </cfRule>
    <cfRule type="notContainsBlanks" dxfId="2" priority="128">
      <formula>LEN(TRIM(AK134))&gt;0</formula>
    </cfRule>
  </conditionalFormatting>
  <conditionalFormatting sqref="AK137:EF137">
    <cfRule type="containsBlanks" dxfId="4" priority="21">
      <formula>LEN(TRIM(AK137))=0</formula>
    </cfRule>
    <cfRule type="expression" dxfId="0" priority="22">
      <formula>AND($M137&lt;&gt;"",$AK137&lt;&gt;"",AK137&lt;$M137)</formula>
    </cfRule>
    <cfRule type="expression" dxfId="1" priority="23">
      <formula>AND($L137&lt;&gt;"",$AK137&lt;&gt;"",AK137&gt;$L137)</formula>
    </cfRule>
    <cfRule type="notContainsBlanks" dxfId="2" priority="24">
      <formula>LEN(TRIM(AK137))&gt;0</formula>
    </cfRule>
  </conditionalFormatting>
  <conditionalFormatting sqref="BQ138:EF138">
    <cfRule type="containsBlanks" dxfId="4" priority="304">
      <formula>LEN(TRIM(BQ138))=0</formula>
    </cfRule>
  </conditionalFormatting>
  <conditionalFormatting sqref="R12:R32">
    <cfRule type="expression" dxfId="3" priority="6">
      <formula>AND($R12&lt;&gt;"",$S12&lt;1.67)</formula>
    </cfRule>
    <cfRule type="notContainsBlanks" dxfId="2" priority="7">
      <formula>LEN(TRIM(R12))&gt;0</formula>
    </cfRule>
  </conditionalFormatting>
  <conditionalFormatting sqref="R33:R138">
    <cfRule type="expression" dxfId="3" priority="15">
      <formula>AND($R33&lt;&gt;"",$S33&lt;1.67)</formula>
    </cfRule>
    <cfRule type="notContainsBlanks" dxfId="2" priority="16">
      <formula>LEN(TRIM(R33))&gt;0</formula>
    </cfRule>
  </conditionalFormatting>
  <conditionalFormatting sqref="Y11:Y138">
    <cfRule type="containsBlanks" dxfId="9" priority="951">
      <formula>LEN(TRIM(Y11))=0</formula>
    </cfRule>
    <cfRule type="cellIs" dxfId="10" priority="952" operator="between">
      <formula>0.9</formula>
      <formula>0.998</formula>
    </cfRule>
    <cfRule type="cellIs" dxfId="2" priority="953" operator="greaterThanOrEqual">
      <formula>0.998</formula>
    </cfRule>
    <cfRule type="notContainsBlanks" dxfId="7" priority="958">
      <formula>LEN(TRIM(Y11))&gt;0</formula>
    </cfRule>
  </conditionalFormatting>
  <conditionalFormatting sqref="Y59:Y60">
    <cfRule type="notContainsBlanks" dxfId="7" priority="499">
      <formula>LEN(TRIM(Y59))&gt;0</formula>
    </cfRule>
  </conditionalFormatting>
  <conditionalFormatting sqref="Y98:Y99">
    <cfRule type="notContainsBlanks" dxfId="7" priority="394">
      <formula>LEN(TRIM(Y98))&gt;0</formula>
    </cfRule>
  </conditionalFormatting>
  <conditionalFormatting sqref="Y137:Y138">
    <cfRule type="notContainsBlanks" dxfId="7" priority="305">
      <formula>LEN(TRIM(Y137))&gt;0</formula>
    </cfRule>
  </conditionalFormatting>
  <conditionalFormatting sqref="AD61:AD64">
    <cfRule type="expression" dxfId="7" priority="473">
      <formula>AND($AD61&lt;0.966,$AD61&lt;&gt;"")</formula>
    </cfRule>
  </conditionalFormatting>
  <conditionalFormatting sqref="AD100:AD103">
    <cfRule type="expression" dxfId="7" priority="384">
      <formula>AND($AD100&lt;0.966,$AD100&lt;&gt;"")</formula>
    </cfRule>
  </conditionalFormatting>
  <conditionalFormatting sqref="G42:G60 G11:G40">
    <cfRule type="expression" dxfId="5" priority="664">
      <formula>AND($F11&lt;&gt;"Tolerance",$G11&lt;&gt;"")</formula>
    </cfRule>
    <cfRule type="expression" dxfId="6" priority="665">
      <formula>AND(OR($F11="GD&amp;T",$F11="MAX",$F11="MIN"),$G11="")</formula>
    </cfRule>
    <cfRule type="containsBlanks" dxfId="4" priority="666">
      <formula>LEN(TRIM(G11))=0</formula>
    </cfRule>
    <cfRule type="expression" dxfId="5" priority="661">
      <formula>AND($F11&lt;&gt;"Tolerance",$G11&lt;&gt;"")</formula>
    </cfRule>
    <cfRule type="expression" dxfId="6" priority="662">
      <formula>AND(OR($F11="GD&amp;T",$F11="MAX",$F11="MIN"),$G11="")</formula>
    </cfRule>
    <cfRule type="containsBlanks" dxfId="4" priority="663">
      <formula>LEN(TRIM(G11))=0</formula>
    </cfRule>
  </conditionalFormatting>
  <conditionalFormatting sqref="H27:H40 H11:H24 H42:H60">
    <cfRule type="expression" dxfId="5" priority="944">
      <formula>AND($F11="MIN",$H11&lt;&gt;"")</formula>
    </cfRule>
    <cfRule type="expression" dxfId="6" priority="945">
      <formula>AND($F11="MIN",$H11="")</formula>
    </cfRule>
    <cfRule type="containsBlanks" dxfId="4" priority="946">
      <formula>LEN(TRIM(H11))=0</formula>
    </cfRule>
  </conditionalFormatting>
  <conditionalFormatting sqref="I42:I60 I11:I40">
    <cfRule type="expression" dxfId="5" priority="941">
      <formula>AND(OR($F11="GD&amp;T",$F11="MAX"),$I11&lt;&gt;"")</formula>
    </cfRule>
    <cfRule type="expression" dxfId="6" priority="942">
      <formula>AND(OR($F11="GD&amp;T",$F11="MAX"),$I11="")</formula>
    </cfRule>
    <cfRule type="containsBlanks" dxfId="4" priority="943">
      <formula>LEN(TRIM(I11))=0</formula>
    </cfRule>
  </conditionalFormatting>
  <conditionalFormatting sqref="S11:S138 V11:X138">
    <cfRule type="expression" dxfId="11" priority="529">
      <formula>$K11="Yes"</formula>
    </cfRule>
    <cfRule type="expression" dxfId="8" priority="950">
      <formula>AND($AD11&lt;0.966,$AD11&lt;&gt;"")</formula>
    </cfRule>
    <cfRule type="cellIs" dxfId="0" priority="954" operator="lessThan">
      <formula>$E11</formula>
    </cfRule>
    <cfRule type="notContainsBlanks" dxfId="2" priority="963">
      <formula>LEN(TRIM(S11))&gt;0</formula>
    </cfRule>
  </conditionalFormatting>
  <conditionalFormatting sqref="AD11:AE138">
    <cfRule type="expression" dxfId="7" priority="957">
      <formula>AND($AD11&lt;0.966,$AD11&lt;&gt;"")</formula>
    </cfRule>
  </conditionalFormatting>
  <conditionalFormatting sqref="AK23:EF23 BQ28:EF31 AK11:EF21 BQ33:EF36 BQ38:EF41 BQ43:EF46 BQ48:EF51 BQ53:EF56 BQ58:EF58">
    <cfRule type="containsBlanks" dxfId="4" priority="956">
      <formula>LEN(TRIM(AK11))=0</formula>
    </cfRule>
  </conditionalFormatting>
  <conditionalFormatting sqref="AK11:EF138">
    <cfRule type="expression" dxfId="0" priority="577">
      <formula>AND($M11&lt;&gt;"",$AK11&lt;&gt;"",AK11&lt;$M11)</formula>
    </cfRule>
    <cfRule type="expression" dxfId="1" priority="578">
      <formula>AND($L11&lt;&gt;"",$AK11&lt;&gt;"",AK11&gt;$L11)</formula>
    </cfRule>
    <cfRule type="notContainsBlanks" dxfId="2" priority="579">
      <formula>LEN(TRIM(AK11))&gt;0</formula>
    </cfRule>
  </conditionalFormatting>
  <conditionalFormatting sqref="O12:Q32">
    <cfRule type="expression" dxfId="0" priority="8">
      <formula>AND($M12&lt;&gt;"",$AK12&lt;&gt;"",O12&lt;$M12)</formula>
    </cfRule>
    <cfRule type="expression" dxfId="1" priority="9">
      <formula>AND($L12&lt;&gt;"",$AK12&lt;&gt;"",O12&gt;$L12)</formula>
    </cfRule>
    <cfRule type="notContainsBlanks" dxfId="2" priority="10">
      <formula>LEN(TRIM(O12))&gt;0</formula>
    </cfRule>
  </conditionalFormatting>
  <conditionalFormatting sqref="AK25:BP26 AK28:BP28">
    <cfRule type="containsBlanks" dxfId="4" priority="297">
      <formula>LEN(TRIM(AK25))=0</formula>
    </cfRule>
  </conditionalFormatting>
  <conditionalFormatting sqref="AK25:BP26">
    <cfRule type="expression" dxfId="0" priority="298">
      <formula>AND($M25&lt;&gt;"",$AK25&lt;&gt;"",AK25&lt;$M25)</formula>
    </cfRule>
    <cfRule type="expression" dxfId="1" priority="299">
      <formula>AND($L25&lt;&gt;"",$AK25&lt;&gt;"",AK25&gt;$L25)</formula>
    </cfRule>
    <cfRule type="notContainsBlanks" dxfId="2" priority="300">
      <formula>LEN(TRIM(AK25))&gt;0</formula>
    </cfRule>
  </conditionalFormatting>
  <conditionalFormatting sqref="S26 V26:Y26 V65:Y97 V104:Y136">
    <cfRule type="expression" dxfId="8" priority="570">
      <formula>AND($AD26&lt;0.966,$AD26&lt;&gt;"")</formula>
    </cfRule>
  </conditionalFormatting>
  <conditionalFormatting sqref="S26 V26:X26">
    <cfRule type="cellIs" dxfId="0" priority="574" operator="lessThan">
      <formula>1.33</formula>
    </cfRule>
    <cfRule type="notContainsBlanks" dxfId="2" priority="580">
      <formula>LEN(TRIM(S26))&gt;0</formula>
    </cfRule>
  </conditionalFormatting>
  <conditionalFormatting sqref="Y26 AB26:AC26">
    <cfRule type="containsBlanks" dxfId="9" priority="571">
      <formula>LEN(TRIM(Y26))=0</formula>
    </cfRule>
    <cfRule type="cellIs" dxfId="10" priority="572" operator="between">
      <formula>0.9</formula>
      <formula>0.998</formula>
    </cfRule>
    <cfRule type="cellIs" dxfId="2" priority="573" operator="greaterThanOrEqual">
      <formula>0.998</formula>
    </cfRule>
  </conditionalFormatting>
  <conditionalFormatting sqref="AK30:BP31 AK33:BP33">
    <cfRule type="containsBlanks" dxfId="4" priority="289">
      <formula>LEN(TRIM(AK30))=0</formula>
    </cfRule>
  </conditionalFormatting>
  <conditionalFormatting sqref="AK30:BP31">
    <cfRule type="expression" dxfId="0" priority="290">
      <formula>AND($M30&lt;&gt;"",$AK30&lt;&gt;"",AK30&lt;$M30)</formula>
    </cfRule>
    <cfRule type="expression" dxfId="1" priority="291">
      <formula>AND($L30&lt;&gt;"",$AK30&lt;&gt;"",AK30&gt;$L30)</formula>
    </cfRule>
    <cfRule type="notContainsBlanks" dxfId="2" priority="292">
      <formula>LEN(TRIM(AK30))&gt;0</formula>
    </cfRule>
  </conditionalFormatting>
  <conditionalFormatting sqref="O33:Q138">
    <cfRule type="expression" dxfId="0" priority="959">
      <formula>AND($M33&lt;&gt;"",$AK33&lt;&gt;"",O33&lt;$M33)</formula>
    </cfRule>
    <cfRule type="expression" dxfId="1" priority="961">
      <formula>AND($L33&lt;&gt;"",$AK33&lt;&gt;"",O33&gt;$L33)</formula>
    </cfRule>
    <cfRule type="notContainsBlanks" dxfId="2" priority="962">
      <formula>LEN(TRIM(O33))&gt;0</formula>
    </cfRule>
  </conditionalFormatting>
  <conditionalFormatting sqref="AK35:BP36 AK38:BP38">
    <cfRule type="containsBlanks" dxfId="4" priority="281">
      <formula>LEN(TRIM(AK35))=0</formula>
    </cfRule>
  </conditionalFormatting>
  <conditionalFormatting sqref="AK35:BP36">
    <cfRule type="expression" dxfId="0" priority="282">
      <formula>AND($M35&lt;&gt;"",$AK35&lt;&gt;"",AK35&lt;$M35)</formula>
    </cfRule>
    <cfRule type="expression" dxfId="1" priority="283">
      <formula>AND($L35&lt;&gt;"",$AK35&lt;&gt;"",AK35&gt;$L35)</formula>
    </cfRule>
    <cfRule type="notContainsBlanks" dxfId="2" priority="284">
      <formula>LEN(TRIM(AK35))&gt;0</formula>
    </cfRule>
  </conditionalFormatting>
  <conditionalFormatting sqref="AK40:BP41 AK43:BP43">
    <cfRule type="containsBlanks" dxfId="4" priority="273">
      <formula>LEN(TRIM(AK40))=0</formula>
    </cfRule>
  </conditionalFormatting>
  <conditionalFormatting sqref="AK40:BP41">
    <cfRule type="expression" dxfId="0" priority="274">
      <formula>AND($M40&lt;&gt;"",$AK40&lt;&gt;"",AK40&lt;$M40)</formula>
    </cfRule>
    <cfRule type="expression" dxfId="1" priority="275">
      <formula>AND($L40&lt;&gt;"",$AK40&lt;&gt;"",AK40&gt;$L40)</formula>
    </cfRule>
    <cfRule type="notContainsBlanks" dxfId="2" priority="276">
      <formula>LEN(TRIM(AK40))&gt;0</formula>
    </cfRule>
  </conditionalFormatting>
  <conditionalFormatting sqref="AK45:BP46 AK48:BP48">
    <cfRule type="containsBlanks" dxfId="4" priority="265">
      <formula>LEN(TRIM(AK45))=0</formula>
    </cfRule>
  </conditionalFormatting>
  <conditionalFormatting sqref="AK45:BP46">
    <cfRule type="expression" dxfId="0" priority="266">
      <formula>AND($M45&lt;&gt;"",$AK45&lt;&gt;"",AK45&lt;$M45)</formula>
    </cfRule>
    <cfRule type="expression" dxfId="1" priority="267">
      <formula>AND($L45&lt;&gt;"",$AK45&lt;&gt;"",AK45&gt;$L45)</formula>
    </cfRule>
    <cfRule type="notContainsBlanks" dxfId="2" priority="268">
      <formula>LEN(TRIM(AK45))&gt;0</formula>
    </cfRule>
  </conditionalFormatting>
  <conditionalFormatting sqref="AK50:BP51 AK53:BP53">
    <cfRule type="containsBlanks" dxfId="4" priority="257">
      <formula>LEN(TRIM(AK50))=0</formula>
    </cfRule>
  </conditionalFormatting>
  <conditionalFormatting sqref="AK50:BP51">
    <cfRule type="expression" dxfId="0" priority="258">
      <formula>AND($M50&lt;&gt;"",$AK50&lt;&gt;"",AK50&lt;$M50)</formula>
    </cfRule>
    <cfRule type="expression" dxfId="1" priority="259">
      <formula>AND($L50&lt;&gt;"",$AK50&lt;&gt;"",AK50&gt;$L50)</formula>
    </cfRule>
    <cfRule type="notContainsBlanks" dxfId="2" priority="260">
      <formula>LEN(TRIM(AK50))&gt;0</formula>
    </cfRule>
  </conditionalFormatting>
  <conditionalFormatting sqref="AK55:BP56 AK58:BP58">
    <cfRule type="containsBlanks" dxfId="4" priority="249">
      <formula>LEN(TRIM(AK55))=0</formula>
    </cfRule>
  </conditionalFormatting>
  <conditionalFormatting sqref="AK55:BP56">
    <cfRule type="expression" dxfId="0" priority="250">
      <formula>AND($M55&lt;&gt;"",$AK55&lt;&gt;"",AK55&lt;$M55)</formula>
    </cfRule>
    <cfRule type="expression" dxfId="1" priority="251">
      <formula>AND($L55&lt;&gt;"",$AK55&lt;&gt;"",AK55&gt;$L55)</formula>
    </cfRule>
    <cfRule type="notContainsBlanks" dxfId="2" priority="252">
      <formula>LEN(TRIM(AK55))&gt;0</formula>
    </cfRule>
  </conditionalFormatting>
  <conditionalFormatting sqref="Y59:AC60">
    <cfRule type="containsBlanks" dxfId="9" priority="493">
      <formula>LEN(TRIM(Y59))=0</formula>
    </cfRule>
    <cfRule type="cellIs" dxfId="10" priority="494" operator="between">
      <formula>0.9</formula>
      <formula>0.998</formula>
    </cfRule>
    <cfRule type="cellIs" dxfId="2" priority="495" operator="greaterThanOrEqual">
      <formula>0.998</formula>
    </cfRule>
  </conditionalFormatting>
  <conditionalFormatting sqref="BQ59:EF60">
    <cfRule type="containsBlanks" dxfId="4" priority="497">
      <formula>LEN(TRIM(BQ59))=0</formula>
    </cfRule>
  </conditionalFormatting>
  <conditionalFormatting sqref="AK60:BP61 AK63:BP63">
    <cfRule type="containsBlanks" dxfId="4" priority="241">
      <formula>LEN(TRIM(AK60))=0</formula>
    </cfRule>
  </conditionalFormatting>
  <conditionalFormatting sqref="AK60:BP61">
    <cfRule type="expression" dxfId="0" priority="242">
      <formula>AND($M60&lt;&gt;"",$AK60&lt;&gt;"",AK60&lt;$M60)</formula>
    </cfRule>
    <cfRule type="expression" dxfId="1" priority="243">
      <formula>AND($L60&lt;&gt;"",$AK60&lt;&gt;"",AK60&gt;$L60)</formula>
    </cfRule>
    <cfRule type="notContainsBlanks" dxfId="2" priority="244">
      <formula>LEN(TRIM(AK60))&gt;0</formula>
    </cfRule>
  </conditionalFormatting>
  <conditionalFormatting sqref="G61:G63 G66:G79 G81:G99">
    <cfRule type="expression" dxfId="5" priority="450">
      <formula>AND($F61&lt;&gt;"Tolerance",$G61&lt;&gt;"")</formula>
    </cfRule>
    <cfRule type="expression" dxfId="6" priority="451">
      <formula>AND(OR($F61="GD&amp;T",$F61="MAX",$F61="MIN"),$G61="")</formula>
    </cfRule>
    <cfRule type="containsBlanks" dxfId="4" priority="452">
      <formula>LEN(TRIM(G61))=0</formula>
    </cfRule>
    <cfRule type="expression" dxfId="5" priority="447">
      <formula>AND($F61&lt;&gt;"Tolerance",$G61&lt;&gt;"")</formula>
    </cfRule>
    <cfRule type="expression" dxfId="6" priority="448">
      <formula>AND(OR($F61="GD&amp;T",$F61="MAX",$F61="MIN"),$G61="")</formula>
    </cfRule>
    <cfRule type="containsBlanks" dxfId="4" priority="449">
      <formula>LEN(TRIM(G61))=0</formula>
    </cfRule>
  </conditionalFormatting>
  <conditionalFormatting sqref="H66:H79 H61:H63 H81:H99">
    <cfRule type="expression" dxfId="5" priority="464">
      <formula>AND($F61="MIN",$H61&lt;&gt;"")</formula>
    </cfRule>
    <cfRule type="expression" dxfId="6" priority="465">
      <formula>AND($F61="MIN",$H61="")</formula>
    </cfRule>
    <cfRule type="containsBlanks" dxfId="4" priority="466">
      <formula>LEN(TRIM(H61))=0</formula>
    </cfRule>
  </conditionalFormatting>
  <conditionalFormatting sqref="I61:I63 I66:I79 I81:I99">
    <cfRule type="expression" dxfId="5" priority="461">
      <formula>AND(OR($F61="GD&amp;T",$F61="MAX"),$I61&lt;&gt;"")</formula>
    </cfRule>
    <cfRule type="expression" dxfId="6" priority="462">
      <formula>AND(OR($F61="GD&amp;T",$F61="MAX"),$I61="")</formula>
    </cfRule>
    <cfRule type="containsBlanks" dxfId="4" priority="463">
      <formula>LEN(TRIM(I61))=0</formula>
    </cfRule>
  </conditionalFormatting>
  <conditionalFormatting sqref="S66:S99 S61:S64 V61:X64 V66:X99">
    <cfRule type="cellIs" dxfId="0" priority="471" operator="lessThan">
      <formula>$E61</formula>
    </cfRule>
    <cfRule type="notContainsBlanks" dxfId="2" priority="478">
      <formula>LEN(TRIM(S61))&gt;0</formula>
    </cfRule>
  </conditionalFormatting>
  <conditionalFormatting sqref="S61:S99 V61:Y99">
    <cfRule type="expression" dxfId="11" priority="395">
      <formula>$K61="Yes"</formula>
    </cfRule>
  </conditionalFormatting>
  <conditionalFormatting sqref="Y66:Y97 AB66:AC97 Y61:Y64 AB61:AC64 Z61:AA97">
    <cfRule type="containsBlanks" dxfId="9" priority="468">
      <formula>LEN(TRIM(Y61))=0</formula>
    </cfRule>
    <cfRule type="cellIs" dxfId="10" priority="469" operator="between">
      <formula>0.9</formula>
      <formula>0.998</formula>
    </cfRule>
    <cfRule type="cellIs" dxfId="2" priority="470" operator="greaterThanOrEqual">
      <formula>0.998</formula>
    </cfRule>
  </conditionalFormatting>
  <conditionalFormatting sqref="Y61:Y64 Y66:Y97">
    <cfRule type="notContainsBlanks" dxfId="7" priority="474">
      <formula>LEN(TRIM(Y61))&gt;0</formula>
    </cfRule>
  </conditionalFormatting>
  <conditionalFormatting sqref="BQ61:EF61 BQ66:EF66 BQ68:EF71 BQ73:EF76 BQ78:EF81 BQ83:EF86 BQ88:EF91 BQ93:EF96">
    <cfRule type="containsBlanks" dxfId="4" priority="472">
      <formula>LEN(TRIM(BQ61))=0</formula>
    </cfRule>
  </conditionalFormatting>
  <conditionalFormatting sqref="S65 V65:X65">
    <cfRule type="cellIs" dxfId="0" priority="440" operator="lessThan">
      <formula>1.33</formula>
    </cfRule>
    <cfRule type="notContainsBlanks" dxfId="2" priority="446">
      <formula>LEN(TRIM(S65))&gt;0</formula>
    </cfRule>
  </conditionalFormatting>
  <conditionalFormatting sqref="Y65 AB65:AC65">
    <cfRule type="containsBlanks" dxfId="9" priority="437">
      <formula>LEN(TRIM(Y65))=0</formula>
    </cfRule>
    <cfRule type="cellIs" dxfId="10" priority="438" operator="between">
      <formula>0.9</formula>
      <formula>0.998</formula>
    </cfRule>
    <cfRule type="cellIs" dxfId="2" priority="439" operator="greaterThanOrEqual">
      <formula>0.998</formula>
    </cfRule>
  </conditionalFormatting>
  <conditionalFormatting sqref="AK65:BP66 AK68:BP68">
    <cfRule type="containsBlanks" dxfId="4" priority="233">
      <formula>LEN(TRIM(AK65))=0</formula>
    </cfRule>
  </conditionalFormatting>
  <conditionalFormatting sqref="AK65:BP66">
    <cfRule type="expression" dxfId="0" priority="234">
      <formula>AND($M65&lt;&gt;"",$AK65&lt;&gt;"",AK65&lt;$M65)</formula>
    </cfRule>
    <cfRule type="expression" dxfId="1" priority="235">
      <formula>AND($L65&lt;&gt;"",$AK65&lt;&gt;"",AK65&gt;$L65)</formula>
    </cfRule>
    <cfRule type="notContainsBlanks" dxfId="2" priority="236">
      <formula>LEN(TRIM(AK65))&gt;0</formula>
    </cfRule>
  </conditionalFormatting>
  <conditionalFormatting sqref="R66:S97">
    <cfRule type="expression" dxfId="8" priority="467">
      <formula>AND($AD66&lt;0.966,$AD66&lt;&gt;"")</formula>
    </cfRule>
  </conditionalFormatting>
  <conditionalFormatting sqref="AK70:BP71 AK73:BP73">
    <cfRule type="containsBlanks" dxfId="4" priority="225">
      <formula>LEN(TRIM(AK70))=0</formula>
    </cfRule>
  </conditionalFormatting>
  <conditionalFormatting sqref="AK70:BP71">
    <cfRule type="expression" dxfId="0" priority="226">
      <formula>AND($M70&lt;&gt;"",$AK70&lt;&gt;"",AK70&lt;$M70)</formula>
    </cfRule>
    <cfRule type="expression" dxfId="1" priority="227">
      <formula>AND($L70&lt;&gt;"",$AK70&lt;&gt;"",AK70&gt;$L70)</formula>
    </cfRule>
    <cfRule type="notContainsBlanks" dxfId="2" priority="228">
      <formula>LEN(TRIM(AK70))&gt;0</formula>
    </cfRule>
  </conditionalFormatting>
  <conditionalFormatting sqref="AK75:BP76 AK78:BP78">
    <cfRule type="containsBlanks" dxfId="4" priority="217">
      <formula>LEN(TRIM(AK75))=0</formula>
    </cfRule>
  </conditionalFormatting>
  <conditionalFormatting sqref="AK75:BP76">
    <cfRule type="expression" dxfId="0" priority="218">
      <formula>AND($M75&lt;&gt;"",$AK75&lt;&gt;"",AK75&lt;$M75)</formula>
    </cfRule>
    <cfRule type="expression" dxfId="1" priority="219">
      <formula>AND($L75&lt;&gt;"",$AK75&lt;&gt;"",AK75&gt;$L75)</formula>
    </cfRule>
    <cfRule type="notContainsBlanks" dxfId="2" priority="220">
      <formula>LEN(TRIM(AK75))&gt;0</formula>
    </cfRule>
  </conditionalFormatting>
  <conditionalFormatting sqref="AK80:BP81 AK83:BP83">
    <cfRule type="containsBlanks" dxfId="4" priority="209">
      <formula>LEN(TRIM(AK80))=0</formula>
    </cfRule>
  </conditionalFormatting>
  <conditionalFormatting sqref="AK80:BP81">
    <cfRule type="expression" dxfId="0" priority="210">
      <formula>AND($M80&lt;&gt;"",$AK80&lt;&gt;"",AK80&lt;$M80)</formula>
    </cfRule>
    <cfRule type="expression" dxfId="1" priority="211">
      <formula>AND($L80&lt;&gt;"",$AK80&lt;&gt;"",AK80&gt;$L80)</formula>
    </cfRule>
    <cfRule type="notContainsBlanks" dxfId="2" priority="212">
      <formula>LEN(TRIM(AK80))&gt;0</formula>
    </cfRule>
  </conditionalFormatting>
  <conditionalFormatting sqref="AK85:BP86 AK88:BP88">
    <cfRule type="containsBlanks" dxfId="4" priority="201">
      <formula>LEN(TRIM(AK85))=0</formula>
    </cfRule>
  </conditionalFormatting>
  <conditionalFormatting sqref="AK85:BP86">
    <cfRule type="expression" dxfId="0" priority="202">
      <formula>AND($M85&lt;&gt;"",$AK85&lt;&gt;"",AK85&lt;$M85)</formula>
    </cfRule>
    <cfRule type="expression" dxfId="1" priority="203">
      <formula>AND($L85&lt;&gt;"",$AK85&lt;&gt;"",AK85&gt;$L85)</formula>
    </cfRule>
    <cfRule type="notContainsBlanks" dxfId="2" priority="204">
      <formula>LEN(TRIM(AK85))&gt;0</formula>
    </cfRule>
  </conditionalFormatting>
  <conditionalFormatting sqref="AK90:BP91 AK93:BP93">
    <cfRule type="containsBlanks" dxfId="4" priority="193">
      <formula>LEN(TRIM(AK90))=0</formula>
    </cfRule>
  </conditionalFormatting>
  <conditionalFormatting sqref="AK90:BP91">
    <cfRule type="expression" dxfId="0" priority="194">
      <formula>AND($M90&lt;&gt;"",$AK90&lt;&gt;"",AK90&lt;$M90)</formula>
    </cfRule>
    <cfRule type="expression" dxfId="1" priority="195">
      <formula>AND($L90&lt;&gt;"",$AK90&lt;&gt;"",AK90&gt;$L90)</formula>
    </cfRule>
    <cfRule type="notContainsBlanks" dxfId="2" priority="196">
      <formula>LEN(TRIM(AK90))&gt;0</formula>
    </cfRule>
  </conditionalFormatting>
  <conditionalFormatting sqref="AK95:BP96 AK98:BP98">
    <cfRule type="containsBlanks" dxfId="4" priority="185">
      <formula>LEN(TRIM(AK95))=0</formula>
    </cfRule>
  </conditionalFormatting>
  <conditionalFormatting sqref="AK95:BP96">
    <cfRule type="expression" dxfId="0" priority="186">
      <formula>AND($M95&lt;&gt;"",$AK95&lt;&gt;"",AK95&lt;$M95)</formula>
    </cfRule>
    <cfRule type="expression" dxfId="1" priority="187">
      <formula>AND($L95&lt;&gt;"",$AK95&lt;&gt;"",AK95&gt;$L95)</formula>
    </cfRule>
    <cfRule type="notContainsBlanks" dxfId="2" priority="188">
      <formula>LEN(TRIM(AK95))&gt;0</formula>
    </cfRule>
  </conditionalFormatting>
  <conditionalFormatting sqref="Y98:AC99">
    <cfRule type="containsBlanks" dxfId="9" priority="390">
      <formula>LEN(TRIM(Y98))=0</formula>
    </cfRule>
    <cfRule type="cellIs" dxfId="10" priority="391" operator="between">
      <formula>0.9</formula>
      <formula>0.998</formula>
    </cfRule>
    <cfRule type="cellIs" dxfId="2" priority="392" operator="greaterThanOrEqual">
      <formula>0.998</formula>
    </cfRule>
  </conditionalFormatting>
  <conditionalFormatting sqref="BQ98:EF99">
    <cfRule type="containsBlanks" dxfId="4" priority="393">
      <formula>LEN(TRIM(BQ98))=0</formula>
    </cfRule>
  </conditionalFormatting>
  <conditionalFormatting sqref="G100:G102 G105:G118 G120:G138">
    <cfRule type="expression" dxfId="5" priority="361">
      <formula>AND($F100&lt;&gt;"Tolerance",$G100&lt;&gt;"")</formula>
    </cfRule>
    <cfRule type="expression" dxfId="6" priority="362">
      <formula>AND(OR($F100="GD&amp;T",$F100="MAX",$F100="MIN"),$G100="")</formula>
    </cfRule>
    <cfRule type="containsBlanks" dxfId="4" priority="363">
      <formula>LEN(TRIM(G100))=0</formula>
    </cfRule>
    <cfRule type="expression" dxfId="5" priority="358">
      <formula>AND($F100&lt;&gt;"Tolerance",$G100&lt;&gt;"")</formula>
    </cfRule>
    <cfRule type="expression" dxfId="6" priority="359">
      <formula>AND(OR($F100="GD&amp;T",$F100="MAX",$F100="MIN"),$G100="")</formula>
    </cfRule>
    <cfRule type="containsBlanks" dxfId="4" priority="360">
      <formula>LEN(TRIM(G100))=0</formula>
    </cfRule>
  </conditionalFormatting>
  <conditionalFormatting sqref="H105:H118 H100:H102 H120:H138">
    <cfRule type="expression" dxfId="5" priority="375">
      <formula>AND($F100="MIN",$H100&lt;&gt;"")</formula>
    </cfRule>
    <cfRule type="expression" dxfId="6" priority="376">
      <formula>AND($F100="MIN",$H100="")</formula>
    </cfRule>
    <cfRule type="containsBlanks" dxfId="4" priority="377">
      <formula>LEN(TRIM(H100))=0</formula>
    </cfRule>
  </conditionalFormatting>
  <conditionalFormatting sqref="I100:I102 I105:I118 I120:I138">
    <cfRule type="expression" dxfId="5" priority="372">
      <formula>AND(OR($F100="GD&amp;T",$F100="MAX"),$I100&lt;&gt;"")</formula>
    </cfRule>
    <cfRule type="expression" dxfId="6" priority="373">
      <formula>AND(OR($F100="GD&amp;T",$F100="MAX"),$I100="")</formula>
    </cfRule>
    <cfRule type="containsBlanks" dxfId="4" priority="374">
      <formula>LEN(TRIM(I100))=0</formula>
    </cfRule>
  </conditionalFormatting>
  <conditionalFormatting sqref="S105:S138 S100:S103 V100:X103 V105:X138">
    <cfRule type="cellIs" dxfId="0" priority="382" operator="lessThan">
      <formula>$E100</formula>
    </cfRule>
    <cfRule type="notContainsBlanks" dxfId="2" priority="389">
      <formula>LEN(TRIM(S100))&gt;0</formula>
    </cfRule>
  </conditionalFormatting>
  <conditionalFormatting sqref="S100:S138 V100:Y138">
    <cfRule type="expression" dxfId="11" priority="306">
      <formula>$K100="Yes"</formula>
    </cfRule>
  </conditionalFormatting>
  <conditionalFormatting sqref="Y105:Y136 AB105:AC136 Y100:Y103 AB100:AC103 Z100:AA136">
    <cfRule type="containsBlanks" dxfId="9" priority="379">
      <formula>LEN(TRIM(Y100))=0</formula>
    </cfRule>
    <cfRule type="cellIs" dxfId="10" priority="380" operator="between">
      <formula>0.9</formula>
      <formula>0.998</formula>
    </cfRule>
    <cfRule type="cellIs" dxfId="2" priority="381" operator="greaterThanOrEqual">
      <formula>0.998</formula>
    </cfRule>
  </conditionalFormatting>
  <conditionalFormatting sqref="Y100:Y103 Y105:Y136">
    <cfRule type="notContainsBlanks" dxfId="7" priority="385">
      <formula>LEN(TRIM(Y100))&gt;0</formula>
    </cfRule>
  </conditionalFormatting>
  <conditionalFormatting sqref="AK100:BP101 AK103:BP103">
    <cfRule type="containsBlanks" dxfId="4" priority="177">
      <formula>LEN(TRIM(AK100))=0</formula>
    </cfRule>
  </conditionalFormatting>
  <conditionalFormatting sqref="AK100:BP101">
    <cfRule type="expression" dxfId="0" priority="178">
      <formula>AND($M100&lt;&gt;"",$AK100&lt;&gt;"",AK100&lt;$M100)</formula>
    </cfRule>
    <cfRule type="expression" dxfId="1" priority="179">
      <formula>AND($L100&lt;&gt;"",$AK100&lt;&gt;"",AK100&gt;$L100)</formula>
    </cfRule>
    <cfRule type="notContainsBlanks" dxfId="2" priority="180">
      <formula>LEN(TRIM(AK100))&gt;0</formula>
    </cfRule>
  </conditionalFormatting>
  <conditionalFormatting sqref="BQ100:EF101 BQ105:EF106 BQ108:EF111 BQ113:EF116 BQ118:EF121 BQ123:EF126 BQ128:EF131 BQ133:EF136">
    <cfRule type="containsBlanks" dxfId="4" priority="383">
      <formula>LEN(TRIM(BQ100))=0</formula>
    </cfRule>
  </conditionalFormatting>
  <conditionalFormatting sqref="BQ100:EF101">
    <cfRule type="expression" dxfId="0" priority="386">
      <formula>AND($M100&lt;&gt;"",$AK100&lt;&gt;"",BQ100&lt;$M100)</formula>
    </cfRule>
    <cfRule type="expression" dxfId="1" priority="387">
      <formula>AND($L100&lt;&gt;"",$AK100&lt;&gt;"",BQ100&gt;$L100)</formula>
    </cfRule>
    <cfRule type="notContainsBlanks" dxfId="2" priority="388">
      <formula>LEN(TRIM(BQ100))&gt;0</formula>
    </cfRule>
  </conditionalFormatting>
  <conditionalFormatting sqref="S104 V104:X104">
    <cfRule type="cellIs" dxfId="0" priority="351" operator="lessThan">
      <formula>1.33</formula>
    </cfRule>
    <cfRule type="notContainsBlanks" dxfId="2" priority="357">
      <formula>LEN(TRIM(S104))&gt;0</formula>
    </cfRule>
  </conditionalFormatting>
  <conditionalFormatting sqref="Y104 AB104:AC104">
    <cfRule type="containsBlanks" dxfId="9" priority="348">
      <formula>LEN(TRIM(Y104))=0</formula>
    </cfRule>
    <cfRule type="cellIs" dxfId="10" priority="349" operator="between">
      <formula>0.9</formula>
      <formula>0.998</formula>
    </cfRule>
    <cfRule type="cellIs" dxfId="2" priority="350" operator="greaterThanOrEqual">
      <formula>0.998</formula>
    </cfRule>
  </conditionalFormatting>
  <conditionalFormatting sqref="R105:S136">
    <cfRule type="expression" dxfId="8" priority="378">
      <formula>AND($AD105&lt;0.966,$AD105&lt;&gt;"")</formula>
    </cfRule>
  </conditionalFormatting>
  <conditionalFormatting sqref="AK105:BP106 AK108:BP108">
    <cfRule type="containsBlanks" dxfId="4" priority="169">
      <formula>LEN(TRIM(AK105))=0</formula>
    </cfRule>
  </conditionalFormatting>
  <conditionalFormatting sqref="AK105:BP106">
    <cfRule type="expression" dxfId="0" priority="170">
      <formula>AND($M105&lt;&gt;"",$AK105&lt;&gt;"",AK105&lt;$M105)</formula>
    </cfRule>
    <cfRule type="expression" dxfId="1" priority="171">
      <formula>AND($L105&lt;&gt;"",$AK105&lt;&gt;"",AK105&gt;$L105)</formula>
    </cfRule>
    <cfRule type="notContainsBlanks" dxfId="2" priority="172">
      <formula>LEN(TRIM(AK105))&gt;0</formula>
    </cfRule>
  </conditionalFormatting>
  <conditionalFormatting sqref="AK110:BP111 AK113:BP113">
    <cfRule type="containsBlanks" dxfId="4" priority="161">
      <formula>LEN(TRIM(AK110))=0</formula>
    </cfRule>
  </conditionalFormatting>
  <conditionalFormatting sqref="AK110:BP111">
    <cfRule type="expression" dxfId="0" priority="162">
      <formula>AND($M110&lt;&gt;"",$AK110&lt;&gt;"",AK110&lt;$M110)</formula>
    </cfRule>
    <cfRule type="expression" dxfId="1" priority="163">
      <formula>AND($L110&lt;&gt;"",$AK110&lt;&gt;"",AK110&gt;$L110)</formula>
    </cfRule>
    <cfRule type="notContainsBlanks" dxfId="2" priority="164">
      <formula>LEN(TRIM(AK110))&gt;0</formula>
    </cfRule>
  </conditionalFormatting>
  <conditionalFormatting sqref="AK115:BP116 AK118:BP118">
    <cfRule type="containsBlanks" dxfId="4" priority="153">
      <formula>LEN(TRIM(AK115))=0</formula>
    </cfRule>
  </conditionalFormatting>
  <conditionalFormatting sqref="AK115:BP116">
    <cfRule type="expression" dxfId="0" priority="154">
      <formula>AND($M115&lt;&gt;"",$AK115&lt;&gt;"",AK115&lt;$M115)</formula>
    </cfRule>
    <cfRule type="expression" dxfId="1" priority="155">
      <formula>AND($L115&lt;&gt;"",$AK115&lt;&gt;"",AK115&gt;$L115)</formula>
    </cfRule>
    <cfRule type="notContainsBlanks" dxfId="2" priority="156">
      <formula>LEN(TRIM(AK115))&gt;0</formula>
    </cfRule>
  </conditionalFormatting>
  <conditionalFormatting sqref="AK120:BP121 AK123:BP123">
    <cfRule type="containsBlanks" dxfId="4" priority="145">
      <formula>LEN(TRIM(AK120))=0</formula>
    </cfRule>
  </conditionalFormatting>
  <conditionalFormatting sqref="AK120:BP121">
    <cfRule type="expression" dxfId="0" priority="146">
      <formula>AND($M120&lt;&gt;"",$AK120&lt;&gt;"",AK120&lt;$M120)</formula>
    </cfRule>
    <cfRule type="expression" dxfId="1" priority="147">
      <formula>AND($L120&lt;&gt;"",$AK120&lt;&gt;"",AK120&gt;$L120)</formula>
    </cfRule>
    <cfRule type="notContainsBlanks" dxfId="2" priority="148">
      <formula>LEN(TRIM(AK120))&gt;0</formula>
    </cfRule>
  </conditionalFormatting>
  <conditionalFormatting sqref="AK125:BP126 AK128:BP128">
    <cfRule type="containsBlanks" dxfId="4" priority="137">
      <formula>LEN(TRIM(AK125))=0</formula>
    </cfRule>
  </conditionalFormatting>
  <conditionalFormatting sqref="AK125:BP126">
    <cfRule type="expression" dxfId="0" priority="138">
      <formula>AND($M125&lt;&gt;"",$AK125&lt;&gt;"",AK125&lt;$M125)</formula>
    </cfRule>
    <cfRule type="expression" dxfId="1" priority="139">
      <formula>AND($L125&lt;&gt;"",$AK125&lt;&gt;"",AK125&gt;$L125)</formula>
    </cfRule>
    <cfRule type="notContainsBlanks" dxfId="2" priority="140">
      <formula>LEN(TRIM(AK125))&gt;0</formula>
    </cfRule>
  </conditionalFormatting>
  <conditionalFormatting sqref="AK130:BP131 AK133:BP133">
    <cfRule type="containsBlanks" dxfId="4" priority="129">
      <formula>LEN(TRIM(AK130))=0</formula>
    </cfRule>
  </conditionalFormatting>
  <conditionalFormatting sqref="AK130:BP131">
    <cfRule type="expression" dxfId="0" priority="130">
      <formula>AND($M130&lt;&gt;"",$AK130&lt;&gt;"",AK130&lt;$M130)</formula>
    </cfRule>
    <cfRule type="expression" dxfId="1" priority="131">
      <formula>AND($L130&lt;&gt;"",$AK130&lt;&gt;"",AK130&gt;$L130)</formula>
    </cfRule>
    <cfRule type="notContainsBlanks" dxfId="2" priority="132">
      <formula>LEN(TRIM(AK130))&gt;0</formula>
    </cfRule>
  </conditionalFormatting>
  <conditionalFormatting sqref="AK135:BP136 AK138:BP138">
    <cfRule type="containsBlanks" dxfId="4" priority="121">
      <formula>LEN(TRIM(AK135))=0</formula>
    </cfRule>
  </conditionalFormatting>
  <conditionalFormatting sqref="AK135:BP136">
    <cfRule type="expression" dxfId="0" priority="122">
      <formula>AND($M135&lt;&gt;"",$AK135&lt;&gt;"",AK135&lt;$M135)</formula>
    </cfRule>
    <cfRule type="expression" dxfId="1" priority="123">
      <formula>AND($L135&lt;&gt;"",$AK135&lt;&gt;"",AK135&gt;$L135)</formula>
    </cfRule>
    <cfRule type="notContainsBlanks" dxfId="2" priority="124">
      <formula>LEN(TRIM(AK135))&gt;0</formula>
    </cfRule>
  </conditionalFormatting>
  <conditionalFormatting sqref="Y137:AC138">
    <cfRule type="containsBlanks" dxfId="9" priority="301">
      <formula>LEN(TRIM(Y137))=0</formula>
    </cfRule>
    <cfRule type="cellIs" dxfId="10" priority="302" operator="between">
      <formula>0.9</formula>
      <formula>0.998</formula>
    </cfRule>
    <cfRule type="cellIs" dxfId="2" priority="303" operator="greaterThanOrEqual">
      <formula>0.998</formula>
    </cfRule>
  </conditionalFormatting>
  <dataValidations count="3">
    <dataValidation type="list" allowBlank="1" showInputMessage="1" showErrorMessage="1" sqref="F11:F138">
      <formula1>dim_type</formula1>
    </dataValidation>
    <dataValidation type="list" allowBlank="1" showInputMessage="1" showErrorMessage="1" sqref="J11:J138">
      <formula1>insp_meth</formula1>
    </dataValidation>
    <dataValidation type="list" allowBlank="1" showInputMessage="1" showErrorMessage="1" sqref="K11:K138">
      <formula1>gauging</formula1>
    </dataValidation>
  </dataValidations>
  <pageMargins left="0.75" right="0.75" top="1" bottom="1" header="0.5" footer="0.5"/>
  <pageSetup paperSize="1" orientation="portrait"/>
  <headerFooter/>
  <ignoredErrors>
    <ignoredError sqref="V11" emptyCellReference="1"/>
    <ignoredError sqref="W11:AB11 V12" unlockedFormula="1" emptyCellReference="1"/>
    <ignoredError sqref="N11 AC11 W12:AC12 V13:AC60 M21:N21 L35:S60 L20:N20 L21 L12:N12 S12 L13:N13 S13 L14:N14 S14 L15:N15 S15 L16:N16 S16 L17:N17 S17 L18:N18 S18 L19:N19 S19 S20 S21 L22:N22 S22 L23:N23 S23 L24:N24 S24 L25:N25 S25 L26:N26 S26 L27:N27 S27 L28:N28 S28 L29:N29 S29 L30:N30 S30 L31:N31 S31 L32:N32 S32 L33:N33 P33:S33 L34:N34 P34:S3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name="Button 29" r:id="rId4">
              <controlPr print="0" defaultSize="0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3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name="Button 30" r:id="rId5">
              <controlPr print="0" defaultSize="0">
                <anchor moveWithCells="1" sizeWithCells="1">
                  <from>
                    <xdr:col>3</xdr:col>
                    <xdr:colOff>1130300</xdr:colOff>
                    <xdr:row>1</xdr:row>
                    <xdr:rowOff>12700</xdr:rowOff>
                  </from>
                  <to>
                    <xdr:col>5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name="Button 31" r:id="rId6">
              <controlPr print="0" defaultSize="0">
                <anchor moveWithCells="1" sizeWithCells="1">
                  <from>
                    <xdr:col>5</xdr:col>
                    <xdr:colOff>444500</xdr:colOff>
                    <xdr:row>1</xdr:row>
                    <xdr:rowOff>12700</xdr:rowOff>
                  </from>
                  <to>
                    <xdr:col>7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name="Button 39" r:id="rId7">
              <controlPr print="0" defaultSize="0">
                <anchor moveWithCells="1" sizeWithCells="1">
                  <from>
                    <xdr:col>7</xdr:col>
                    <xdr:colOff>368300</xdr:colOff>
                    <xdr:row>1</xdr:row>
                    <xdr:rowOff>12700</xdr:rowOff>
                  </from>
                  <to>
                    <xdr:col>9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name="Button 41" r:id="rId8">
              <controlPr print="0" defaultSize="0">
                <anchor moveWithCells="1" sizeWithCells="1">
                  <from>
                    <xdr:col>10</xdr:col>
                    <xdr:colOff>25400</xdr:colOff>
                    <xdr:row>1</xdr:row>
                    <xdr:rowOff>12700</xdr:rowOff>
                  </from>
                  <to>
                    <xdr:col>12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C1:C3"/>
  <sheetViews>
    <sheetView zoomScale="68" zoomScaleNormal="68" workbookViewId="0">
      <selection activeCell="Q4" sqref="Q4"/>
    </sheetView>
  </sheetViews>
  <sheetFormatPr defaultColWidth="8.83035714285714" defaultRowHeight="17.6" outlineLevelRow="2" outlineLevelCol="2"/>
  <cols>
    <col min="1" max="1" width="8.83035714285714" style="11"/>
    <col min="2" max="2" width="8.83035714285714" style="11" customWidth="1"/>
    <col min="3" max="16384" width="8.83035714285714" style="11"/>
  </cols>
  <sheetData>
    <row r="1" ht="20.25" customHeight="1" spans="3:3">
      <c r="C1" s="12"/>
    </row>
    <row r="2" ht="20.25" customHeight="1" spans="3:3">
      <c r="C2" s="12"/>
    </row>
    <row r="3" ht="20.25" customHeight="1" spans="3:3">
      <c r="C3" s="12"/>
    </row>
  </sheetData>
  <pageMargins left="0.75" right="0.75" top="1" bottom="1" header="0.5" footer="0.5"/>
  <pageSetup paperSize="1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4">
              <controlPr print="0" defaultSize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 sizeWithCells="1">
                  <from>
                    <xdr:col>5</xdr:col>
                    <xdr:colOff>165100</xdr:colOff>
                    <xdr:row>0</xdr:row>
                    <xdr:rowOff>0</xdr:rowOff>
                  </from>
                  <to>
                    <xdr:col>7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32"/>
  <sheetViews>
    <sheetView workbookViewId="0">
      <selection activeCell="E18" sqref="E18"/>
    </sheetView>
  </sheetViews>
  <sheetFormatPr defaultColWidth="11" defaultRowHeight="17.6"/>
  <cols>
    <col min="4" max="4" width="11.8303571428571" customWidth="1"/>
    <col min="8" max="8" width="20" style="8" customWidth="1"/>
    <col min="9" max="9" width="10.8303571428571" style="8"/>
    <col min="10" max="10" width="16" style="8" customWidth="1"/>
  </cols>
  <sheetData>
    <row r="1" ht="53" spans="1:12">
      <c r="A1" s="9" t="s">
        <v>113</v>
      </c>
      <c r="B1" s="9"/>
      <c r="H1" s="9" t="s">
        <v>114</v>
      </c>
      <c r="I1" s="10"/>
      <c r="J1" s="9" t="s">
        <v>115</v>
      </c>
      <c r="L1" s="9" t="s">
        <v>116</v>
      </c>
    </row>
    <row r="2" spans="1:12">
      <c r="A2" s="8" t="s">
        <v>117</v>
      </c>
      <c r="B2" s="8" t="s">
        <v>118</v>
      </c>
      <c r="H2" s="8" t="s">
        <v>119</v>
      </c>
      <c r="J2" s="8" t="s">
        <v>60</v>
      </c>
      <c r="L2" s="8" t="s">
        <v>120</v>
      </c>
    </row>
    <row r="3" spans="8:12">
      <c r="H3" s="8" t="s">
        <v>121</v>
      </c>
      <c r="J3" s="8" t="s">
        <v>82</v>
      </c>
      <c r="L3" s="8" t="s">
        <v>62</v>
      </c>
    </row>
    <row r="4" spans="8:12">
      <c r="H4" s="8" t="s">
        <v>61</v>
      </c>
      <c r="J4" s="8" t="s">
        <v>122</v>
      </c>
      <c r="L4" s="8"/>
    </row>
    <row r="5" spans="8:12">
      <c r="H5" s="8" t="s">
        <v>123</v>
      </c>
      <c r="J5" s="8" t="s">
        <v>111</v>
      </c>
      <c r="L5" s="8"/>
    </row>
    <row r="6" spans="8:8">
      <c r="H6" s="8" t="s">
        <v>124</v>
      </c>
    </row>
    <row r="7" spans="8:8">
      <c r="H7" s="8" t="s">
        <v>125</v>
      </c>
    </row>
    <row r="8" spans="8:8">
      <c r="H8" s="8" t="s">
        <v>126</v>
      </c>
    </row>
    <row r="9" spans="8:8">
      <c r="H9" s="8" t="s">
        <v>127</v>
      </c>
    </row>
    <row r="10" spans="8:8">
      <c r="H10" s="8" t="s">
        <v>128</v>
      </c>
    </row>
    <row r="11" spans="1:8">
      <c r="A11">
        <v>70</v>
      </c>
      <c r="B11">
        <v>45</v>
      </c>
      <c r="D11" t="s">
        <v>65</v>
      </c>
      <c r="H11" s="8" t="s">
        <v>129</v>
      </c>
    </row>
    <row r="12" spans="1:8">
      <c r="A12">
        <v>70</v>
      </c>
      <c r="B12">
        <v>165</v>
      </c>
      <c r="D12" t="s">
        <v>67</v>
      </c>
      <c r="H12" s="8" t="s">
        <v>130</v>
      </c>
    </row>
    <row r="13" spans="1:8">
      <c r="A13">
        <v>70</v>
      </c>
      <c r="B13">
        <v>285</v>
      </c>
      <c r="D13" t="s">
        <v>69</v>
      </c>
      <c r="H13" s="8" t="s">
        <v>109</v>
      </c>
    </row>
    <row r="14" spans="1:4">
      <c r="A14">
        <v>70</v>
      </c>
      <c r="B14">
        <v>405</v>
      </c>
      <c r="D14" t="s">
        <v>131</v>
      </c>
    </row>
    <row r="15" spans="1:4">
      <c r="A15">
        <v>70</v>
      </c>
      <c r="B15">
        <v>525</v>
      </c>
      <c r="D15" t="s">
        <v>132</v>
      </c>
    </row>
    <row r="16" spans="1:4">
      <c r="A16">
        <v>70</v>
      </c>
      <c r="B16">
        <v>645</v>
      </c>
      <c r="D16" t="s">
        <v>73</v>
      </c>
    </row>
    <row r="17" spans="1:4">
      <c r="A17">
        <v>70</v>
      </c>
      <c r="B17">
        <v>765</v>
      </c>
      <c r="D17" t="s">
        <v>91</v>
      </c>
    </row>
    <row r="18" spans="1:4">
      <c r="A18">
        <v>70</v>
      </c>
      <c r="B18">
        <v>885</v>
      </c>
      <c r="D18" t="s">
        <v>102</v>
      </c>
    </row>
    <row r="19" spans="1:4">
      <c r="A19">
        <v>70</v>
      </c>
      <c r="B19">
        <v>1005</v>
      </c>
      <c r="D19" t="s">
        <v>133</v>
      </c>
    </row>
    <row r="20" spans="1:4">
      <c r="A20">
        <v>70</v>
      </c>
      <c r="B20">
        <v>1125</v>
      </c>
      <c r="D20" t="s">
        <v>134</v>
      </c>
    </row>
    <row r="21" spans="1:4">
      <c r="A21">
        <v>270</v>
      </c>
      <c r="B21">
        <v>45</v>
      </c>
      <c r="D21" t="s">
        <v>135</v>
      </c>
    </row>
    <row r="22" spans="1:4">
      <c r="A22">
        <v>270</v>
      </c>
      <c r="B22">
        <v>165</v>
      </c>
      <c r="D22" t="s">
        <v>136</v>
      </c>
    </row>
    <row r="23" spans="1:4">
      <c r="A23">
        <v>270</v>
      </c>
      <c r="B23">
        <v>285</v>
      </c>
      <c r="D23" t="s">
        <v>137</v>
      </c>
    </row>
    <row r="24" spans="1:4">
      <c r="A24">
        <v>270</v>
      </c>
      <c r="B24">
        <v>405</v>
      </c>
      <c r="D24" t="s">
        <v>138</v>
      </c>
    </row>
    <row r="25" spans="1:4">
      <c r="A25">
        <v>270</v>
      </c>
      <c r="B25">
        <v>525</v>
      </c>
      <c r="D25" t="s">
        <v>139</v>
      </c>
    </row>
    <row r="26" spans="1:4">
      <c r="A26">
        <v>270</v>
      </c>
      <c r="B26">
        <v>645</v>
      </c>
      <c r="D26" t="s">
        <v>140</v>
      </c>
    </row>
    <row r="27" spans="1:4">
      <c r="A27">
        <v>270</v>
      </c>
      <c r="B27">
        <v>765</v>
      </c>
      <c r="D27" t="s">
        <v>141</v>
      </c>
    </row>
    <row r="28" spans="1:4">
      <c r="A28">
        <v>270</v>
      </c>
      <c r="B28">
        <v>885</v>
      </c>
      <c r="D28" t="s">
        <v>142</v>
      </c>
    </row>
    <row r="29" spans="1:4">
      <c r="A29">
        <v>270</v>
      </c>
      <c r="B29">
        <v>1005</v>
      </c>
      <c r="D29" t="s">
        <v>129</v>
      </c>
    </row>
    <row r="30" spans="1:4">
      <c r="A30">
        <v>270</v>
      </c>
      <c r="B30">
        <v>1125</v>
      </c>
      <c r="D30" t="s">
        <v>143</v>
      </c>
    </row>
    <row r="31" spans="1:4">
      <c r="A31">
        <v>470</v>
      </c>
      <c r="B31">
        <v>45</v>
      </c>
      <c r="D31" t="s">
        <v>144</v>
      </c>
    </row>
    <row r="32" spans="1:4">
      <c r="A32">
        <v>470</v>
      </c>
      <c r="B32">
        <v>165</v>
      </c>
      <c r="D32" t="s">
        <v>145</v>
      </c>
    </row>
  </sheetData>
  <mergeCells count="1">
    <mergeCell ref="A1:B1"/>
  </mergeCells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18"/>
  <sheetViews>
    <sheetView topLeftCell="A10" workbookViewId="0">
      <selection activeCell="D23" sqref="D23"/>
    </sheetView>
  </sheetViews>
  <sheetFormatPr defaultColWidth="11" defaultRowHeight="17.6" outlineLevelCol="3"/>
  <cols>
    <col min="1" max="2" width="10.8303571428571" style="1"/>
    <col min="3" max="3" width="11.8303571428571" style="1" customWidth="1"/>
    <col min="4" max="4" width="92.1607142857143" style="2" customWidth="1"/>
  </cols>
  <sheetData>
    <row r="1" ht="23.2" spans="1:4">
      <c r="A1" s="3" t="s">
        <v>146</v>
      </c>
      <c r="B1" s="3"/>
      <c r="C1" s="3"/>
      <c r="D1" s="3"/>
    </row>
    <row r="3" spans="1:4">
      <c r="A3" s="4" t="s">
        <v>147</v>
      </c>
      <c r="B3" s="4" t="s">
        <v>148</v>
      </c>
      <c r="C3" s="4" t="s">
        <v>149</v>
      </c>
      <c r="D3" s="5" t="s">
        <v>150</v>
      </c>
    </row>
    <row r="4" spans="1:4">
      <c r="A4" s="1">
        <v>1</v>
      </c>
      <c r="B4" s="6">
        <v>41649</v>
      </c>
      <c r="C4" s="1" t="s">
        <v>151</v>
      </c>
      <c r="D4" s="2" t="s">
        <v>152</v>
      </c>
    </row>
    <row r="5" ht="176" spans="1:4">
      <c r="A5" s="1">
        <v>2</v>
      </c>
      <c r="B5" s="6">
        <v>41742</v>
      </c>
      <c r="C5" s="1" t="s">
        <v>151</v>
      </c>
      <c r="D5" s="7" t="s">
        <v>153</v>
      </c>
    </row>
    <row r="6" ht="36" spans="1:4">
      <c r="A6" s="1">
        <v>2.1</v>
      </c>
      <c r="B6" s="6">
        <v>41751</v>
      </c>
      <c r="C6" s="1" t="s">
        <v>151</v>
      </c>
      <c r="D6" s="7" t="s">
        <v>154</v>
      </c>
    </row>
    <row r="7" ht="36" spans="1:4">
      <c r="A7" s="1">
        <v>2.2</v>
      </c>
      <c r="B7" s="6">
        <v>41772</v>
      </c>
      <c r="C7" s="1" t="s">
        <v>151</v>
      </c>
      <c r="D7" s="7" t="s">
        <v>155</v>
      </c>
    </row>
    <row r="8" ht="18" spans="1:4">
      <c r="A8" s="1">
        <v>2.3</v>
      </c>
      <c r="B8" s="6">
        <v>41779</v>
      </c>
      <c r="C8" s="1" t="s">
        <v>151</v>
      </c>
      <c r="D8" s="7" t="s">
        <v>156</v>
      </c>
    </row>
    <row r="9" spans="1:4">
      <c r="A9" s="1">
        <v>2.4</v>
      </c>
      <c r="B9" s="6"/>
      <c r="C9" s="1" t="s">
        <v>151</v>
      </c>
      <c r="D9" s="2" t="s">
        <v>157</v>
      </c>
    </row>
    <row r="10" ht="194" spans="1:4">
      <c r="A10" s="1">
        <v>3</v>
      </c>
      <c r="B10" s="6">
        <v>42242</v>
      </c>
      <c r="C10" s="1" t="s">
        <v>151</v>
      </c>
      <c r="D10" s="7" t="s">
        <v>158</v>
      </c>
    </row>
    <row r="11" ht="88" spans="1:4">
      <c r="A11" s="1">
        <v>3.1</v>
      </c>
      <c r="B11" s="6">
        <v>42249</v>
      </c>
      <c r="C11" s="1" t="s">
        <v>151</v>
      </c>
      <c r="D11" s="7" t="s">
        <v>159</v>
      </c>
    </row>
    <row r="12" ht="53" spans="1:4">
      <c r="A12" s="1">
        <v>3.2</v>
      </c>
      <c r="B12" s="6">
        <v>42291</v>
      </c>
      <c r="C12" s="1" t="s">
        <v>151</v>
      </c>
      <c r="D12" s="7" t="s">
        <v>160</v>
      </c>
    </row>
    <row r="13" ht="36" spans="1:4">
      <c r="A13" s="1">
        <v>3.3</v>
      </c>
      <c r="B13" s="6">
        <v>42297</v>
      </c>
      <c r="C13" s="1" t="s">
        <v>151</v>
      </c>
      <c r="D13" s="7" t="s">
        <v>161</v>
      </c>
    </row>
    <row r="14" ht="18" spans="1:4">
      <c r="A14" s="1">
        <v>3.4</v>
      </c>
      <c r="B14" s="6">
        <v>42922</v>
      </c>
      <c r="C14" s="1" t="s">
        <v>162</v>
      </c>
      <c r="D14" s="7" t="s">
        <v>163</v>
      </c>
    </row>
    <row r="15" ht="36" spans="1:4">
      <c r="A15" s="1">
        <v>4</v>
      </c>
      <c r="B15" s="6">
        <v>42925</v>
      </c>
      <c r="C15" s="1" t="s">
        <v>162</v>
      </c>
      <c r="D15" s="7" t="s">
        <v>164</v>
      </c>
    </row>
    <row r="16" ht="36" spans="1:4">
      <c r="A16" s="1">
        <v>4.1</v>
      </c>
      <c r="B16" s="6" t="s">
        <v>165</v>
      </c>
      <c r="C16" s="1" t="s">
        <v>162</v>
      </c>
      <c r="D16" s="7" t="s">
        <v>166</v>
      </c>
    </row>
    <row r="17" ht="36" spans="1:4">
      <c r="A17" s="1">
        <v>4.2</v>
      </c>
      <c r="B17" s="6" t="s">
        <v>167</v>
      </c>
      <c r="C17" s="1" t="s">
        <v>162</v>
      </c>
      <c r="D17" s="7" t="s">
        <v>168</v>
      </c>
    </row>
    <row r="18" ht="36" spans="1:4">
      <c r="A18" s="1">
        <v>4.3</v>
      </c>
      <c r="B18" s="6" t="s">
        <v>169</v>
      </c>
      <c r="C18" s="1" t="s">
        <v>162</v>
      </c>
      <c r="D18" s="7" t="s">
        <v>170</v>
      </c>
    </row>
  </sheetData>
  <mergeCells count="1">
    <mergeCell ref="A1:D1"/>
  </mergeCells>
  <pageMargins left="0.75" right="0.75" top="1" bottom="1" header="0.5" footer="0.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Apple</Company>
  <Application>Microsoft Macintosh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Cav 1</vt:lpstr>
      <vt:lpstr>Drawing</vt:lpstr>
      <vt:lpstr>Setup</vt:lpstr>
      <vt:lpstr>Revision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WPS_1661306727</cp:lastModifiedBy>
  <dcterms:created xsi:type="dcterms:W3CDTF">2012-05-23T03:55:00Z</dcterms:created>
  <dcterms:modified xsi:type="dcterms:W3CDTF">2025-07-03T15:56:58Z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E32BFB773C9356566A2A666860D3D394_42</vt:lpwstr>
  </property>
  <property fmtid="{D5CDD505-2E9C-101B-9397-08002B2CF9AE}" pid="3" name="KSOProductBuildVer">
    <vt:lpwstr>2052-6.5.2.8766</vt:lpwstr>
  </property>
</Properties>
</file>
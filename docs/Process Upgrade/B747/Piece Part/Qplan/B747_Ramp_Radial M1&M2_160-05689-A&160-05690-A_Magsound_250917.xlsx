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540" activeTab="6"/>
  </bookViews>
  <sheets>
    <sheet name="Revision" sheetId="16" r:id="rId1"/>
    <sheet name="IQC" sheetId="33" r:id="rId2"/>
    <sheet name="Machining" sheetId="38" r:id="rId3"/>
    <sheet name="Surface Treatment" sheetId="41" r:id="rId4"/>
    <sheet name="Assembling" sheetId="42" r:id="rId5"/>
    <sheet name="OQC" sheetId="44" r:id="rId6"/>
    <sheet name="Rel" sheetId="40" r:id="rId7"/>
    <sheet name="Instruction" sheetId="22" r:id="rId8"/>
  </sheets>
  <definedNames>
    <definedName name="_xlnm._FilterDatabase" localSheetId="4" hidden="1">Assembling!$A$7:$I$13</definedName>
    <definedName name="_xlnm._FilterDatabase" localSheetId="2" hidden="1">Machining!$A$7:$I$15</definedName>
    <definedName name="_xlnm._FilterDatabase" localSheetId="3" hidden="1">'Surface Treatment'!$A$7:$I$22</definedName>
    <definedName name="_xlnm._FilterDatabase" localSheetId="1" hidden="1">IQC!$A$7:$E$13</definedName>
    <definedName name="_xlnm._FilterDatabase" localSheetId="6" hidden="1">Rel!$A$8:$E$31</definedName>
    <definedName name="_xlnm._FilterDatabase" localSheetId="5" hidden="1">OQC!$A$7:$E$33</definedName>
  </definedNames>
  <calcPr calcId="144525"/>
</workbook>
</file>

<file path=xl/sharedStrings.xml><?xml version="1.0" encoding="utf-8"?>
<sst xmlns="http://schemas.openxmlformats.org/spreadsheetml/2006/main" count="986" uniqueCount="300">
  <si>
    <t>Vendor</t>
  </si>
  <si>
    <t>Site</t>
  </si>
  <si>
    <t>Magsound</t>
  </si>
  <si>
    <t>Ningbo</t>
  </si>
  <si>
    <t>Project</t>
  </si>
  <si>
    <t>Build</t>
  </si>
  <si>
    <t>B747 Radial</t>
  </si>
  <si>
    <t>Ramp</t>
  </si>
  <si>
    <t>APN</t>
  </si>
  <si>
    <t>Description</t>
  </si>
  <si>
    <t>160-05689-A(Mirror 160-05690-A)</t>
  </si>
  <si>
    <t>IQC</t>
  </si>
  <si>
    <t>Machining</t>
  </si>
  <si>
    <t>Surface Treatment</t>
  </si>
  <si>
    <t>Assembling</t>
  </si>
  <si>
    <t>OQC</t>
  </si>
  <si>
    <t>Rel</t>
  </si>
  <si>
    <t>Revision</t>
  </si>
  <si>
    <t>Date</t>
  </si>
  <si>
    <t>Revision for</t>
  </si>
  <si>
    <t>Revision Description</t>
  </si>
  <si>
    <t>Editor</t>
  </si>
  <si>
    <t>Approver</t>
  </si>
  <si>
    <t>Yes</t>
  </si>
  <si>
    <t>Initial release for EVT Build</t>
  </si>
  <si>
    <t>Leo Lai</t>
  </si>
  <si>
    <t>Ray Fu</t>
  </si>
  <si>
    <t>Liao Wei</t>
  </si>
  <si>
    <t>Initial release for RAMP Build</t>
  </si>
  <si>
    <t>Update to version A</t>
  </si>
  <si>
    <t>Part Name</t>
  </si>
  <si>
    <r>
      <rPr>
        <b/>
        <sz val="11"/>
        <color theme="1"/>
        <rFont val="Arial"/>
        <charset val="134"/>
      </rPr>
      <t>Category</t>
    </r>
    <r>
      <rPr>
        <sz val="11"/>
        <color theme="1"/>
        <rFont val="Arial"/>
        <charset val="134"/>
      </rPr>
      <t xml:space="preserve">
Dim, Cos, Function, ORT, Rel</t>
    </r>
  </si>
  <si>
    <r>
      <rPr>
        <b/>
        <sz val="11"/>
        <color theme="1"/>
        <rFont val="Arial"/>
        <charset val="134"/>
      </rPr>
      <t xml:space="preserve">Description
</t>
    </r>
    <r>
      <rPr>
        <sz val="11"/>
        <color theme="1"/>
        <rFont val="Arial"/>
        <charset val="134"/>
      </rPr>
      <t>Detailed inspection items</t>
    </r>
  </si>
  <si>
    <r>
      <rPr>
        <b/>
        <sz val="11"/>
        <color theme="1"/>
        <rFont val="Arial"/>
        <charset val="134"/>
      </rPr>
      <t xml:space="preserve">Control Plan
</t>
    </r>
    <r>
      <rPr>
        <sz val="11"/>
        <color theme="1"/>
        <rFont val="Arial"/>
        <charset val="134"/>
      </rPr>
      <t>Refer "IQC Reaction Plan"</t>
    </r>
  </si>
  <si>
    <t>Inspection Equipment</t>
  </si>
  <si>
    <t>Sampling Plan</t>
  </si>
  <si>
    <t>Acceptance Criteria</t>
  </si>
  <si>
    <r>
      <rPr>
        <sz val="11"/>
        <color theme="1"/>
        <rFont val="Arial"/>
        <charset val="134"/>
      </rPr>
      <t xml:space="preserve">MAGNET,RADIAL,M1MAGNETIZED,TE
</t>
    </r>
    <r>
      <rPr>
        <sz val="11"/>
        <color theme="1"/>
        <rFont val="宋体-简"/>
        <charset val="134"/>
      </rPr>
      <t>（</t>
    </r>
    <r>
      <rPr>
        <sz val="11"/>
        <color theme="1"/>
        <rFont val="Arial"/>
        <charset val="134"/>
      </rPr>
      <t>MAGNET,RADIAL,M2MAGNETIZED,TE</t>
    </r>
    <r>
      <rPr>
        <sz val="11"/>
        <color theme="1"/>
        <rFont val="宋体-简"/>
        <charset val="134"/>
      </rPr>
      <t>）</t>
    </r>
  </si>
  <si>
    <t>160-05689-A
(Mirror 160-05690-A)
N48SH</t>
  </si>
  <si>
    <t>Function</t>
  </si>
  <si>
    <r>
      <rPr>
        <sz val="11"/>
        <color theme="1"/>
        <rFont val="宋体-简"/>
        <charset val="134"/>
      </rPr>
      <t>剩磁</t>
    </r>
    <r>
      <rPr>
        <sz val="11"/>
        <color theme="1"/>
        <rFont val="Arial Regular"/>
        <charset val="134"/>
      </rPr>
      <t xml:space="preserve">
Br 13.7 - 14.2 kGs</t>
    </r>
  </si>
  <si>
    <r>
      <rPr>
        <sz val="11"/>
        <color theme="1"/>
        <rFont val="宋体-简"/>
        <charset val="134"/>
      </rPr>
      <t>磁性能测试仪</t>
    </r>
    <r>
      <rPr>
        <sz val="11"/>
        <color theme="1"/>
        <rFont val="Arial Regular"/>
        <charset val="134"/>
      </rPr>
      <t>AMT-4
Magnetic permanent tester</t>
    </r>
  </si>
  <si>
    <r>
      <rPr>
        <sz val="11"/>
        <color theme="1"/>
        <rFont val="Arial Regular"/>
        <charset val="134"/>
      </rPr>
      <t>3pcs/Furnace</t>
    </r>
    <r>
      <rPr>
        <sz val="11"/>
        <color theme="1"/>
        <rFont val="宋体-简"/>
        <charset val="134"/>
      </rPr>
      <t>炉</t>
    </r>
  </si>
  <si>
    <r>
      <rPr>
        <sz val="11"/>
        <color theme="1"/>
        <rFont val="Arial Regular"/>
        <charset val="134"/>
      </rPr>
      <t>0</t>
    </r>
    <r>
      <rPr>
        <sz val="11"/>
        <color theme="1"/>
        <rFont val="宋体-简"/>
        <charset val="134"/>
      </rPr>
      <t>收</t>
    </r>
    <r>
      <rPr>
        <sz val="11"/>
        <color theme="1"/>
        <rFont val="Arial Regular"/>
        <charset val="134"/>
      </rPr>
      <t>1</t>
    </r>
    <r>
      <rPr>
        <sz val="11"/>
        <color theme="1"/>
        <rFont val="宋体-简"/>
        <charset val="134"/>
      </rPr>
      <t>退</t>
    </r>
    <r>
      <rPr>
        <sz val="11"/>
        <color theme="1"/>
        <rFont val="Arial Regular"/>
        <charset val="134"/>
      </rPr>
      <t>(Ac=0)</t>
    </r>
  </si>
  <si>
    <r>
      <rPr>
        <sz val="11"/>
        <color theme="1"/>
        <rFont val="宋体-简"/>
        <charset val="134"/>
      </rPr>
      <t>矫顽力</t>
    </r>
    <r>
      <rPr>
        <sz val="11"/>
        <color theme="1"/>
        <rFont val="Arial Regular"/>
        <charset val="134"/>
      </rPr>
      <t xml:space="preserve">
Hcb 13.2 kOe Min</t>
    </r>
  </si>
  <si>
    <r>
      <rPr>
        <sz val="11"/>
        <rFont val="Arial Regular"/>
        <charset val="134"/>
      </rPr>
      <t>0</t>
    </r>
    <r>
      <rPr>
        <sz val="11"/>
        <rFont val="宋体-简"/>
        <charset val="134"/>
      </rPr>
      <t>收</t>
    </r>
    <r>
      <rPr>
        <sz val="11"/>
        <rFont val="Arial Regular"/>
        <charset val="134"/>
      </rPr>
      <t>1</t>
    </r>
    <r>
      <rPr>
        <sz val="11"/>
        <rFont val="宋体-简"/>
        <charset val="134"/>
      </rPr>
      <t>退</t>
    </r>
    <r>
      <rPr>
        <sz val="11"/>
        <rFont val="Arial Regular"/>
        <charset val="134"/>
      </rPr>
      <t>(Ac=0)</t>
    </r>
  </si>
  <si>
    <r>
      <rPr>
        <sz val="11"/>
        <color theme="1"/>
        <rFont val="SimSun"/>
        <charset val="134"/>
      </rPr>
      <t>内禀矫顽力</t>
    </r>
    <r>
      <rPr>
        <sz val="11"/>
        <color theme="1"/>
        <rFont val="Arial Regular"/>
        <charset val="134"/>
      </rPr>
      <t xml:space="preserve">
Hcj  19.0 kOe Min</t>
    </r>
  </si>
  <si>
    <r>
      <rPr>
        <sz val="11"/>
        <color theme="1"/>
        <rFont val="宋体-简"/>
        <charset val="134"/>
      </rPr>
      <t>最大磁能积</t>
    </r>
    <r>
      <rPr>
        <sz val="11"/>
        <color theme="1"/>
        <rFont val="Arial Regular"/>
        <charset val="134"/>
      </rPr>
      <t xml:space="preserve">
BH max  45~49 MGOe</t>
    </r>
  </si>
  <si>
    <t>ORT</t>
  </si>
  <si>
    <r>
      <rPr>
        <sz val="11"/>
        <color theme="1"/>
        <rFont val="宋体-简"/>
        <charset val="134"/>
      </rPr>
      <t>硬度</t>
    </r>
    <r>
      <rPr>
        <sz val="11"/>
        <color theme="1"/>
        <rFont val="Arial Regular"/>
        <charset val="134"/>
      </rPr>
      <t xml:space="preserve">
Hardness HV 600±100</t>
    </r>
  </si>
  <si>
    <r>
      <rPr>
        <sz val="11"/>
        <color theme="1"/>
        <rFont val="宋体-简"/>
        <charset val="134"/>
      </rPr>
      <t>硬度计</t>
    </r>
    <r>
      <rPr>
        <sz val="11"/>
        <color theme="1"/>
        <rFont val="Arial Regular"/>
        <charset val="134"/>
      </rPr>
      <t xml:space="preserve">
Hardmeter HVS-1000</t>
    </r>
  </si>
  <si>
    <r>
      <rPr>
        <sz val="11"/>
        <color rgb="FF000000"/>
        <rFont val="SimSun"/>
        <charset val="134"/>
      </rPr>
      <t>密度</t>
    </r>
    <r>
      <rPr>
        <sz val="11"/>
        <color rgb="FF000000"/>
        <rFont val="Arial Regular"/>
        <charset val="134"/>
      </rPr>
      <t xml:space="preserve">
7.55~7.65 g/cm3</t>
    </r>
  </si>
  <si>
    <r>
      <rPr>
        <sz val="11"/>
        <color theme="1"/>
        <rFont val="宋体-简"/>
        <charset val="134"/>
      </rPr>
      <t>密度</t>
    </r>
    <r>
      <rPr>
        <sz val="11"/>
        <color theme="1"/>
        <rFont val="Arial Regular"/>
        <charset val="134"/>
      </rPr>
      <t xml:space="preserve">
Drainage tester</t>
    </r>
  </si>
  <si>
    <r>
      <rPr>
        <b/>
        <sz val="11"/>
        <color theme="1"/>
        <rFont val="Arial"/>
        <charset val="134"/>
      </rPr>
      <t>Station</t>
    </r>
    <r>
      <rPr>
        <sz val="11"/>
        <color theme="1"/>
        <rFont val="Arial"/>
        <charset val="134"/>
      </rPr>
      <t xml:space="preserve">
Station No. with Description</t>
    </r>
  </si>
  <si>
    <r>
      <rPr>
        <b/>
        <sz val="11"/>
        <color theme="1"/>
        <rFont val="Arial"/>
        <charset val="134"/>
      </rPr>
      <t>Category</t>
    </r>
    <r>
      <rPr>
        <sz val="11"/>
        <color theme="1"/>
        <rFont val="Arial"/>
        <charset val="134"/>
      </rPr>
      <t xml:space="preserve">
Dim, Cos, Function, ORT</t>
    </r>
  </si>
  <si>
    <r>
      <rPr>
        <b/>
        <sz val="11"/>
        <color theme="1"/>
        <rFont val="Arial"/>
        <charset val="134"/>
      </rPr>
      <t xml:space="preserve">Apple DWG
</t>
    </r>
    <r>
      <rPr>
        <sz val="11"/>
        <color theme="1"/>
        <rFont val="Arial"/>
        <charset val="134"/>
      </rPr>
      <t>Apple official drawing for reference, DO NOT release for online control</t>
    </r>
  </si>
  <si>
    <r>
      <rPr>
        <b/>
        <sz val="11"/>
        <color theme="1"/>
        <rFont val="Arial"/>
        <charset val="134"/>
      </rPr>
      <t>Internal DWG</t>
    </r>
    <r>
      <rPr>
        <sz val="11"/>
        <color theme="1"/>
        <rFont val="Arial"/>
        <charset val="134"/>
      </rPr>
      <t xml:space="preserve">
Vendor internal drawing been used for by station inspections</t>
    </r>
  </si>
  <si>
    <r>
      <rPr>
        <b/>
        <sz val="11"/>
        <color theme="1"/>
        <rFont val="Arial"/>
        <charset val="134"/>
      </rPr>
      <t>FAI Control Plan</t>
    </r>
    <r>
      <rPr>
        <sz val="11"/>
        <color theme="1"/>
        <rFont val="Arial"/>
        <charset val="134"/>
      </rPr>
      <t xml:space="preserve">
Refer "Online Quality Control Reaction Plan"</t>
    </r>
  </si>
  <si>
    <r>
      <rPr>
        <b/>
        <sz val="11"/>
        <color theme="1"/>
        <rFont val="Arial"/>
        <charset val="134"/>
      </rPr>
      <t>IPQC Control Plan</t>
    </r>
    <r>
      <rPr>
        <sz val="11"/>
        <color theme="1"/>
        <rFont val="Arial"/>
        <charset val="134"/>
      </rPr>
      <t xml:space="preserve">
Refer "Online Quality Control Reaction Plan"</t>
    </r>
  </si>
  <si>
    <t>SPC No.</t>
  </si>
  <si>
    <t>FAI No.</t>
  </si>
  <si>
    <t>Spec</t>
  </si>
  <si>
    <t>Dim No.</t>
  </si>
  <si>
    <t>CTQ Category</t>
  </si>
  <si>
    <t>FAI Spec</t>
  </si>
  <si>
    <t>IPQC Spec</t>
  </si>
  <si>
    <t>Inspection Frequency</t>
  </si>
  <si>
    <r>
      <rPr>
        <sz val="11"/>
        <color theme="1"/>
        <rFont val="Arial Regular"/>
        <charset val="134"/>
      </rPr>
      <t>1</t>
    </r>
    <r>
      <rPr>
        <sz val="11"/>
        <color theme="1"/>
        <rFont val="宋体-简"/>
        <charset val="134"/>
      </rPr>
      <t>道线锯</t>
    </r>
    <r>
      <rPr>
        <sz val="11"/>
        <color theme="1"/>
        <rFont val="Arial Regular"/>
        <charset val="134"/>
      </rPr>
      <t xml:space="preserve">
1st  Wire Saw</t>
    </r>
  </si>
  <si>
    <t>Dim</t>
  </si>
  <si>
    <t>/</t>
  </si>
  <si>
    <t>8.93±0.05 mm</t>
  </si>
  <si>
    <r>
      <rPr>
        <sz val="11"/>
        <color theme="1"/>
        <rFont val="宋体-简"/>
        <charset val="134"/>
      </rPr>
      <t>长</t>
    </r>
    <r>
      <rPr>
        <sz val="11"/>
        <color theme="1"/>
        <rFont val="Arial Regular"/>
        <charset val="134"/>
      </rPr>
      <t xml:space="preserve">
Length</t>
    </r>
  </si>
  <si>
    <t>Not CTQ</t>
  </si>
  <si>
    <t>8.93±0.04 mm</t>
  </si>
  <si>
    <t>MIC</t>
  </si>
  <si>
    <t>5pcs/2h</t>
  </si>
  <si>
    <r>
      <rPr>
        <sz val="11"/>
        <color theme="1"/>
        <rFont val="Arial Regular"/>
        <charset val="134"/>
      </rPr>
      <t>1</t>
    </r>
    <r>
      <rPr>
        <sz val="11"/>
        <color theme="1"/>
        <rFont val="宋体-简"/>
        <charset val="134"/>
      </rPr>
      <t>道双面磨</t>
    </r>
    <r>
      <rPr>
        <sz val="11"/>
        <color theme="1"/>
        <rFont val="Arial Regular"/>
        <charset val="134"/>
      </rPr>
      <t xml:space="preserve">
1st Double Side Grinding</t>
    </r>
  </si>
  <si>
    <t>8.809±0.03 mm</t>
  </si>
  <si>
    <t>8.809±0.02 mm</t>
  </si>
  <si>
    <r>
      <rPr>
        <sz val="11"/>
        <color theme="1"/>
        <rFont val="Arial Regular"/>
        <charset val="134"/>
      </rPr>
      <t>2</t>
    </r>
    <r>
      <rPr>
        <sz val="11"/>
        <color theme="1"/>
        <rFont val="宋体-简"/>
        <charset val="134"/>
      </rPr>
      <t>道线锯</t>
    </r>
    <r>
      <rPr>
        <sz val="11"/>
        <color theme="1"/>
        <rFont val="Arial Regular"/>
        <charset val="134"/>
      </rPr>
      <t xml:space="preserve">
2nd  Wire Saw</t>
    </r>
  </si>
  <si>
    <t>3.93±0.05 mm</t>
  </si>
  <si>
    <r>
      <rPr>
        <sz val="11"/>
        <color theme="1"/>
        <rFont val="宋体-简"/>
        <charset val="134"/>
      </rPr>
      <t>宽</t>
    </r>
    <r>
      <rPr>
        <sz val="11"/>
        <color theme="1"/>
        <rFont val="Arial Regular"/>
        <charset val="134"/>
      </rPr>
      <t xml:space="preserve">
Width</t>
    </r>
  </si>
  <si>
    <t>3.93±0.04 mm</t>
  </si>
  <si>
    <r>
      <rPr>
        <sz val="11"/>
        <color theme="1"/>
        <rFont val="Arial Regular"/>
        <charset val="134"/>
      </rPr>
      <t>2</t>
    </r>
    <r>
      <rPr>
        <sz val="11"/>
        <color theme="1"/>
        <rFont val="宋体-简"/>
        <charset val="134"/>
      </rPr>
      <t>道双面磨</t>
    </r>
    <r>
      <rPr>
        <sz val="11"/>
        <color theme="1"/>
        <rFont val="Arial Regular"/>
        <charset val="134"/>
      </rPr>
      <t xml:space="preserve">
1nd Double Side Grinding</t>
    </r>
  </si>
  <si>
    <t>3.825±0.03 mm</t>
  </si>
  <si>
    <t>3.825±0.02 mm</t>
  </si>
  <si>
    <r>
      <rPr>
        <sz val="11"/>
        <color theme="1"/>
        <rFont val="Arial Regular"/>
        <charset val="134"/>
      </rPr>
      <t>1</t>
    </r>
    <r>
      <rPr>
        <sz val="11"/>
        <color theme="1"/>
        <rFont val="宋体-简"/>
        <charset val="134"/>
      </rPr>
      <t>道轮廓磨</t>
    </r>
    <r>
      <rPr>
        <sz val="11"/>
        <color theme="1"/>
        <rFont val="Arial Regular"/>
        <charset val="134"/>
      </rPr>
      <t xml:space="preserve">
1st Profile Grinding</t>
    </r>
  </si>
  <si>
    <t>21.5±0.05 mm</t>
  </si>
  <si>
    <t>Radius
半径</t>
  </si>
  <si>
    <t>21.5±0.04 mm</t>
  </si>
  <si>
    <t>KEYENCE</t>
  </si>
  <si>
    <t>24.5±0.05 mm</t>
  </si>
  <si>
    <t>24.5±0.04 mm</t>
  </si>
  <si>
    <r>
      <rPr>
        <sz val="11"/>
        <color theme="1"/>
        <rFont val="Arial Regular"/>
        <charset val="134"/>
      </rPr>
      <t>3</t>
    </r>
    <r>
      <rPr>
        <sz val="11"/>
        <color theme="1"/>
        <rFont val="宋体-简"/>
        <charset val="134"/>
      </rPr>
      <t>道线锯</t>
    </r>
    <r>
      <rPr>
        <sz val="11"/>
        <color theme="1"/>
        <rFont val="Arial Regular"/>
        <charset val="134"/>
      </rPr>
      <t xml:space="preserve">
3rd  Wire Saw</t>
    </r>
  </si>
  <si>
    <t>1.57±0.05mm</t>
  </si>
  <si>
    <r>
      <rPr>
        <sz val="11"/>
        <color theme="1"/>
        <rFont val="宋体-简"/>
        <charset val="134"/>
      </rPr>
      <t>厚度</t>
    </r>
    <r>
      <rPr>
        <sz val="11"/>
        <color theme="1"/>
        <rFont val="Arial Regular"/>
        <charset val="134"/>
      </rPr>
      <t xml:space="preserve">
Thickness</t>
    </r>
  </si>
  <si>
    <t>1.57±0.04mm</t>
  </si>
  <si>
    <r>
      <rPr>
        <sz val="11"/>
        <color theme="1"/>
        <rFont val="Arial Regular"/>
        <charset val="134"/>
      </rPr>
      <t>3</t>
    </r>
    <r>
      <rPr>
        <sz val="11"/>
        <color theme="1"/>
        <rFont val="宋体-简"/>
        <charset val="134"/>
      </rPr>
      <t>道双面磨</t>
    </r>
    <r>
      <rPr>
        <sz val="11"/>
        <color theme="1"/>
        <rFont val="Arial Regular"/>
        <charset val="134"/>
      </rPr>
      <t xml:space="preserve">
3rd Double Side Grinding</t>
    </r>
  </si>
  <si>
    <t>1.47±0.03 mm</t>
  </si>
  <si>
    <t>1.47±0.02 mm</t>
  </si>
  <si>
    <r>
      <rPr>
        <sz val="11"/>
        <color theme="1"/>
        <rFont val="宋体-简"/>
        <charset val="134"/>
      </rPr>
      <t>轮廓磨</t>
    </r>
    <r>
      <rPr>
        <sz val="11"/>
        <color theme="1"/>
        <rFont val="Arial Regular"/>
        <charset val="134"/>
      </rPr>
      <t xml:space="preserve">
Profile Grinding</t>
    </r>
  </si>
  <si>
    <t>0.96±0.05 mm</t>
  </si>
  <si>
    <t>高度
higher</t>
  </si>
  <si>
    <t>0.96±0.04 mm</t>
  </si>
  <si>
    <t>CMM</t>
  </si>
  <si>
    <t>0.93±0.05 mm</t>
  </si>
  <si>
    <t>0.93±0.04 mm</t>
  </si>
  <si>
    <t>0.90±0.05 mm</t>
  </si>
  <si>
    <t>0.90±0.04 mm</t>
  </si>
  <si>
    <t>0.88±0.05 mm</t>
  </si>
  <si>
    <t>0.88±0.04 mm</t>
  </si>
  <si>
    <t>0.87±0.05 mm</t>
  </si>
  <si>
    <t>0.87±0.04 mm</t>
  </si>
  <si>
    <t>0.86±0.05 mm</t>
  </si>
  <si>
    <t>0.86±0.04 mm</t>
  </si>
  <si>
    <t>0.85±0.05 mm</t>
  </si>
  <si>
    <t>0.85±0.04 mm</t>
  </si>
  <si>
    <r>
      <rPr>
        <sz val="11"/>
        <color theme="1"/>
        <rFont val="宋体-简"/>
        <charset val="134"/>
      </rPr>
      <t xml:space="preserve">⌒ </t>
    </r>
    <r>
      <rPr>
        <sz val="11"/>
        <color theme="1"/>
        <rFont val="Arial Regular"/>
        <charset val="134"/>
      </rPr>
      <t>0.08 max</t>
    </r>
  </si>
  <si>
    <t>线轮廓度
Line Profile</t>
  </si>
  <si>
    <t>0.06 max</t>
  </si>
  <si>
    <t>// 0.1 max</t>
  </si>
  <si>
    <t>平行度
Parallelism</t>
  </si>
  <si>
    <t>0.08 max</t>
  </si>
  <si>
    <r>
      <rPr>
        <sz val="11"/>
        <color theme="1"/>
        <rFont val="宋体-简"/>
        <charset val="134"/>
      </rPr>
      <t>⌒</t>
    </r>
    <r>
      <rPr>
        <sz val="11"/>
        <color theme="1"/>
        <rFont val="Arial Regular"/>
        <charset val="134"/>
      </rPr>
      <t xml:space="preserve"> 0.15 max</t>
    </r>
  </si>
  <si>
    <t>0.12 max</t>
  </si>
  <si>
    <r>
      <rPr>
        <sz val="11"/>
        <color theme="1"/>
        <rFont val="宋体-简"/>
        <charset val="134"/>
      </rPr>
      <t>⌓</t>
    </r>
    <r>
      <rPr>
        <sz val="11"/>
        <color theme="1"/>
        <rFont val="Arial Regular"/>
        <charset val="134"/>
      </rPr>
      <t xml:space="preserve"> 0.15 max</t>
    </r>
  </si>
  <si>
    <t>面轮廓度
Surface Profile</t>
  </si>
  <si>
    <r>
      <rPr>
        <sz val="11"/>
        <color theme="1"/>
        <rFont val="宋体-简"/>
        <charset val="134"/>
      </rPr>
      <t>滚动研磨</t>
    </r>
    <r>
      <rPr>
        <sz val="11"/>
        <color theme="1"/>
        <rFont val="Arial Regular"/>
        <charset val="134"/>
      </rPr>
      <t xml:space="preserve">
Tumbling</t>
    </r>
  </si>
  <si>
    <t>Cos</t>
  </si>
  <si>
    <t>R0.1-0.3mm</t>
  </si>
  <si>
    <r>
      <rPr>
        <sz val="11"/>
        <rFont val="宋体-简"/>
        <charset val="134"/>
      </rPr>
      <t>倒角度</t>
    </r>
    <r>
      <rPr>
        <sz val="11"/>
        <rFont val="Arial Regular"/>
        <charset val="134"/>
      </rPr>
      <t xml:space="preserve">
Corner radius</t>
    </r>
  </si>
  <si>
    <t>R0.1-0.2mm</t>
  </si>
  <si>
    <r>
      <rPr>
        <sz val="11"/>
        <rFont val="宋体-简"/>
        <charset val="134"/>
      </rPr>
      <t>投影仪</t>
    </r>
    <r>
      <rPr>
        <sz val="11"/>
        <rFont val="Arial Regular"/>
        <charset val="134"/>
      </rPr>
      <t xml:space="preserve">
Profile Projector</t>
    </r>
  </si>
  <si>
    <t>5pcs/Barrel</t>
  </si>
  <si>
    <r>
      <rPr>
        <sz val="11"/>
        <color theme="1"/>
        <rFont val="Arial Regular"/>
        <charset val="134"/>
      </rPr>
      <t xml:space="preserve">CuEN </t>
    </r>
    <r>
      <rPr>
        <sz val="11"/>
        <color theme="1"/>
        <rFont val="宋体-简"/>
        <charset val="134"/>
      </rPr>
      <t>电镀</t>
    </r>
    <r>
      <rPr>
        <sz val="11"/>
        <color theme="1"/>
        <rFont val="Arial Regular"/>
        <charset val="134"/>
      </rPr>
      <t xml:space="preserve">
CuEN Plating</t>
    </r>
  </si>
  <si>
    <r>
      <rPr>
        <sz val="11"/>
        <rFont val="Arial Regular"/>
        <charset val="134"/>
      </rPr>
      <t>Cu</t>
    </r>
    <r>
      <rPr>
        <sz val="11"/>
        <rFont val="宋体-简"/>
        <charset val="134"/>
      </rPr>
      <t>：</t>
    </r>
    <r>
      <rPr>
        <sz val="11"/>
        <rFont val="Arial Regular"/>
        <charset val="134"/>
      </rPr>
      <t>2.5-5μm
EN</t>
    </r>
    <r>
      <rPr>
        <sz val="11"/>
        <rFont val="宋体-简"/>
        <charset val="134"/>
      </rPr>
      <t>：</t>
    </r>
    <r>
      <rPr>
        <sz val="11"/>
        <rFont val="Arial Regular"/>
        <charset val="134"/>
      </rPr>
      <t>2-4μm
Total</t>
    </r>
    <r>
      <rPr>
        <sz val="11"/>
        <rFont val="宋体-简"/>
        <charset val="134"/>
      </rPr>
      <t>：</t>
    </r>
    <r>
      <rPr>
        <sz val="11"/>
        <rFont val="Arial Regular"/>
        <charset val="134"/>
      </rPr>
      <t>4.5~9.0μm</t>
    </r>
  </si>
  <si>
    <r>
      <rPr>
        <sz val="11"/>
        <rFont val="宋体-简"/>
        <charset val="134"/>
      </rPr>
      <t>单边镀层厚度</t>
    </r>
    <r>
      <rPr>
        <sz val="11"/>
        <rFont val="Arial Regular"/>
        <charset val="134"/>
      </rPr>
      <t xml:space="preserve">
Single side plating thickness</t>
    </r>
  </si>
  <si>
    <r>
      <rPr>
        <sz val="11"/>
        <rFont val="Arial Regular"/>
        <charset val="134"/>
      </rPr>
      <t>X</t>
    </r>
    <r>
      <rPr>
        <sz val="11"/>
        <rFont val="宋体-简"/>
        <charset val="134"/>
      </rPr>
      <t>射线测厚仪</t>
    </r>
    <r>
      <rPr>
        <sz val="11"/>
        <rFont val="Arial Regular"/>
        <charset val="134"/>
      </rPr>
      <t xml:space="preserve">
EDXRF Spectrometer</t>
    </r>
  </si>
  <si>
    <t>9pcs/Barrel</t>
  </si>
  <si>
    <t>177.5±87.5 Gu</t>
  </si>
  <si>
    <t>FAI 20</t>
  </si>
  <si>
    <t>177.5±70 Gu</t>
  </si>
  <si>
    <r>
      <rPr>
        <sz val="11"/>
        <rFont val="宋体-简"/>
        <charset val="134"/>
      </rPr>
      <t>光泽</t>
    </r>
    <r>
      <rPr>
        <sz val="11"/>
        <rFont val="Arial Regular"/>
        <charset val="134"/>
      </rPr>
      <t xml:space="preserve">
Gloss</t>
    </r>
  </si>
  <si>
    <r>
      <rPr>
        <sz val="11"/>
        <rFont val="宋体-简"/>
        <charset val="134"/>
      </rPr>
      <t>光泽度计</t>
    </r>
    <r>
      <rPr>
        <sz val="11"/>
        <rFont val="Arial Regular"/>
        <charset val="134"/>
      </rPr>
      <t xml:space="preserve">
Gloss Meter</t>
    </r>
  </si>
  <si>
    <t>0.35+/-0.2um/Ra</t>
  </si>
  <si>
    <t>FAI 21</t>
  </si>
  <si>
    <r>
      <rPr>
        <sz val="11"/>
        <rFont val="宋体-简"/>
        <charset val="134"/>
      </rPr>
      <t>粗糙度</t>
    </r>
    <r>
      <rPr>
        <sz val="11"/>
        <rFont val="Arial Regular"/>
        <charset val="134"/>
      </rPr>
      <t xml:space="preserve"> X
Roughness X</t>
    </r>
  </si>
  <si>
    <t>0.35+/-0.16um/Ra</t>
  </si>
  <si>
    <r>
      <rPr>
        <sz val="11"/>
        <rFont val="SimSun"/>
        <charset val="134"/>
      </rPr>
      <t>粗糙度仪</t>
    </r>
    <r>
      <rPr>
        <sz val="11"/>
        <rFont val="Arial Regular"/>
        <charset val="134"/>
      </rPr>
      <t xml:space="preserve">
Roughness Meter</t>
    </r>
  </si>
  <si>
    <t>FAI 22</t>
  </si>
  <si>
    <r>
      <rPr>
        <sz val="11"/>
        <rFont val="宋体-简"/>
        <charset val="134"/>
      </rPr>
      <t>粗糙度</t>
    </r>
    <r>
      <rPr>
        <sz val="11"/>
        <rFont val="Arial Regular"/>
        <charset val="134"/>
      </rPr>
      <t xml:space="preserve"> Y
Roughness Y</t>
    </r>
  </si>
  <si>
    <t>L 60~75
a 1.2-2.7
b 4.5~10</t>
  </si>
  <si>
    <r>
      <rPr>
        <sz val="11"/>
        <rFont val="宋体-简"/>
        <charset val="134"/>
      </rPr>
      <t>色差</t>
    </r>
    <r>
      <rPr>
        <sz val="11"/>
        <rFont val="Arial Regular"/>
        <charset val="134"/>
      </rPr>
      <t xml:space="preserve">
Color</t>
    </r>
  </si>
  <si>
    <r>
      <rPr>
        <sz val="11"/>
        <rFont val="SimSun"/>
        <charset val="134"/>
      </rPr>
      <t>色差计</t>
    </r>
    <r>
      <rPr>
        <sz val="11"/>
        <rFont val="Arial Regular"/>
        <charset val="134"/>
      </rPr>
      <t xml:space="preserve">
Color Meter</t>
    </r>
  </si>
  <si>
    <t>9-14% by weight</t>
  </si>
  <si>
    <r>
      <rPr>
        <sz val="11"/>
        <rFont val="宋体-简"/>
        <charset val="134"/>
      </rPr>
      <t>化学镍</t>
    </r>
    <r>
      <rPr>
        <sz val="11"/>
        <rFont val="Arial Regular"/>
        <charset val="134"/>
      </rPr>
      <t xml:space="preserve"> P</t>
    </r>
    <r>
      <rPr>
        <sz val="11"/>
        <rFont val="宋体-简"/>
        <charset val="134"/>
      </rPr>
      <t>含量</t>
    </r>
    <r>
      <rPr>
        <sz val="11"/>
        <rFont val="Arial Regular"/>
        <charset val="134"/>
      </rPr>
      <t xml:space="preserve">
EN PHOS Content</t>
    </r>
  </si>
  <si>
    <t>SEM/EDS</t>
  </si>
  <si>
    <t>3pcs/Day</t>
  </si>
  <si>
    <t>4B</t>
  </si>
  <si>
    <r>
      <rPr>
        <sz val="11"/>
        <rFont val="宋体-简"/>
        <charset val="134"/>
      </rPr>
      <t>百格测试</t>
    </r>
    <r>
      <rPr>
        <sz val="11"/>
        <rFont val="Arial Regular"/>
        <charset val="134"/>
      </rPr>
      <t xml:space="preserve">
Cross hatch testing</t>
    </r>
  </si>
  <si>
    <r>
      <rPr>
        <sz val="11"/>
        <rFont val="宋体-简"/>
        <charset val="134"/>
      </rPr>
      <t>划格刀</t>
    </r>
    <r>
      <rPr>
        <sz val="11"/>
        <rFont val="Arial Regular"/>
        <charset val="134"/>
      </rPr>
      <t xml:space="preserve">
Knife</t>
    </r>
  </si>
  <si>
    <t>≥32</t>
  </si>
  <si>
    <t>FAI 25</t>
  </si>
  <si>
    <t>≥34</t>
  </si>
  <si>
    <r>
      <rPr>
        <sz val="11"/>
        <rFont val="宋体-简"/>
        <charset val="134"/>
      </rPr>
      <t>达因笔测试</t>
    </r>
    <r>
      <rPr>
        <sz val="11"/>
        <rFont val="Arial Regular"/>
        <charset val="134"/>
      </rPr>
      <t xml:space="preserve">
Dyne test</t>
    </r>
  </si>
  <si>
    <r>
      <rPr>
        <sz val="11"/>
        <rFont val="宋体-简"/>
        <charset val="134"/>
      </rPr>
      <t>达因笔</t>
    </r>
    <r>
      <rPr>
        <sz val="11"/>
        <rFont val="Arial Regular"/>
        <charset val="134"/>
      </rPr>
      <t xml:space="preserve">
Dyne pen</t>
    </r>
  </si>
  <si>
    <t>069-8198.Class B</t>
  </si>
  <si>
    <r>
      <rPr>
        <sz val="11"/>
        <color theme="1"/>
        <rFont val="宋体-简"/>
        <charset val="134"/>
      </rPr>
      <t>外观</t>
    </r>
    <r>
      <rPr>
        <sz val="11"/>
        <color theme="1"/>
        <rFont val="Arial Regular"/>
        <charset val="134"/>
      </rPr>
      <t xml:space="preserve">
Cosmetic</t>
    </r>
  </si>
  <si>
    <r>
      <rPr>
        <sz val="11"/>
        <color theme="1"/>
        <rFont val="宋体-简"/>
        <charset val="134"/>
      </rPr>
      <t>目视</t>
    </r>
    <r>
      <rPr>
        <sz val="11"/>
        <color theme="1"/>
        <rFont val="Arial Regular"/>
        <charset val="134"/>
      </rPr>
      <t xml:space="preserve">
Visual</t>
    </r>
  </si>
  <si>
    <t>GB2828 AQL 0.4 level 2</t>
  </si>
  <si>
    <r>
      <rPr>
        <sz val="11"/>
        <rFont val="Arial Regular"/>
        <charset val="134"/>
      </rPr>
      <t>AOI</t>
    </r>
    <r>
      <rPr>
        <sz val="11"/>
        <rFont val="宋体-简"/>
        <charset val="134"/>
      </rPr>
      <t>尺寸检验</t>
    </r>
    <r>
      <rPr>
        <sz val="11"/>
        <rFont val="Arial Regular"/>
        <charset val="134"/>
      </rPr>
      <t xml:space="preserve">
AOI Dimension inspection</t>
    </r>
  </si>
  <si>
    <t>9.03±0.1 mm</t>
  </si>
  <si>
    <t>长
Length</t>
  </si>
  <si>
    <t>9.03±0.09 mm</t>
  </si>
  <si>
    <t>OMM</t>
  </si>
  <si>
    <t>3pcs/4h</t>
  </si>
  <si>
    <t>3.43±0.1 mm</t>
  </si>
  <si>
    <t>宽
width</t>
  </si>
  <si>
    <t>3.43±0.09 mm</t>
  </si>
  <si>
    <t>1.44±0.1 mm</t>
  </si>
  <si>
    <t>高 
Height</t>
  </si>
  <si>
    <t>1.44±0.09 mm</t>
  </si>
  <si>
    <r>
      <rPr>
        <sz val="11"/>
        <color theme="1"/>
        <rFont val="宋体-简"/>
        <charset val="134"/>
      </rPr>
      <t>产品需</t>
    </r>
    <r>
      <rPr>
        <sz val="11"/>
        <color theme="1"/>
        <rFont val="Arial Regular"/>
        <charset val="134"/>
      </rPr>
      <t>100%</t>
    </r>
    <r>
      <rPr>
        <sz val="11"/>
        <color theme="1"/>
        <rFont val="宋体-简"/>
        <charset val="134"/>
      </rPr>
      <t>磁感检验</t>
    </r>
    <r>
      <rPr>
        <sz val="11"/>
        <color theme="1"/>
        <rFont val="Arial Regular"/>
        <charset val="134"/>
      </rPr>
      <t xml:space="preserve">
production must 100% Magnet orientation inspection</t>
    </r>
  </si>
  <si>
    <r>
      <rPr>
        <sz val="11"/>
        <color theme="1"/>
        <rFont val="宋体-简"/>
        <charset val="134"/>
      </rPr>
      <t>磁感检测</t>
    </r>
    <r>
      <rPr>
        <sz val="11"/>
        <color theme="1"/>
        <rFont val="Arial Regular"/>
        <charset val="134"/>
      </rPr>
      <t xml:space="preserve">
Magnet orientation inspection</t>
    </r>
  </si>
  <si>
    <t>AOI : 100%</t>
  </si>
  <si>
    <t>500pcs/4h</t>
  </si>
  <si>
    <t>Magnetization</t>
  </si>
  <si>
    <t>3.05 ± 0.24 μWb*cm</t>
  </si>
  <si>
    <r>
      <rPr>
        <sz val="11"/>
        <rFont val="Arial Regular"/>
        <charset val="134"/>
      </rPr>
      <t xml:space="preserve">MM
</t>
    </r>
    <r>
      <rPr>
        <sz val="11"/>
        <rFont val="宋体-简"/>
        <charset val="134"/>
      </rPr>
      <t>磁矩</t>
    </r>
  </si>
  <si>
    <t>Critical to FATP</t>
  </si>
  <si>
    <t>3.05 ± 0.2 μWb*cm</t>
  </si>
  <si>
    <t>Three-dimensional coil tester</t>
  </si>
  <si>
    <t>0 ± 7 °</t>
  </si>
  <si>
    <t>FAI 26</t>
  </si>
  <si>
    <t>0 ± 5 °</t>
  </si>
  <si>
    <r>
      <rPr>
        <sz val="11"/>
        <rFont val="Arial Regular"/>
        <charset val="134"/>
      </rPr>
      <t xml:space="preserve">Polarity Angle
</t>
    </r>
    <r>
      <rPr>
        <sz val="11"/>
        <rFont val="宋体-简"/>
        <charset val="134"/>
      </rPr>
      <t>磁偏角</t>
    </r>
  </si>
  <si>
    <t>Laser</t>
  </si>
  <si>
    <r>
      <rPr>
        <sz val="11"/>
        <rFont val="Arial Regular"/>
        <charset val="134"/>
      </rPr>
      <t>Concave side Laser marking: M1 or M2
Clear and Visible</t>
    </r>
    <r>
      <rPr>
        <sz val="11"/>
        <rFont val="宋体-简"/>
        <charset val="134"/>
      </rPr>
      <t>，</t>
    </r>
    <r>
      <rPr>
        <sz val="11"/>
        <rFont val="Arial Regular"/>
        <charset val="134"/>
      </rPr>
      <t>reference for laser marking heig:2.2mm</t>
    </r>
  </si>
  <si>
    <r>
      <rPr>
        <sz val="11"/>
        <rFont val="宋体-简"/>
        <charset val="134"/>
      </rPr>
      <t>镭雕</t>
    </r>
    <r>
      <rPr>
        <sz val="11"/>
        <rFont val="Arial Regular"/>
        <charset val="134"/>
      </rPr>
      <t xml:space="preserve">
Laser marking</t>
    </r>
  </si>
  <si>
    <r>
      <rPr>
        <sz val="11"/>
        <rFont val="宋体-简"/>
        <charset val="134"/>
      </rPr>
      <t>目视</t>
    </r>
    <r>
      <rPr>
        <sz val="11"/>
        <rFont val="Arial Regular"/>
        <charset val="134"/>
      </rPr>
      <t xml:space="preserve">
Visual</t>
    </r>
  </si>
  <si>
    <t>2times/shift</t>
  </si>
  <si>
    <t>100% inspection</t>
  </si>
  <si>
    <t>The outline of the image displayed on the magnetic film is clearly visible</t>
  </si>
  <si>
    <t>Magnetic film</t>
  </si>
  <si>
    <r>
      <rPr>
        <sz val="11"/>
        <rFont val="宋体-简"/>
        <charset val="134"/>
      </rPr>
      <t>磁极片</t>
    </r>
    <r>
      <rPr>
        <sz val="11"/>
        <rFont val="Arial"/>
        <charset val="134"/>
      </rPr>
      <t xml:space="preserve">
Magnetic film</t>
    </r>
  </si>
  <si>
    <t>Production:100% inspection</t>
  </si>
  <si>
    <t>Polarity Check</t>
  </si>
  <si>
    <t>Polarity</t>
  </si>
  <si>
    <r>
      <rPr>
        <sz val="11"/>
        <rFont val="宋体-简"/>
        <charset val="134"/>
      </rPr>
      <t>极性笔</t>
    </r>
    <r>
      <rPr>
        <sz val="11"/>
        <rFont val="Arial"/>
        <charset val="134"/>
      </rPr>
      <t xml:space="preserve">
Polar Pen</t>
    </r>
  </si>
  <si>
    <t>Visual Inspection</t>
  </si>
  <si>
    <r>
      <rPr>
        <b/>
        <sz val="11"/>
        <color theme="1"/>
        <rFont val="Arial"/>
        <charset val="134"/>
      </rPr>
      <t xml:space="preserve">Description 
</t>
    </r>
    <r>
      <rPr>
        <sz val="11"/>
        <color theme="1"/>
        <rFont val="Arial"/>
        <charset val="134"/>
      </rPr>
      <t>Detailed inspection items</t>
    </r>
  </si>
  <si>
    <r>
      <rPr>
        <sz val="10"/>
        <color theme="1"/>
        <rFont val="Arial Regular"/>
        <charset val="134"/>
      </rPr>
      <t xml:space="preserve">MAGNET,RADIAL,M1MAGNETIZED,TE
</t>
    </r>
    <r>
      <rPr>
        <sz val="10"/>
        <color theme="1"/>
        <rFont val="宋体-简"/>
        <charset val="134"/>
      </rPr>
      <t>（</t>
    </r>
    <r>
      <rPr>
        <sz val="10"/>
        <color theme="1"/>
        <rFont val="Arial Regular"/>
        <charset val="134"/>
      </rPr>
      <t>MAGNET,RADIAL,M2MAGNETIZED,TE</t>
    </r>
    <r>
      <rPr>
        <sz val="10"/>
        <color theme="1"/>
        <rFont val="宋体-简"/>
        <charset val="134"/>
      </rPr>
      <t>）</t>
    </r>
  </si>
  <si>
    <t>160-05689-A
(Mirror 160-05690-A)</t>
  </si>
  <si>
    <t>Thickness
0.96±0.1 mm</t>
  </si>
  <si>
    <t>32pcs/Lot</t>
  </si>
  <si>
    <t>CPK≥1.33</t>
  </si>
  <si>
    <t>Thickness
0.93±0.1 mm</t>
  </si>
  <si>
    <t>Thickness
0.90±0.1 mm</t>
  </si>
  <si>
    <t>Thickness
0.88±0.1 mm</t>
  </si>
  <si>
    <t>Thickness
0.87±0.1 mm</t>
  </si>
  <si>
    <t>Thickness
0.86±0.1 mm</t>
  </si>
  <si>
    <t>Thickness
0.85±0.1 mm</t>
  </si>
  <si>
    <r>
      <rPr>
        <sz val="11"/>
        <color theme="1"/>
        <rFont val="Arial Regular"/>
        <charset val="134"/>
      </rPr>
      <t xml:space="preserve">Line Profile
</t>
    </r>
    <r>
      <rPr>
        <sz val="11"/>
        <color theme="1"/>
        <rFont val="宋体-简"/>
        <charset val="134"/>
      </rPr>
      <t>⌒</t>
    </r>
    <r>
      <rPr>
        <sz val="11"/>
        <color theme="1"/>
        <rFont val="Arial Regular"/>
        <charset val="134"/>
      </rPr>
      <t xml:space="preserve"> 0.08 max</t>
    </r>
  </si>
  <si>
    <t>Parallelism
// 0.1 max</t>
  </si>
  <si>
    <r>
      <rPr>
        <sz val="11"/>
        <color theme="1"/>
        <rFont val="Arial Regular"/>
        <charset val="134"/>
      </rPr>
      <t xml:space="preserve">Line Profile
</t>
    </r>
    <r>
      <rPr>
        <sz val="11"/>
        <color theme="1"/>
        <rFont val="宋体-简"/>
        <charset val="134"/>
      </rPr>
      <t>⌒</t>
    </r>
    <r>
      <rPr>
        <sz val="11"/>
        <color theme="1"/>
        <rFont val="Arial Regular"/>
        <charset val="134"/>
      </rPr>
      <t xml:space="preserve"> 0.15 max</t>
    </r>
  </si>
  <si>
    <r>
      <rPr>
        <sz val="11"/>
        <color theme="1"/>
        <rFont val="Arial Regular"/>
        <charset val="134"/>
      </rPr>
      <t xml:space="preserve">Surface Profile
</t>
    </r>
    <r>
      <rPr>
        <sz val="11"/>
        <color theme="1"/>
        <rFont val="宋体-简"/>
        <charset val="134"/>
      </rPr>
      <t>⌓</t>
    </r>
    <r>
      <rPr>
        <sz val="11"/>
        <color theme="1"/>
        <rFont val="Arial Regular"/>
        <charset val="134"/>
      </rPr>
      <t xml:space="preserve"> 0.15 max</t>
    </r>
  </si>
  <si>
    <t>Top layer: EN
2.0-4.0μm</t>
  </si>
  <si>
    <r>
      <rPr>
        <sz val="11"/>
        <rFont val="宋体-简"/>
        <charset val="134"/>
      </rPr>
      <t>切片</t>
    </r>
    <r>
      <rPr>
        <sz val="11"/>
        <rFont val="Arial Regular"/>
        <charset val="134"/>
      </rPr>
      <t>+</t>
    </r>
    <r>
      <rPr>
        <sz val="11"/>
        <rFont val="宋体-简"/>
        <charset val="134"/>
      </rPr>
      <t>金相</t>
    </r>
    <r>
      <rPr>
        <sz val="11"/>
        <rFont val="Arial Regular"/>
        <charset val="134"/>
      </rPr>
      <t xml:space="preserve">
Section+Optical Microscope</t>
    </r>
  </si>
  <si>
    <t>9pcs/Lot</t>
  </si>
  <si>
    <t>No Alert(65%)</t>
  </si>
  <si>
    <t>Bottom layer: Cu
2.5-5.0μm</t>
  </si>
  <si>
    <t>Single sided plating thickness
4.5-9.0μm</t>
  </si>
  <si>
    <t>Crack performance
Size, number and crack locations</t>
  </si>
  <si>
    <t>Gloss
177.5±87.5 GU</t>
  </si>
  <si>
    <t>Roughness X/Y
X/Y:0.35+/-0.2um/Ra</t>
  </si>
  <si>
    <r>
      <rPr>
        <sz val="11"/>
        <rFont val="宋体-简"/>
        <charset val="134"/>
      </rPr>
      <t>粗糙度仪</t>
    </r>
    <r>
      <rPr>
        <sz val="11"/>
        <rFont val="Arial Regular"/>
        <charset val="134"/>
      </rPr>
      <t xml:space="preserve">
Roughness Meter</t>
    </r>
  </si>
  <si>
    <t>Color
L 60~75
a 1.2-2.7
b 4.5~10</t>
  </si>
  <si>
    <r>
      <rPr>
        <sz val="11"/>
        <rFont val="宋体-简"/>
        <charset val="134"/>
      </rPr>
      <t>色差计</t>
    </r>
    <r>
      <rPr>
        <sz val="11"/>
        <rFont val="Arial Regular"/>
        <charset val="134"/>
      </rPr>
      <t xml:space="preserve">
Color Meter</t>
    </r>
  </si>
  <si>
    <t>Magnetic Moment
3.05 ± 0.24 μWb*cm</t>
  </si>
  <si>
    <t>Polarity Angle
0±7°</t>
  </si>
  <si>
    <t>Dyen
≥34 (Internal control)</t>
  </si>
  <si>
    <t>Cross-Hatch
4B</t>
  </si>
  <si>
    <t>Cross cutting guide, knife and 3M 610 tape</t>
  </si>
  <si>
    <t>Plating  Pull Test
TBD N, Data collection</t>
  </si>
  <si>
    <t>Universal Test Machine</t>
  </si>
  <si>
    <t>10pcs/Lot</t>
  </si>
  <si>
    <t>TBD N</t>
  </si>
  <si>
    <t>Bending Force test</t>
  </si>
  <si>
    <t>32pcd/lot</t>
  </si>
  <si>
    <t>0收1退(Ac=0)</t>
  </si>
  <si>
    <t>Visual</t>
  </si>
  <si>
    <t>Rel Requirement</t>
  </si>
  <si>
    <t>Sample Size / Frequency</t>
  </si>
  <si>
    <t>Rel title</t>
  </si>
  <si>
    <t>Rel document</t>
  </si>
  <si>
    <t>Rel revision date</t>
  </si>
  <si>
    <t>Rel options</t>
  </si>
  <si>
    <t>Applicability</t>
  </si>
  <si>
    <t>Failure criteria</t>
  </si>
  <si>
    <t>NPI</t>
  </si>
  <si>
    <t>MP</t>
  </si>
  <si>
    <t>Re-test Qty*</t>
  </si>
  <si>
    <t>PP-SST W/O Laser marking</t>
  </si>
  <si>
    <t>ASTM B117-11</t>
  </si>
  <si>
    <t>5%NaCl,35±2°C，PH6.5-7.2,
24hrs</t>
  </si>
  <si>
    <t>Plating</t>
  </si>
  <si>
    <t>No corrosion and pitting</t>
  </si>
  <si>
    <t>PP-SST  Laser marking</t>
  </si>
  <si>
    <t>PP-Heat Quench Test</t>
  </si>
  <si>
    <t>Apple ERS 080-02981-B</t>
  </si>
  <si>
    <t>250°C,1h</t>
  </si>
  <si>
    <t>No break, crack, peel off, bubble</t>
  </si>
  <si>
    <t>PP-HS</t>
  </si>
  <si>
    <t>Apple 080-1654-K</t>
  </si>
  <si>
    <t>72hr  85°C/85%RH</t>
  </si>
  <si>
    <t>&lt;5% Decrease in MM</t>
  </si>
  <si>
    <t>PP-THC</t>
  </si>
  <si>
    <t>Apple 080-1656-H</t>
  </si>
  <si>
    <t>72hr  65°C/90%RH to -20°C/UNC</t>
  </si>
  <si>
    <t>PP-Cross Hatch T0 &amp;72H HS</t>
  </si>
  <si>
    <t>72hr  65°C/90%RH</t>
  </si>
  <si>
    <t>Data collection</t>
  </si>
  <si>
    <t>Q-Plan Template Instruction</t>
  </si>
  <si>
    <t>File Naming Rule as "Project number_Build name_Part Name_Document type__Vendor name_Date(YYYYMMDD)" (eg. J817_P1_HSG_Q-Plan_McEG_20240701)</t>
  </si>
  <si>
    <t>For revison sheet, need add APN for specific process whenever available.</t>
  </si>
  <si>
    <t>For CNC prcoess, need add process description (eg. CNC5 structure side finishing CNC).</t>
  </si>
  <si>
    <t>For IM process, need add quality control plan for K87 (Ano 0) as well.</t>
  </si>
  <si>
    <t>For CTQ category, need split into different categories: Critical to ID feature, Critical to FATP, Critical to HSG assembly, NUD (new/unique/difficult), Not CTQ</t>
  </si>
  <si>
    <t>For QC stations (eg.  AIM, Ano QC, FQC), need to treat as the same as process station in Q-plan and add its control plan in IPQC.</t>
  </si>
  <si>
    <t>For Rel control plan, Rel option stands for specific opition need to be implemented (eg. 504Hrs Heat Soak, 72Hrs Temperature Humidity Cycle, 300hrs Indoor Exposure)</t>
  </si>
  <si>
    <t>IQC Reaction Plan</t>
  </si>
  <si>
    <t>Online Quality Control Reaction Plan - Dimension</t>
  </si>
  <si>
    <t>Online Quality Control Reaction Plan - ORT</t>
  </si>
  <si>
    <t>Rel Test Reaction Plan</t>
  </si>
  <si>
    <t>Q-Plan Template Revisions</t>
  </si>
  <si>
    <t>Initial release</t>
  </si>
  <si>
    <t>Changed Q-plan logic, added reaction plan</t>
  </si>
  <si>
    <t>Small bug fix</t>
  </si>
  <si>
    <t>Split FAI and IPQC spec, updated reaction plan</t>
  </si>
  <si>
    <t>Remove "rel" from 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</si>
</sst>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[$-409]dd/mmm/yy;@"/>
    <numFmt numFmtId="178" formatCode="[$-409]d/mmm;@"/>
  </numFmts>
  <fonts count="48">
    <font>
      <sz val="12"/>
      <color theme="1"/>
      <name val="等线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2"/>
      <color theme="3" tint="0.249977111117893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 Regular"/>
      <charset val="134"/>
    </font>
    <font>
      <sz val="11"/>
      <name val="Arial"/>
      <charset val="134"/>
    </font>
    <font>
      <sz val="10"/>
      <color theme="1"/>
      <name val="Arial Regular"/>
      <charset val="134"/>
    </font>
    <font>
      <sz val="10"/>
      <color rgb="FF0000FF"/>
      <name val="Arial Regular"/>
      <charset val="134"/>
    </font>
    <font>
      <sz val="11"/>
      <color rgb="FF0000FF"/>
      <name val="Arial Regular"/>
      <charset val="134"/>
    </font>
    <font>
      <sz val="11"/>
      <name val="Arial Regular"/>
      <charset val="134"/>
    </font>
    <font>
      <sz val="11"/>
      <color rgb="FF000000"/>
      <name val="Arial Regular"/>
      <charset val="134"/>
    </font>
    <font>
      <sz val="11"/>
      <name val="宋体-简"/>
      <charset val="134"/>
    </font>
    <font>
      <sz val="11"/>
      <color theme="1"/>
      <name val="宋体-简"/>
      <charset val="134"/>
    </font>
    <font>
      <sz val="11"/>
      <color rgb="FFFF0000"/>
      <name val="宋体-简"/>
      <charset val="134"/>
    </font>
    <font>
      <sz val="11"/>
      <name val="SimSun"/>
      <charset val="134"/>
    </font>
    <font>
      <sz val="11"/>
      <color rgb="FF0000FF"/>
      <name val="Arial"/>
      <charset val="134"/>
    </font>
    <font>
      <sz val="11"/>
      <color theme="1"/>
      <name val="SimSun"/>
      <charset val="134"/>
    </font>
    <font>
      <sz val="11"/>
      <color rgb="FF000000"/>
      <name val="SimSun"/>
      <charset val="134"/>
    </font>
    <font>
      <sz val="12"/>
      <name val="等线"/>
      <charset val="134"/>
      <scheme val="minor"/>
    </font>
    <font>
      <b/>
      <sz val="11"/>
      <name val="Arial"/>
      <charset val="134"/>
    </font>
    <font>
      <strike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2"/>
      <name val="新細明體"/>
      <charset val="136"/>
    </font>
    <font>
      <sz val="10"/>
      <name val="Helv"/>
      <charset val="134"/>
    </font>
    <font>
      <sz val="10"/>
      <color theme="1"/>
      <name val="宋体-简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7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3" fillId="9" borderId="14" applyNumberFormat="0" applyAlignment="0" applyProtection="0">
      <alignment vertical="center"/>
    </xf>
    <xf numFmtId="0" fontId="34" fillId="9" borderId="13" applyNumberFormat="0" applyAlignment="0" applyProtection="0">
      <alignment vertical="center"/>
    </xf>
    <xf numFmtId="0" fontId="35" fillId="10" borderId="15" applyNumberFormat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176" fontId="23" fillId="0" borderId="0"/>
    <xf numFmtId="176" fontId="43" fillId="0" borderId="0">
      <alignment vertical="center"/>
    </xf>
    <xf numFmtId="177" fontId="44" fillId="0" borderId="0">
      <alignment vertical="center"/>
    </xf>
    <xf numFmtId="176" fontId="23" fillId="0" borderId="0"/>
    <xf numFmtId="176" fontId="23" fillId="0" borderId="0"/>
    <xf numFmtId="178" fontId="23" fillId="0" borderId="0"/>
    <xf numFmtId="176" fontId="23" fillId="0" borderId="0"/>
    <xf numFmtId="176" fontId="23" fillId="0" borderId="0"/>
    <xf numFmtId="176" fontId="45" fillId="0" borderId="0"/>
    <xf numFmtId="176" fontId="45" fillId="0" borderId="0"/>
    <xf numFmtId="176" fontId="46" fillId="0" borderId="0"/>
  </cellStyleXfs>
  <cellXfs count="1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2" borderId="0" xfId="56" applyNumberFormat="1" applyFont="1" applyFill="1" applyAlignment="1">
      <alignment horizontal="center" vertical="center" wrapText="1"/>
    </xf>
    <xf numFmtId="0" fontId="4" fillId="0" borderId="0" xfId="56" applyNumberFormat="1" applyFont="1" applyAlignment="1">
      <alignment horizontal="center" vertical="center" wrapText="1"/>
    </xf>
    <xf numFmtId="0" fontId="4" fillId="2" borderId="0" xfId="52" applyNumberFormat="1" applyFont="1" applyFill="1" applyAlignment="1" applyProtection="1">
      <alignment vertical="center" wrapText="1"/>
      <protection locked="0"/>
    </xf>
    <xf numFmtId="0" fontId="4" fillId="2" borderId="0" xfId="56" applyNumberFormat="1" applyFont="1" applyFill="1" applyAlignment="1" applyProtection="1">
      <alignment horizontal="center" vertical="center" wrapText="1"/>
      <protection locked="0"/>
    </xf>
    <xf numFmtId="0" fontId="4" fillId="2" borderId="0" xfId="56" applyNumberFormat="1" applyFont="1" applyFill="1" applyAlignment="1" applyProtection="1">
      <alignment horizontal="center" vertical="top" wrapText="1"/>
      <protection locked="0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56" applyNumberFormat="1" applyFont="1" applyFill="1" applyBorder="1" applyAlignment="1">
      <alignment horizontal="center" vertical="center" wrapText="1"/>
    </xf>
    <xf numFmtId="0" fontId="5" fillId="3" borderId="3" xfId="56" applyNumberFormat="1" applyFont="1" applyFill="1" applyBorder="1" applyAlignment="1">
      <alignment horizontal="center" vertical="center" wrapText="1"/>
    </xf>
    <xf numFmtId="0" fontId="4" fillId="3" borderId="1" xfId="56" applyNumberFormat="1" applyFont="1" applyFill="1" applyBorder="1" applyAlignment="1">
      <alignment horizontal="center" vertical="center" wrapText="1"/>
    </xf>
    <xf numFmtId="0" fontId="4" fillId="2" borderId="1" xfId="56" applyNumberFormat="1" applyFont="1" applyFill="1" applyBorder="1" applyAlignment="1" applyProtection="1">
      <alignment horizontal="left" vertical="center" wrapText="1"/>
      <protection locked="0"/>
    </xf>
    <xf numFmtId="0" fontId="6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56" applyNumberFormat="1" applyFont="1" applyFill="1" applyBorder="1" applyAlignment="1" applyProtection="1">
      <alignment horizontal="left" vertical="center" wrapText="1"/>
      <protection locked="0"/>
    </xf>
    <xf numFmtId="0" fontId="7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56" applyNumberFormat="1" applyFont="1" applyFill="1" applyBorder="1" applyAlignment="1" applyProtection="1">
      <alignment vertical="center" wrapText="1"/>
      <protection locked="0"/>
    </xf>
    <xf numFmtId="0" fontId="4" fillId="2" borderId="1" xfId="56" applyNumberFormat="1" applyFont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4" fillId="2" borderId="0" xfId="56" applyNumberFormat="1" applyFont="1" applyFill="1" applyAlignment="1">
      <alignment horizontal="center" vertical="top" wrapText="1"/>
    </xf>
    <xf numFmtId="0" fontId="5" fillId="3" borderId="4" xfId="56" applyNumberFormat="1" applyFont="1" applyFill="1" applyBorder="1" applyAlignment="1">
      <alignment horizontal="center" vertical="center" wrapText="1"/>
    </xf>
    <xf numFmtId="0" fontId="4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52" applyNumberFormat="1" applyFont="1" applyFill="1" applyBorder="1" applyAlignment="1" applyProtection="1">
      <alignment vertical="center" wrapText="1"/>
      <protection locked="0"/>
    </xf>
    <xf numFmtId="0" fontId="4" fillId="2" borderId="1" xfId="49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56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7" fillId="2" borderId="1" xfId="6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3" borderId="5" xfId="56" applyNumberFormat="1" applyFont="1" applyFill="1" applyBorder="1" applyAlignment="1">
      <alignment horizontal="center" vertical="center" wrapText="1"/>
    </xf>
    <xf numFmtId="0" fontId="4" fillId="3" borderId="5" xfId="56" applyNumberFormat="1" applyFont="1" applyFill="1" applyBorder="1" applyAlignment="1">
      <alignment horizontal="center" vertical="center" wrapText="1"/>
    </xf>
    <xf numFmtId="0" fontId="5" fillId="3" borderId="6" xfId="56" applyNumberFormat="1" applyFont="1" applyFill="1" applyBorder="1" applyAlignment="1">
      <alignment horizontal="center" vertical="center" wrapText="1"/>
    </xf>
    <xf numFmtId="0" fontId="4" fillId="3" borderId="6" xfId="56" applyNumberFormat="1" applyFont="1" applyFill="1" applyBorder="1" applyAlignment="1">
      <alignment horizontal="center" vertical="center" wrapText="1"/>
    </xf>
    <xf numFmtId="0" fontId="8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9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10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8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9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8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9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12" fillId="4" borderId="8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5" fillId="3" borderId="2" xfId="57" applyNumberFormat="1" applyFont="1" applyFill="1" applyBorder="1" applyAlignment="1">
      <alignment horizontal="center" vertical="center" wrapText="1"/>
    </xf>
    <xf numFmtId="0" fontId="5" fillId="3" borderId="3" xfId="57" applyNumberFormat="1" applyFont="1" applyFill="1" applyBorder="1" applyAlignment="1">
      <alignment horizontal="center" vertical="center" wrapText="1"/>
    </xf>
    <xf numFmtId="0" fontId="5" fillId="3" borderId="4" xfId="57" applyNumberFormat="1" applyFont="1" applyFill="1" applyBorder="1" applyAlignment="1">
      <alignment horizontal="center" vertical="center" wrapText="1"/>
    </xf>
    <xf numFmtId="0" fontId="4" fillId="3" borderId="1" xfId="58" applyNumberFormat="1" applyFont="1" applyFill="1" applyBorder="1" applyAlignment="1">
      <alignment horizontal="center" vertical="center" wrapText="1"/>
    </xf>
    <xf numFmtId="0" fontId="4" fillId="3" borderId="6" xfId="58" applyNumberFormat="1" applyFont="1" applyFill="1" applyBorder="1" applyAlignment="1">
      <alignment horizontal="center" vertical="center" wrapText="1"/>
    </xf>
    <xf numFmtId="0" fontId="6" fillId="2" borderId="1" xfId="50" applyNumberFormat="1" applyFont="1" applyFill="1" applyBorder="1" applyAlignment="1" applyProtection="1">
      <alignment horizontal="center" vertical="center" wrapText="1"/>
      <protection locked="0"/>
    </xf>
    <xf numFmtId="9" fontId="11" fillId="2" borderId="1" xfId="59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50" applyNumberFormat="1" applyFont="1" applyBorder="1" applyAlignment="1" applyProtection="1">
      <alignment horizontal="center" vertical="center" wrapText="1"/>
      <protection locked="0"/>
    </xf>
    <xf numFmtId="0" fontId="11" fillId="0" borderId="5" xfId="56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59" applyNumberFormat="1" applyFont="1" applyBorder="1" applyAlignment="1" applyProtection="1">
      <alignment horizontal="center" vertical="center" wrapText="1"/>
      <protection locked="0"/>
    </xf>
    <xf numFmtId="0" fontId="11" fillId="0" borderId="7" xfId="56" applyNumberFormat="1" applyFont="1" applyFill="1" applyBorder="1" applyAlignment="1" applyProtection="1">
      <alignment horizontal="center" vertical="center" wrapText="1"/>
      <protection locked="0"/>
    </xf>
    <xf numFmtId="0" fontId="11" fillId="0" borderId="6" xfId="56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56" applyNumberFormat="1" applyFont="1" applyBorder="1" applyAlignment="1" applyProtection="1">
      <alignment horizontal="center" vertical="center" wrapText="1"/>
      <protection locked="0"/>
    </xf>
    <xf numFmtId="0" fontId="12" fillId="0" borderId="8" xfId="0" applyFont="1" applyFill="1" applyBorder="1" applyAlignment="1" applyProtection="1">
      <alignment horizontal="center" vertical="center" wrapText="1"/>
      <protection locked="0"/>
    </xf>
    <xf numFmtId="0" fontId="7" fillId="2" borderId="0" xfId="52" applyNumberFormat="1" applyFont="1" applyFill="1" applyAlignment="1" applyProtection="1">
      <alignment vertical="center" wrapText="1"/>
      <protection locked="0"/>
    </xf>
    <xf numFmtId="0" fontId="4" fillId="5" borderId="1" xfId="56" applyNumberFormat="1" applyFont="1" applyFill="1" applyBorder="1" applyAlignment="1">
      <alignment horizontal="center" vertical="center" wrapText="1"/>
    </xf>
    <xf numFmtId="0" fontId="11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11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11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4" fillId="3" borderId="2" xfId="56" applyNumberFormat="1" applyFont="1" applyFill="1" applyBorder="1" applyAlignment="1">
      <alignment horizontal="center" vertical="center" wrapText="1"/>
    </xf>
    <xf numFmtId="0" fontId="4" fillId="3" borderId="3" xfId="56" applyNumberFormat="1" applyFont="1" applyFill="1" applyBorder="1" applyAlignment="1">
      <alignment horizontal="center" vertical="center" wrapText="1"/>
    </xf>
    <xf numFmtId="0" fontId="11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13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56" applyNumberFormat="1" applyFont="1" applyFill="1" applyAlignment="1">
      <alignment horizontal="right" vertical="center" wrapText="1"/>
    </xf>
    <xf numFmtId="0" fontId="4" fillId="3" borderId="4" xfId="56" applyNumberFormat="1" applyFont="1" applyFill="1" applyBorder="1" applyAlignment="1">
      <alignment horizontal="center" vertical="center" wrapText="1"/>
    </xf>
    <xf numFmtId="0" fontId="4" fillId="3" borderId="2" xfId="57" applyNumberFormat="1" applyFont="1" applyFill="1" applyBorder="1" applyAlignment="1">
      <alignment horizontal="center" vertical="center" wrapText="1"/>
    </xf>
    <xf numFmtId="0" fontId="4" fillId="3" borderId="4" xfId="57" applyNumberFormat="1" applyFont="1" applyFill="1" applyBorder="1" applyAlignment="1">
      <alignment horizontal="center" vertical="center" wrapText="1"/>
    </xf>
    <xf numFmtId="0" fontId="4" fillId="3" borderId="3" xfId="57" applyNumberFormat="1" applyFont="1" applyFill="1" applyBorder="1" applyAlignment="1">
      <alignment horizontal="center" vertical="center" wrapText="1"/>
    </xf>
    <xf numFmtId="0" fontId="4" fillId="3" borderId="5" xfId="58" applyNumberFormat="1" applyFont="1" applyFill="1" applyBorder="1" applyAlignment="1">
      <alignment horizontal="center" vertical="center" wrapText="1"/>
    </xf>
    <xf numFmtId="0" fontId="7" fillId="0" borderId="1" xfId="56" applyNumberFormat="1" applyFont="1" applyBorder="1" applyAlignment="1" applyProtection="1">
      <alignment horizontal="center" vertical="center" wrapText="1"/>
      <protection locked="0"/>
    </xf>
    <xf numFmtId="0" fontId="13" fillId="0" borderId="1" xfId="56" applyNumberFormat="1" applyFont="1" applyFill="1" applyBorder="1" applyAlignment="1" applyProtection="1">
      <alignment horizontal="center" vertical="center" wrapText="1"/>
      <protection locked="0"/>
    </xf>
    <xf numFmtId="9" fontId="11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6" fillId="2" borderId="4" xfId="56" applyNumberFormat="1" applyFont="1" applyFill="1" applyBorder="1" applyAlignment="1" applyProtection="1">
      <alignment horizontal="center" vertical="center" wrapText="1"/>
      <protection locked="0"/>
    </xf>
    <xf numFmtId="0" fontId="11" fillId="2" borderId="4" xfId="56" applyNumberFormat="1" applyFont="1" applyFill="1" applyBorder="1" applyAlignment="1" applyProtection="1">
      <alignment horizontal="center" vertical="center" wrapText="1"/>
      <protection locked="0"/>
    </xf>
    <xf numFmtId="0" fontId="15" fillId="2" borderId="0" xfId="56" applyNumberFormat="1" applyFont="1" applyFill="1" applyAlignment="1" applyProtection="1">
      <alignment horizontal="center" vertical="center" wrapText="1"/>
      <protection locked="0"/>
    </xf>
    <xf numFmtId="0" fontId="13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14" fillId="2" borderId="1" xfId="50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56" applyNumberFormat="1" applyFont="1" applyBorder="1" applyAlignment="1" applyProtection="1">
      <alignment horizontal="center" vertical="center" wrapText="1"/>
      <protection locked="0"/>
    </xf>
    <xf numFmtId="0" fontId="11" fillId="0" borderId="1" xfId="56" applyNumberFormat="1" applyFont="1" applyBorder="1" applyAlignment="1" applyProtection="1">
      <alignment horizontal="center" vertical="center" wrapText="1"/>
      <protection locked="0"/>
    </xf>
    <xf numFmtId="49" fontId="16" fillId="0" borderId="9" xfId="0" applyNumberFormat="1" applyFont="1" applyFill="1" applyBorder="1" applyAlignment="1">
      <alignment horizontal="center" vertical="center" wrapText="1"/>
    </xf>
    <xf numFmtId="49" fontId="16" fillId="0" borderId="6" xfId="0" applyNumberFormat="1" applyFont="1" applyFill="1" applyBorder="1" applyAlignment="1">
      <alignment horizontal="center" vertical="center" wrapText="1"/>
    </xf>
    <xf numFmtId="49" fontId="11" fillId="0" borderId="6" xfId="0" applyNumberFormat="1" applyFont="1" applyFill="1" applyBorder="1" applyAlignment="1">
      <alignment horizontal="center" vertical="center" wrapText="1"/>
    </xf>
    <xf numFmtId="0" fontId="14" fillId="0" borderId="1" xfId="56" applyNumberFormat="1" applyFont="1" applyBorder="1" applyAlignment="1" applyProtection="1">
      <alignment horizontal="center" vertical="center" wrapText="1"/>
      <protection locked="0"/>
    </xf>
    <xf numFmtId="9" fontId="13" fillId="2" borderId="1" xfId="59" applyNumberFormat="1" applyFont="1" applyFill="1" applyBorder="1" applyAlignment="1" applyProtection="1">
      <alignment horizontal="center" vertical="center" wrapText="1"/>
      <protection locked="0"/>
    </xf>
    <xf numFmtId="9" fontId="6" fillId="2" borderId="1" xfId="59" applyNumberFormat="1" applyFont="1" applyFill="1" applyBorder="1" applyAlignment="1" applyProtection="1">
      <alignment horizontal="center" vertical="center" wrapText="1"/>
      <protection locked="0"/>
    </xf>
    <xf numFmtId="0" fontId="13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14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5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5" fillId="5" borderId="1" xfId="56" applyNumberFormat="1" applyFont="1" applyFill="1" applyBorder="1" applyAlignment="1">
      <alignment horizontal="center" vertical="center" wrapText="1"/>
    </xf>
    <xf numFmtId="0" fontId="6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6" fillId="2" borderId="6" xfId="56" applyNumberFormat="1" applyFont="1" applyFill="1" applyBorder="1" applyAlignment="1" applyProtection="1">
      <alignment horizontal="center" vertical="center"/>
      <protection locked="0"/>
    </xf>
    <xf numFmtId="0" fontId="14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14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56" applyNumberFormat="1" applyFont="1" applyBorder="1" applyAlignment="1" applyProtection="1">
      <alignment horizontal="center" vertical="center" wrapText="1"/>
      <protection locked="0"/>
    </xf>
    <xf numFmtId="0" fontId="4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17" fillId="2" borderId="5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17" fillId="2" borderId="7" xfId="56" applyNumberFormat="1" applyFont="1" applyFill="1" applyBorder="1" applyAlignment="1" applyProtection="1">
      <alignment horizontal="center" vertical="center" wrapText="1"/>
      <protection locked="0"/>
    </xf>
    <xf numFmtId="0" fontId="4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17" fillId="2" borderId="6" xfId="56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56" applyNumberFormat="1" applyFont="1" applyFill="1" applyBorder="1" applyAlignment="1" applyProtection="1">
      <alignment horizontal="center" vertical="center" wrapText="1"/>
      <protection locked="0"/>
    </xf>
    <xf numFmtId="0" fontId="18" fillId="2" borderId="1" xfId="56" applyNumberFormat="1" applyFont="1" applyFill="1" applyBorder="1" applyAlignment="1" applyProtection="1">
      <alignment horizontal="center" vertical="center" wrapText="1"/>
      <protection locked="0"/>
    </xf>
    <xf numFmtId="0" fontId="19" fillId="6" borderId="4" xfId="0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 2" xfId="50"/>
    <cellStyle name="常规 21" xfId="51"/>
    <cellStyle name="常规 5" xfId="52"/>
    <cellStyle name="常规 5 2" xfId="53"/>
    <cellStyle name="常规 58" xfId="54"/>
    <cellStyle name="常规 58 2" xfId="55"/>
    <cellStyle name="常规 6" xfId="56"/>
    <cellStyle name="常规_buffalo QC Flow Chart (Control Plan) 3" xfId="57"/>
    <cellStyle name="常规_buffalo QC Flow Chart (Control Plan) 4 3" xfId="58"/>
    <cellStyle name="样式 1 4" xfId="59"/>
  </cellStyles>
  <tableStyles count="0" defaultTableStyle="TableStyleMedium2" defaultPivotStyle="PivotStyleLight16"/>
  <colors>
    <mruColors>
      <color rgb="0053AC79"/>
      <color rgb="00C0E6F5"/>
      <color rgb="00A9D5BC"/>
      <color rgb="00A9CADF"/>
      <color rgb="0073FB79"/>
      <color rgb="0076D6FF"/>
      <color rgb="0073FEFF"/>
      <color rgb="007FB1D1"/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433293</xdr:colOff>
      <xdr:row>11</xdr:row>
      <xdr:rowOff>268942</xdr:rowOff>
    </xdr:from>
    <xdr:to>
      <xdr:col>3</xdr:col>
      <xdr:colOff>6843059</xdr:colOff>
      <xdr:row>31</xdr:row>
      <xdr:rowOff>240619</xdr:rowOff>
    </xdr:to>
    <xdr:pic>
      <xdr:nvPicPr>
        <xdr:cNvPr id="7" name="Picture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170" y="3286125"/>
          <a:ext cx="8365490" cy="5559425"/>
        </a:xfrm>
        <a:prstGeom prst="rect">
          <a:avLst/>
        </a:prstGeom>
      </xdr:spPr>
    </xdr:pic>
    <xdr:clientData/>
  </xdr:twoCellAnchor>
  <xdr:twoCellAnchor editAs="oneCell">
    <xdr:from>
      <xdr:col>1</xdr:col>
      <xdr:colOff>335748</xdr:colOff>
      <xdr:row>82</xdr:row>
      <xdr:rowOff>175172</xdr:rowOff>
    </xdr:from>
    <xdr:to>
      <xdr:col>3</xdr:col>
      <xdr:colOff>6875518</xdr:colOff>
      <xdr:row>104</xdr:row>
      <xdr:rowOff>213905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4380" y="23029545"/>
          <a:ext cx="8495665" cy="6185535"/>
        </a:xfrm>
        <a:prstGeom prst="rect">
          <a:avLst/>
        </a:prstGeom>
      </xdr:spPr>
    </xdr:pic>
    <xdr:clientData/>
  </xdr:twoCellAnchor>
  <xdr:twoCellAnchor editAs="oneCell">
    <xdr:from>
      <xdr:col>0</xdr:col>
      <xdr:colOff>393095</xdr:colOff>
      <xdr:row>60</xdr:row>
      <xdr:rowOff>30238</xdr:rowOff>
    </xdr:from>
    <xdr:to>
      <xdr:col>4</xdr:col>
      <xdr:colOff>576562</xdr:colOff>
      <xdr:row>79</xdr:row>
      <xdr:rowOff>136071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3065" y="16737965"/>
          <a:ext cx="10050780" cy="5414645"/>
        </a:xfrm>
        <a:prstGeom prst="rect">
          <a:avLst/>
        </a:prstGeom>
      </xdr:spPr>
    </xdr:pic>
    <xdr:clientData/>
  </xdr:twoCellAnchor>
  <xdr:twoCellAnchor editAs="oneCell">
    <xdr:from>
      <xdr:col>2</xdr:col>
      <xdr:colOff>211668</xdr:colOff>
      <xdr:row>35</xdr:row>
      <xdr:rowOff>226784</xdr:rowOff>
    </xdr:from>
    <xdr:to>
      <xdr:col>3</xdr:col>
      <xdr:colOff>6244167</xdr:colOff>
      <xdr:row>55</xdr:row>
      <xdr:rowOff>234256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56055" y="9949815"/>
          <a:ext cx="7162800" cy="5594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zoomScale="85" zoomScaleNormal="85" workbookViewId="0">
      <selection activeCell="I20" sqref="I20"/>
    </sheetView>
  </sheetViews>
  <sheetFormatPr defaultColWidth="11" defaultRowHeight="17.6"/>
  <cols>
    <col min="1" max="1" width="34.2666666666667" style="32" customWidth="1"/>
    <col min="2" max="2" width="25.8333333333333" style="32" customWidth="1"/>
    <col min="3" max="5" width="9.83333333333333" style="32" customWidth="1"/>
    <col min="6" max="6" width="11.3333333333333" style="32" customWidth="1"/>
    <col min="7" max="8" width="9.83333333333333" style="32" customWidth="1"/>
    <col min="9" max="9" width="75.8333333333333" style="32" customWidth="1"/>
    <col min="10" max="11" width="20.8333333333333" style="32" customWidth="1"/>
    <col min="12" max="16384" width="10.8333333333333" style="32"/>
  </cols>
  <sheetData>
    <row r="1" ht="22" customHeight="1" spans="1:6">
      <c r="A1" s="17" t="s">
        <v>0</v>
      </c>
      <c r="B1" s="17" t="s">
        <v>1</v>
      </c>
      <c r="C1" s="18"/>
      <c r="D1" s="18"/>
      <c r="E1" s="18"/>
      <c r="F1" s="18"/>
    </row>
    <row r="2" ht="22" customHeight="1" spans="1:6">
      <c r="A2" s="130" t="s">
        <v>2</v>
      </c>
      <c r="B2" s="130" t="s">
        <v>3</v>
      </c>
      <c r="C2" s="18"/>
      <c r="D2" s="18"/>
      <c r="E2" s="18"/>
      <c r="F2" s="18"/>
    </row>
    <row r="3" ht="22" customHeight="1" spans="1:6">
      <c r="A3" s="17" t="s">
        <v>4</v>
      </c>
      <c r="B3" s="17" t="s">
        <v>5</v>
      </c>
      <c r="C3" s="18"/>
      <c r="D3" s="18"/>
      <c r="E3" s="18"/>
      <c r="F3" s="18"/>
    </row>
    <row r="4" ht="22" customHeight="1" spans="1:6">
      <c r="A4" s="131" t="s">
        <v>6</v>
      </c>
      <c r="B4" s="132" t="s">
        <v>7</v>
      </c>
      <c r="C4" s="18"/>
      <c r="D4" s="18"/>
      <c r="E4" s="18"/>
      <c r="F4" s="18"/>
    </row>
    <row r="5" ht="22" customHeight="1" spans="1:6">
      <c r="A5" s="17" t="s">
        <v>8</v>
      </c>
      <c r="B5" s="17" t="s">
        <v>9</v>
      </c>
      <c r="C5" s="18"/>
      <c r="D5" s="18"/>
      <c r="E5" s="18"/>
      <c r="F5" s="18"/>
    </row>
    <row r="6" ht="22" customHeight="1" spans="1:6">
      <c r="A6" s="133" t="s">
        <v>10</v>
      </c>
      <c r="B6" s="131" t="s">
        <v>11</v>
      </c>
      <c r="C6" s="18"/>
      <c r="D6" s="18"/>
      <c r="E6" s="18"/>
      <c r="F6" s="20"/>
    </row>
    <row r="7" ht="22" customHeight="1" spans="1:2">
      <c r="A7" s="133" t="s">
        <v>10</v>
      </c>
      <c r="B7" s="131" t="s">
        <v>12</v>
      </c>
    </row>
    <row r="8" ht="22" customHeight="1" spans="1:6">
      <c r="A8" s="133" t="s">
        <v>10</v>
      </c>
      <c r="B8" s="131" t="s">
        <v>13</v>
      </c>
      <c r="C8" s="18"/>
      <c r="D8" s="18"/>
      <c r="E8" s="18"/>
      <c r="F8" s="18"/>
    </row>
    <row r="9" ht="22" customHeight="1" spans="1:6">
      <c r="A9" s="133" t="s">
        <v>10</v>
      </c>
      <c r="B9" s="131" t="s">
        <v>14</v>
      </c>
      <c r="C9" s="18"/>
      <c r="D9" s="18"/>
      <c r="E9" s="18"/>
      <c r="F9" s="18"/>
    </row>
    <row r="10" ht="22" customHeight="1" spans="1:2">
      <c r="A10" s="133" t="s">
        <v>10</v>
      </c>
      <c r="B10" s="131" t="s">
        <v>15</v>
      </c>
    </row>
    <row r="11" ht="22" customHeight="1" spans="1:2">
      <c r="A11" s="133" t="s">
        <v>10</v>
      </c>
      <c r="B11" s="131" t="s">
        <v>16</v>
      </c>
    </row>
    <row r="12" ht="22" customHeight="1" spans="1:1">
      <c r="A12" s="20"/>
    </row>
    <row r="13" ht="22" customHeight="1" spans="1:11">
      <c r="A13" s="134" t="s">
        <v>17</v>
      </c>
      <c r="B13" s="134" t="s">
        <v>18</v>
      </c>
      <c r="C13" s="17" t="s">
        <v>19</v>
      </c>
      <c r="D13" s="17"/>
      <c r="E13" s="17"/>
      <c r="F13" s="17"/>
      <c r="G13" s="17"/>
      <c r="H13" s="17"/>
      <c r="I13" s="140" t="s">
        <v>20</v>
      </c>
      <c r="J13" s="134" t="s">
        <v>21</v>
      </c>
      <c r="K13" s="134" t="s">
        <v>22</v>
      </c>
    </row>
    <row r="14" ht="34" spans="1:11">
      <c r="A14" s="134"/>
      <c r="B14" s="134"/>
      <c r="C14" s="135" t="s">
        <v>11</v>
      </c>
      <c r="D14" s="135" t="s">
        <v>12</v>
      </c>
      <c r="E14" s="135" t="s">
        <v>13</v>
      </c>
      <c r="F14" s="135" t="s">
        <v>14</v>
      </c>
      <c r="G14" s="135" t="s">
        <v>15</v>
      </c>
      <c r="H14" s="135" t="s">
        <v>16</v>
      </c>
      <c r="I14" s="140"/>
      <c r="J14" s="134"/>
      <c r="K14" s="134"/>
    </row>
    <row r="15" ht="22" customHeight="1" spans="1:11">
      <c r="A15" s="131">
        <v>1</v>
      </c>
      <c r="B15" s="136">
        <v>45706</v>
      </c>
      <c r="C15" s="131" t="s">
        <v>23</v>
      </c>
      <c r="D15" s="131" t="s">
        <v>23</v>
      </c>
      <c r="E15" s="131" t="s">
        <v>23</v>
      </c>
      <c r="F15" s="131" t="s">
        <v>23</v>
      </c>
      <c r="G15" s="131" t="s">
        <v>23</v>
      </c>
      <c r="H15" s="131" t="s">
        <v>23</v>
      </c>
      <c r="I15" s="132" t="s">
        <v>24</v>
      </c>
      <c r="J15" s="132" t="s">
        <v>25</v>
      </c>
      <c r="K15" s="132" t="s">
        <v>26</v>
      </c>
    </row>
    <row r="16" s="129" customFormat="1" ht="22" customHeight="1" spans="1:11">
      <c r="A16" s="132">
        <v>2</v>
      </c>
      <c r="B16" s="137">
        <v>45777</v>
      </c>
      <c r="C16" s="132" t="s">
        <v>23</v>
      </c>
      <c r="D16" s="132" t="s">
        <v>23</v>
      </c>
      <c r="E16" s="132" t="s">
        <v>23</v>
      </c>
      <c r="F16" s="132" t="s">
        <v>23</v>
      </c>
      <c r="G16" s="132" t="s">
        <v>23</v>
      </c>
      <c r="H16" s="132" t="s">
        <v>23</v>
      </c>
      <c r="I16" s="132" t="s">
        <v>24</v>
      </c>
      <c r="J16" s="132" t="s">
        <v>25</v>
      </c>
      <c r="K16" s="132" t="s">
        <v>27</v>
      </c>
    </row>
    <row r="17" ht="22" customHeight="1" spans="1:11">
      <c r="A17" s="132">
        <v>3</v>
      </c>
      <c r="B17" s="137">
        <v>45826</v>
      </c>
      <c r="C17" s="132" t="s">
        <v>23</v>
      </c>
      <c r="D17" s="132" t="s">
        <v>23</v>
      </c>
      <c r="E17" s="132" t="s">
        <v>23</v>
      </c>
      <c r="F17" s="132" t="s">
        <v>23</v>
      </c>
      <c r="G17" s="132" t="s">
        <v>23</v>
      </c>
      <c r="H17" s="132" t="s">
        <v>23</v>
      </c>
      <c r="I17" s="132" t="s">
        <v>28</v>
      </c>
      <c r="J17" s="132" t="s">
        <v>25</v>
      </c>
      <c r="K17" s="132" t="s">
        <v>27</v>
      </c>
    </row>
    <row r="18" ht="22" customHeight="1" spans="1:11">
      <c r="A18" s="138">
        <v>4</v>
      </c>
      <c r="B18" s="139">
        <v>45917</v>
      </c>
      <c r="C18" s="138" t="s">
        <v>23</v>
      </c>
      <c r="D18" s="138" t="s">
        <v>23</v>
      </c>
      <c r="E18" s="138" t="s">
        <v>23</v>
      </c>
      <c r="F18" s="138" t="s">
        <v>23</v>
      </c>
      <c r="G18" s="138" t="s">
        <v>23</v>
      </c>
      <c r="H18" s="138" t="s">
        <v>23</v>
      </c>
      <c r="I18" s="133" t="s">
        <v>29</v>
      </c>
      <c r="J18" s="138" t="s">
        <v>25</v>
      </c>
      <c r="K18" s="138" t="s">
        <v>27</v>
      </c>
    </row>
    <row r="19" ht="22" customHeight="1" spans="1:11">
      <c r="A19" s="131"/>
      <c r="B19" s="136"/>
      <c r="C19" s="131"/>
      <c r="D19" s="131"/>
      <c r="E19" s="131"/>
      <c r="F19" s="131"/>
      <c r="G19" s="131"/>
      <c r="H19" s="131"/>
      <c r="I19" s="141"/>
      <c r="J19" s="141"/>
      <c r="K19" s="132"/>
    </row>
    <row r="20" ht="22" customHeight="1" spans="1:11">
      <c r="A20" s="131"/>
      <c r="B20" s="136"/>
      <c r="C20" s="131"/>
      <c r="D20" s="131"/>
      <c r="E20" s="131"/>
      <c r="F20" s="131"/>
      <c r="G20" s="131"/>
      <c r="H20" s="131"/>
      <c r="I20" s="111"/>
      <c r="J20" s="111"/>
      <c r="K20" s="132"/>
    </row>
    <row r="21" ht="22" customHeight="1" spans="1:11">
      <c r="A21" s="131"/>
      <c r="B21" s="136"/>
      <c r="C21" s="131"/>
      <c r="D21" s="131"/>
      <c r="E21" s="131"/>
      <c r="F21" s="131"/>
      <c r="G21" s="131"/>
      <c r="H21" s="131"/>
      <c r="I21" s="131"/>
      <c r="J21" s="131"/>
      <c r="K21" s="131"/>
    </row>
    <row r="22" ht="22" customHeight="1" spans="1:11">
      <c r="A22" s="131"/>
      <c r="B22" s="136"/>
      <c r="C22" s="131"/>
      <c r="D22" s="131"/>
      <c r="E22" s="131"/>
      <c r="F22" s="131"/>
      <c r="G22" s="131"/>
      <c r="H22" s="131"/>
      <c r="I22" s="131"/>
      <c r="J22" s="131"/>
      <c r="K22" s="131"/>
    </row>
    <row r="23" ht="22" customHeight="1" spans="1:11">
      <c r="A23" s="131"/>
      <c r="B23" s="136"/>
      <c r="C23" s="131"/>
      <c r="D23" s="131"/>
      <c r="E23" s="131"/>
      <c r="F23" s="131"/>
      <c r="G23" s="131"/>
      <c r="H23" s="131"/>
      <c r="I23" s="131"/>
      <c r="J23" s="131"/>
      <c r="K23" s="131"/>
    </row>
    <row r="30" spans="9:9">
      <c r="I30" s="142"/>
    </row>
  </sheetData>
  <mergeCells count="6">
    <mergeCell ref="C13:H13"/>
    <mergeCell ref="A13:A14"/>
    <mergeCell ref="B13:B14"/>
    <mergeCell ref="I13:I14"/>
    <mergeCell ref="J13:J14"/>
    <mergeCell ref="K13:K14"/>
  </mergeCells>
  <dataValidations count="1">
    <dataValidation type="list" showInputMessage="1" showErrorMessage="1" sqref="C18:H18 C15:H17 C19:H23">
      <formula1>"Yes, -"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zoomScale="86" zoomScaleNormal="86" zoomScaleSheetLayoutView="55" showRuler="0" workbookViewId="0">
      <pane ySplit="7" topLeftCell="A8" activePane="bottomLeft" state="frozen"/>
      <selection/>
      <selection pane="bottomLeft" activeCell="B17" sqref="B17"/>
    </sheetView>
  </sheetViews>
  <sheetFormatPr defaultColWidth="8.83333333333333" defaultRowHeight="22" customHeight="1" outlineLevelCol="7"/>
  <cols>
    <col min="1" max="1" width="38.775" style="15" customWidth="1"/>
    <col min="2" max="4" width="25.8333333333333" style="15" customWidth="1"/>
    <col min="5" max="5" width="32.475" style="16" customWidth="1"/>
    <col min="6" max="8" width="25.8333333333333" style="15" customWidth="1"/>
    <col min="9" max="16384" width="8.83333333333333" style="15"/>
  </cols>
  <sheetData>
    <row r="1" s="12" customFormat="1" customHeight="1" spans="1:8">
      <c r="A1" s="17" t="s">
        <v>4</v>
      </c>
      <c r="B1" s="17" t="s">
        <v>5</v>
      </c>
      <c r="C1" s="18"/>
      <c r="D1" s="18"/>
      <c r="E1" s="18"/>
      <c r="F1" s="18"/>
      <c r="G1" s="18"/>
      <c r="H1" s="18"/>
    </row>
    <row r="2" s="12" customFormat="1" customHeight="1" spans="1:8">
      <c r="A2" s="19" t="str">
        <f>IF(Revision!A4="","",Revision!A4)</f>
        <v>B747 Radial</v>
      </c>
      <c r="B2" s="19" t="str">
        <f>IF(Revision!B4="","",Revision!B4)</f>
        <v>Ramp</v>
      </c>
      <c r="C2" s="20"/>
      <c r="D2" s="18"/>
      <c r="E2" s="18"/>
      <c r="F2" s="18"/>
      <c r="G2" s="18"/>
      <c r="H2" s="18"/>
    </row>
    <row r="3" s="12" customFormat="1" customHeight="1" spans="1:8">
      <c r="A3" s="17" t="s">
        <v>8</v>
      </c>
      <c r="B3" s="17" t="s">
        <v>9</v>
      </c>
      <c r="C3" s="18"/>
      <c r="D3" s="18"/>
      <c r="E3" s="18"/>
      <c r="F3" s="18"/>
      <c r="G3" s="18"/>
      <c r="H3" s="18"/>
    </row>
    <row r="4" s="12" customFormat="1" customHeight="1" spans="1:8">
      <c r="A4" s="111" t="str">
        <f>Revision!A6</f>
        <v>160-05689-A(Mirror 160-05690-A)</v>
      </c>
      <c r="B4" s="19" t="str">
        <f>IF(Revision!B6="","",Revision!B6)</f>
        <v>IQC</v>
      </c>
      <c r="C4" s="20"/>
      <c r="D4" s="18"/>
      <c r="E4" s="32"/>
      <c r="F4" s="32"/>
      <c r="G4" s="32"/>
      <c r="H4" s="32"/>
    </row>
    <row r="5" s="12" customFormat="1" ht="7" customHeight="1" spans="5:5">
      <c r="E5" s="33"/>
    </row>
    <row r="6" s="13" customFormat="1" ht="37" customHeight="1" spans="1:8">
      <c r="A6" s="44" t="s">
        <v>30</v>
      </c>
      <c r="B6" s="44" t="s">
        <v>8</v>
      </c>
      <c r="C6" s="44" t="s">
        <v>17</v>
      </c>
      <c r="D6" s="24" t="s">
        <v>31</v>
      </c>
      <c r="E6" s="44" t="s">
        <v>32</v>
      </c>
      <c r="F6" s="60" t="s">
        <v>33</v>
      </c>
      <c r="G6" s="61"/>
      <c r="H6" s="62"/>
    </row>
    <row r="7" s="13" customFormat="1" customHeight="1" spans="1:8">
      <c r="A7" s="46"/>
      <c r="B7" s="46"/>
      <c r="C7" s="46"/>
      <c r="D7" s="24"/>
      <c r="E7" s="46"/>
      <c r="F7" s="63" t="s">
        <v>34</v>
      </c>
      <c r="G7" s="64" t="s">
        <v>35</v>
      </c>
      <c r="H7" s="64" t="s">
        <v>36</v>
      </c>
    </row>
    <row r="8" s="14" customFormat="1" ht="34" customHeight="1" spans="1:8">
      <c r="A8" s="119" t="s">
        <v>37</v>
      </c>
      <c r="B8" s="120" t="s">
        <v>38</v>
      </c>
      <c r="C8" s="50">
        <v>4</v>
      </c>
      <c r="D8" s="26" t="s">
        <v>39</v>
      </c>
      <c r="E8" s="104" t="s">
        <v>40</v>
      </c>
      <c r="F8" s="104" t="s">
        <v>41</v>
      </c>
      <c r="G8" s="118" t="s">
        <v>42</v>
      </c>
      <c r="H8" s="106" t="s">
        <v>43</v>
      </c>
    </row>
    <row r="9" s="14" customFormat="1" ht="34" customHeight="1" spans="1:8">
      <c r="A9" s="121"/>
      <c r="B9" s="122"/>
      <c r="C9" s="50">
        <v>4</v>
      </c>
      <c r="D9" s="26" t="s">
        <v>39</v>
      </c>
      <c r="E9" s="104" t="s">
        <v>44</v>
      </c>
      <c r="F9" s="125" t="s">
        <v>41</v>
      </c>
      <c r="G9" s="126" t="s">
        <v>42</v>
      </c>
      <c r="H9" s="66" t="s">
        <v>45</v>
      </c>
    </row>
    <row r="10" s="14" customFormat="1" ht="34" customHeight="1" spans="1:8">
      <c r="A10" s="121"/>
      <c r="B10" s="122"/>
      <c r="C10" s="50">
        <v>4</v>
      </c>
      <c r="D10" s="26" t="s">
        <v>39</v>
      </c>
      <c r="E10" s="127" t="s">
        <v>46</v>
      </c>
      <c r="F10" s="125" t="s">
        <v>41</v>
      </c>
      <c r="G10" s="126" t="s">
        <v>42</v>
      </c>
      <c r="H10" s="66" t="s">
        <v>45</v>
      </c>
    </row>
    <row r="11" s="14" customFormat="1" ht="34" customHeight="1" spans="1:8">
      <c r="A11" s="121"/>
      <c r="B11" s="122"/>
      <c r="C11" s="50">
        <v>4</v>
      </c>
      <c r="D11" s="26" t="s">
        <v>39</v>
      </c>
      <c r="E11" s="104" t="s">
        <v>47</v>
      </c>
      <c r="F11" s="104" t="s">
        <v>41</v>
      </c>
      <c r="G11" s="118" t="s">
        <v>42</v>
      </c>
      <c r="H11" s="106" t="s">
        <v>43</v>
      </c>
    </row>
    <row r="12" s="14" customFormat="1" ht="34" customHeight="1" spans="1:8">
      <c r="A12" s="121"/>
      <c r="B12" s="122"/>
      <c r="C12" s="50">
        <v>4</v>
      </c>
      <c r="D12" s="26" t="s">
        <v>48</v>
      </c>
      <c r="E12" s="104" t="s">
        <v>49</v>
      </c>
      <c r="F12" s="104" t="s">
        <v>50</v>
      </c>
      <c r="G12" s="118" t="s">
        <v>42</v>
      </c>
      <c r="H12" s="106" t="s">
        <v>43</v>
      </c>
    </row>
    <row r="13" s="14" customFormat="1" ht="34" customHeight="1" spans="1:8">
      <c r="A13" s="123"/>
      <c r="B13" s="124"/>
      <c r="C13" s="50">
        <v>4</v>
      </c>
      <c r="D13" s="26" t="s">
        <v>48</v>
      </c>
      <c r="E13" s="128" t="s">
        <v>51</v>
      </c>
      <c r="F13" s="125" t="s">
        <v>52</v>
      </c>
      <c r="G13" s="126" t="s">
        <v>42</v>
      </c>
      <c r="H13" s="66" t="s">
        <v>45</v>
      </c>
    </row>
  </sheetData>
  <sheetProtection sort="0" autoFilter="0" pivotTables="0"/>
  <mergeCells count="8">
    <mergeCell ref="F6:H6"/>
    <mergeCell ref="A6:A7"/>
    <mergeCell ref="A8:A13"/>
    <mergeCell ref="B6:B7"/>
    <mergeCell ref="B8:B13"/>
    <mergeCell ref="C6:C7"/>
    <mergeCell ref="D6:D7"/>
    <mergeCell ref="E6:E7"/>
  </mergeCells>
  <dataValidations count="2">
    <dataValidation type="list" allowBlank="1" showInputMessage="1" showErrorMessage="1" sqref="H13 H9:H10">
      <formula1>"0收1退(Ac=0),CPK≥1.33,Yield&gt;99.5%,No Alert(65%)"</formula1>
    </dataValidation>
    <dataValidation type="list" allowBlank="1" showInputMessage="1" showErrorMessage="1" sqref="D8:D13">
      <formula1>"Dim, Cos, Function, ORT, Rel"</formula1>
    </dataValidation>
  </dataValidations>
  <pageMargins left="0" right="0" top="0" bottom="0" header="0" footer="0"/>
  <pageSetup paperSize="1" scale="53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showGridLines="0" zoomScale="66" zoomScaleNormal="66" zoomScaleSheetLayoutView="55" showRuler="0" workbookViewId="0">
      <pane ySplit="7" topLeftCell="A8" activePane="bottomLeft" state="frozen"/>
      <selection/>
      <selection pane="bottomLeft" activeCell="D17" sqref="D17"/>
    </sheetView>
  </sheetViews>
  <sheetFormatPr defaultColWidth="8.83333333333333" defaultRowHeight="22" customHeight="1"/>
  <cols>
    <col min="1" max="1" width="31.875" style="15" customWidth="1"/>
    <col min="2" max="2" width="25.8333333333333" style="15" customWidth="1"/>
    <col min="3" max="5" width="22.8333333333333" style="15" customWidth="1" outlineLevel="1"/>
    <col min="6" max="8" width="22.8333333333333" style="16" customWidth="1"/>
    <col min="9" max="14" width="22.8333333333333" style="15" customWidth="1"/>
    <col min="15" max="16384" width="8.83333333333333" style="15"/>
  </cols>
  <sheetData>
    <row r="1" s="12" customFormat="1" customHeight="1" spans="1:12">
      <c r="A1" s="17" t="s">
        <v>4</v>
      </c>
      <c r="B1" s="17" t="s">
        <v>5</v>
      </c>
      <c r="F1" s="20"/>
      <c r="G1" s="20"/>
      <c r="H1" s="20"/>
      <c r="I1" s="20"/>
      <c r="J1" s="20"/>
      <c r="K1" s="20"/>
      <c r="L1" s="20"/>
    </row>
    <row r="2" s="12" customFormat="1" customHeight="1" spans="1:12">
      <c r="A2" s="19" t="str">
        <f>IF(Revision!A4="","",Revision!A4)</f>
        <v>B747 Radial</v>
      </c>
      <c r="B2" s="19" t="str">
        <f>IF(Revision!B4="","",Revision!B4)</f>
        <v>Ramp</v>
      </c>
      <c r="F2" s="20"/>
      <c r="G2" s="20"/>
      <c r="H2" s="20"/>
      <c r="I2" s="20"/>
      <c r="J2" s="20"/>
      <c r="K2" s="20"/>
      <c r="L2" s="20"/>
    </row>
    <row r="3" s="12" customFormat="1" customHeight="1" spans="1:12">
      <c r="A3" s="17" t="s">
        <v>8</v>
      </c>
      <c r="B3" s="17" t="s">
        <v>9</v>
      </c>
      <c r="F3" s="20"/>
      <c r="G3" s="20"/>
      <c r="H3" s="20"/>
      <c r="I3" s="20"/>
      <c r="J3" s="20"/>
      <c r="K3" s="20"/>
      <c r="L3" s="20"/>
    </row>
    <row r="4" s="12" customFormat="1" customHeight="1" spans="1:14">
      <c r="A4" s="111" t="str">
        <f>Revision!A7</f>
        <v>160-05689-A(Mirror 160-05690-A)</v>
      </c>
      <c r="B4" s="19" t="str">
        <f>IF(Revision!B7="","",Revision!B7)</f>
        <v>Machining</v>
      </c>
      <c r="F4" s="20"/>
      <c r="G4" s="20"/>
      <c r="H4" s="20"/>
      <c r="I4" s="20"/>
      <c r="J4" s="84"/>
      <c r="K4" s="84"/>
      <c r="L4" s="84"/>
      <c r="M4" s="84"/>
      <c r="N4" s="84"/>
    </row>
    <row r="5" s="12" customFormat="1" ht="7" customHeight="1" spans="6:8">
      <c r="F5" s="33"/>
      <c r="G5" s="33"/>
      <c r="H5" s="33"/>
    </row>
    <row r="6" s="13" customFormat="1" ht="37" customHeight="1" spans="1:14">
      <c r="A6" s="24" t="s">
        <v>53</v>
      </c>
      <c r="B6" s="45" t="s">
        <v>54</v>
      </c>
      <c r="C6" s="112" t="s">
        <v>55</v>
      </c>
      <c r="D6" s="75"/>
      <c r="E6" s="75"/>
      <c r="F6" s="80" t="s">
        <v>56</v>
      </c>
      <c r="G6" s="81"/>
      <c r="H6" s="81"/>
      <c r="I6" s="85"/>
      <c r="J6" s="60" t="s">
        <v>57</v>
      </c>
      <c r="K6" s="87"/>
      <c r="L6" s="88" t="s">
        <v>58</v>
      </c>
      <c r="M6" s="88"/>
      <c r="N6" s="87"/>
    </row>
    <row r="7" s="13" customFormat="1" customHeight="1" spans="1:14">
      <c r="A7" s="24"/>
      <c r="B7" s="47"/>
      <c r="C7" s="75" t="s">
        <v>59</v>
      </c>
      <c r="D7" s="75" t="s">
        <v>60</v>
      </c>
      <c r="E7" s="75" t="s">
        <v>61</v>
      </c>
      <c r="F7" s="24" t="s">
        <v>62</v>
      </c>
      <c r="G7" s="24" t="s">
        <v>61</v>
      </c>
      <c r="H7" s="24" t="s">
        <v>9</v>
      </c>
      <c r="I7" s="24" t="s">
        <v>63</v>
      </c>
      <c r="J7" s="89" t="s">
        <v>64</v>
      </c>
      <c r="K7" s="63" t="s">
        <v>34</v>
      </c>
      <c r="L7" s="63" t="s">
        <v>65</v>
      </c>
      <c r="M7" s="63" t="s">
        <v>34</v>
      </c>
      <c r="N7" s="64" t="s">
        <v>66</v>
      </c>
    </row>
    <row r="8" s="14" customFormat="1" ht="34" spans="1:14">
      <c r="A8" s="26" t="s">
        <v>67</v>
      </c>
      <c r="B8" s="26" t="s">
        <v>68</v>
      </c>
      <c r="C8" s="26" t="s">
        <v>69</v>
      </c>
      <c r="D8" s="26" t="s">
        <v>69</v>
      </c>
      <c r="E8" s="26" t="s">
        <v>69</v>
      </c>
      <c r="F8" s="65" t="s">
        <v>69</v>
      </c>
      <c r="G8" s="65" t="s">
        <v>70</v>
      </c>
      <c r="H8" s="93" t="s">
        <v>71</v>
      </c>
      <c r="I8" s="65" t="s">
        <v>72</v>
      </c>
      <c r="J8" s="65" t="s">
        <v>73</v>
      </c>
      <c r="K8" s="118" t="s">
        <v>74</v>
      </c>
      <c r="L8" s="65" t="s">
        <v>73</v>
      </c>
      <c r="M8" s="118" t="s">
        <v>74</v>
      </c>
      <c r="N8" s="106" t="s">
        <v>75</v>
      </c>
    </row>
    <row r="9" s="14" customFormat="1" ht="34" spans="1:14">
      <c r="A9" s="26" t="s">
        <v>76</v>
      </c>
      <c r="B9" s="26" t="s">
        <v>68</v>
      </c>
      <c r="C9" s="26" t="s">
        <v>69</v>
      </c>
      <c r="D9" s="26" t="s">
        <v>69</v>
      </c>
      <c r="E9" s="26" t="s">
        <v>69</v>
      </c>
      <c r="F9" s="65" t="s">
        <v>69</v>
      </c>
      <c r="G9" s="65" t="s">
        <v>77</v>
      </c>
      <c r="H9" s="98" t="s">
        <v>71</v>
      </c>
      <c r="I9" s="65" t="s">
        <v>72</v>
      </c>
      <c r="J9" s="65" t="s">
        <v>78</v>
      </c>
      <c r="K9" s="118" t="s">
        <v>74</v>
      </c>
      <c r="L9" s="65" t="s">
        <v>78</v>
      </c>
      <c r="M9" s="118" t="s">
        <v>74</v>
      </c>
      <c r="N9" s="106" t="s">
        <v>75</v>
      </c>
    </row>
    <row r="10" s="14" customFormat="1" ht="34" spans="1:14">
      <c r="A10" s="26" t="s">
        <v>79</v>
      </c>
      <c r="B10" s="26" t="s">
        <v>68</v>
      </c>
      <c r="C10" s="26" t="s">
        <v>69</v>
      </c>
      <c r="D10" s="26" t="s">
        <v>69</v>
      </c>
      <c r="E10" s="26" t="s">
        <v>69</v>
      </c>
      <c r="F10" s="26" t="s">
        <v>69</v>
      </c>
      <c r="G10" s="65" t="s">
        <v>80</v>
      </c>
      <c r="H10" s="98" t="s">
        <v>81</v>
      </c>
      <c r="I10" s="65" t="s">
        <v>72</v>
      </c>
      <c r="J10" s="65" t="s">
        <v>82</v>
      </c>
      <c r="K10" s="118" t="s">
        <v>74</v>
      </c>
      <c r="L10" s="65" t="s">
        <v>82</v>
      </c>
      <c r="M10" s="118" t="s">
        <v>74</v>
      </c>
      <c r="N10" s="106" t="s">
        <v>75</v>
      </c>
    </row>
    <row r="11" s="14" customFormat="1" ht="34" spans="1:14">
      <c r="A11" s="26" t="s">
        <v>83</v>
      </c>
      <c r="B11" s="26" t="s">
        <v>68</v>
      </c>
      <c r="C11" s="26" t="s">
        <v>69</v>
      </c>
      <c r="D11" s="26" t="s">
        <v>69</v>
      </c>
      <c r="E11" s="26" t="s">
        <v>69</v>
      </c>
      <c r="F11" s="26" t="s">
        <v>69</v>
      </c>
      <c r="G11" s="65" t="s">
        <v>84</v>
      </c>
      <c r="H11" s="98" t="s">
        <v>81</v>
      </c>
      <c r="I11" s="65" t="s">
        <v>72</v>
      </c>
      <c r="J11" s="65" t="s">
        <v>85</v>
      </c>
      <c r="K11" s="118" t="s">
        <v>74</v>
      </c>
      <c r="L11" s="65" t="s">
        <v>85</v>
      </c>
      <c r="M11" s="118" t="s">
        <v>74</v>
      </c>
      <c r="N11" s="106" t="s">
        <v>75</v>
      </c>
    </row>
    <row r="12" s="14" customFormat="1" ht="34" customHeight="1" spans="1:14">
      <c r="A12" s="113" t="s">
        <v>86</v>
      </c>
      <c r="B12" s="26" t="s">
        <v>68</v>
      </c>
      <c r="C12" s="26" t="s">
        <v>69</v>
      </c>
      <c r="D12" s="26" t="s">
        <v>69</v>
      </c>
      <c r="E12" s="26" t="s">
        <v>69</v>
      </c>
      <c r="F12" s="26" t="s">
        <v>69</v>
      </c>
      <c r="G12" s="65" t="s">
        <v>87</v>
      </c>
      <c r="H12" s="98" t="s">
        <v>88</v>
      </c>
      <c r="I12" s="65" t="s">
        <v>72</v>
      </c>
      <c r="J12" s="65" t="s">
        <v>89</v>
      </c>
      <c r="K12" s="118" t="s">
        <v>90</v>
      </c>
      <c r="L12" s="65" t="s">
        <v>89</v>
      </c>
      <c r="M12" s="118" t="s">
        <v>90</v>
      </c>
      <c r="N12" s="106" t="s">
        <v>75</v>
      </c>
    </row>
    <row r="13" s="14" customFormat="1" ht="34" customHeight="1" spans="1:14">
      <c r="A13" s="114"/>
      <c r="B13" s="26" t="s">
        <v>68</v>
      </c>
      <c r="C13" s="26" t="s">
        <v>69</v>
      </c>
      <c r="D13" s="26" t="s">
        <v>69</v>
      </c>
      <c r="E13" s="26" t="s">
        <v>69</v>
      </c>
      <c r="F13" s="26" t="s">
        <v>69</v>
      </c>
      <c r="G13" s="65" t="s">
        <v>91</v>
      </c>
      <c r="H13" s="98" t="s">
        <v>88</v>
      </c>
      <c r="I13" s="65" t="s">
        <v>72</v>
      </c>
      <c r="J13" s="65" t="s">
        <v>92</v>
      </c>
      <c r="K13" s="118" t="s">
        <v>90</v>
      </c>
      <c r="L13" s="65" t="s">
        <v>92</v>
      </c>
      <c r="M13" s="118" t="s">
        <v>90</v>
      </c>
      <c r="N13" s="106" t="s">
        <v>75</v>
      </c>
    </row>
    <row r="14" s="14" customFormat="1" ht="34" spans="1:14">
      <c r="A14" s="26" t="s">
        <v>93</v>
      </c>
      <c r="B14" s="26" t="s">
        <v>68</v>
      </c>
      <c r="C14" s="26" t="s">
        <v>69</v>
      </c>
      <c r="D14" s="26" t="s">
        <v>69</v>
      </c>
      <c r="E14" s="26" t="s">
        <v>69</v>
      </c>
      <c r="F14" s="26" t="s">
        <v>69</v>
      </c>
      <c r="G14" s="65" t="s">
        <v>94</v>
      </c>
      <c r="H14" s="98" t="s">
        <v>95</v>
      </c>
      <c r="I14" s="65" t="s">
        <v>72</v>
      </c>
      <c r="J14" s="65" t="s">
        <v>96</v>
      </c>
      <c r="K14" s="118" t="s">
        <v>74</v>
      </c>
      <c r="L14" s="65" t="s">
        <v>96</v>
      </c>
      <c r="M14" s="118" t="s">
        <v>74</v>
      </c>
      <c r="N14" s="106" t="s">
        <v>75</v>
      </c>
    </row>
    <row r="15" s="14" customFormat="1" ht="34" spans="1:14">
      <c r="A15" s="26" t="s">
        <v>97</v>
      </c>
      <c r="B15" s="26" t="s">
        <v>68</v>
      </c>
      <c r="C15" s="26" t="s">
        <v>69</v>
      </c>
      <c r="D15" s="26" t="s">
        <v>69</v>
      </c>
      <c r="E15" s="26" t="s">
        <v>69</v>
      </c>
      <c r="F15" s="26" t="s">
        <v>69</v>
      </c>
      <c r="G15" s="65" t="s">
        <v>98</v>
      </c>
      <c r="H15" s="98" t="s">
        <v>95</v>
      </c>
      <c r="I15" s="65" t="s">
        <v>72</v>
      </c>
      <c r="J15" s="65" t="s">
        <v>99</v>
      </c>
      <c r="K15" s="118" t="s">
        <v>74</v>
      </c>
      <c r="L15" s="65" t="s">
        <v>99</v>
      </c>
      <c r="M15" s="118" t="s">
        <v>74</v>
      </c>
      <c r="N15" s="106" t="s">
        <v>75</v>
      </c>
    </row>
    <row r="16" s="14" customFormat="1" ht="34" customHeight="1" spans="1:14">
      <c r="A16" s="115" t="s">
        <v>100</v>
      </c>
      <c r="B16" s="26" t="s">
        <v>68</v>
      </c>
      <c r="C16" s="26" t="s">
        <v>69</v>
      </c>
      <c r="D16" s="26" t="s">
        <v>69</v>
      </c>
      <c r="E16" s="26" t="s">
        <v>69</v>
      </c>
      <c r="F16" s="26" t="s">
        <v>69</v>
      </c>
      <c r="G16" s="65" t="s">
        <v>101</v>
      </c>
      <c r="H16" s="98" t="s">
        <v>102</v>
      </c>
      <c r="I16" s="65" t="s">
        <v>72</v>
      </c>
      <c r="J16" s="65" t="s">
        <v>103</v>
      </c>
      <c r="K16" s="118" t="s">
        <v>104</v>
      </c>
      <c r="L16" s="65" t="s">
        <v>103</v>
      </c>
      <c r="M16" s="118" t="s">
        <v>104</v>
      </c>
      <c r="N16" s="106" t="s">
        <v>75</v>
      </c>
    </row>
    <row r="17" s="14" customFormat="1" ht="34" customHeight="1" spans="1:14">
      <c r="A17" s="116"/>
      <c r="B17" s="26" t="s">
        <v>68</v>
      </c>
      <c r="C17" s="26" t="s">
        <v>69</v>
      </c>
      <c r="D17" s="26" t="s">
        <v>69</v>
      </c>
      <c r="E17" s="26" t="s">
        <v>69</v>
      </c>
      <c r="F17" s="26" t="s">
        <v>69</v>
      </c>
      <c r="G17" s="65" t="s">
        <v>105</v>
      </c>
      <c r="H17" s="98" t="s">
        <v>102</v>
      </c>
      <c r="I17" s="65" t="s">
        <v>72</v>
      </c>
      <c r="J17" s="65" t="s">
        <v>106</v>
      </c>
      <c r="K17" s="118" t="s">
        <v>104</v>
      </c>
      <c r="L17" s="65" t="s">
        <v>106</v>
      </c>
      <c r="M17" s="118" t="s">
        <v>104</v>
      </c>
      <c r="N17" s="106" t="s">
        <v>75</v>
      </c>
    </row>
    <row r="18" s="14" customFormat="1" ht="34" customHeight="1" spans="1:14">
      <c r="A18" s="116"/>
      <c r="B18" s="26" t="s">
        <v>68</v>
      </c>
      <c r="C18" s="26" t="s">
        <v>69</v>
      </c>
      <c r="D18" s="26" t="s">
        <v>69</v>
      </c>
      <c r="E18" s="26" t="s">
        <v>69</v>
      </c>
      <c r="F18" s="26" t="s">
        <v>69</v>
      </c>
      <c r="G18" s="65" t="s">
        <v>107</v>
      </c>
      <c r="H18" s="98" t="s">
        <v>102</v>
      </c>
      <c r="I18" s="65" t="s">
        <v>72</v>
      </c>
      <c r="J18" s="65" t="s">
        <v>108</v>
      </c>
      <c r="K18" s="118" t="s">
        <v>104</v>
      </c>
      <c r="L18" s="65" t="s">
        <v>108</v>
      </c>
      <c r="M18" s="118" t="s">
        <v>104</v>
      </c>
      <c r="N18" s="106" t="s">
        <v>75</v>
      </c>
    </row>
    <row r="19" s="14" customFormat="1" ht="34" customHeight="1" spans="1:14">
      <c r="A19" s="116"/>
      <c r="B19" s="26" t="s">
        <v>68</v>
      </c>
      <c r="C19" s="26" t="s">
        <v>69</v>
      </c>
      <c r="D19" s="26" t="s">
        <v>69</v>
      </c>
      <c r="E19" s="26" t="s">
        <v>69</v>
      </c>
      <c r="F19" s="26" t="s">
        <v>69</v>
      </c>
      <c r="G19" s="65" t="s">
        <v>109</v>
      </c>
      <c r="H19" s="98" t="s">
        <v>102</v>
      </c>
      <c r="I19" s="65" t="s">
        <v>72</v>
      </c>
      <c r="J19" s="65" t="s">
        <v>110</v>
      </c>
      <c r="K19" s="118" t="s">
        <v>104</v>
      </c>
      <c r="L19" s="65" t="s">
        <v>110</v>
      </c>
      <c r="M19" s="118" t="s">
        <v>104</v>
      </c>
      <c r="N19" s="106" t="s">
        <v>75</v>
      </c>
    </row>
    <row r="20" s="14" customFormat="1" ht="34" customHeight="1" spans="1:14">
      <c r="A20" s="116"/>
      <c r="B20" s="26" t="s">
        <v>68</v>
      </c>
      <c r="C20" s="26" t="s">
        <v>69</v>
      </c>
      <c r="D20" s="26" t="s">
        <v>69</v>
      </c>
      <c r="E20" s="26" t="s">
        <v>69</v>
      </c>
      <c r="F20" s="26" t="s">
        <v>69</v>
      </c>
      <c r="G20" s="65" t="s">
        <v>111</v>
      </c>
      <c r="H20" s="98" t="s">
        <v>102</v>
      </c>
      <c r="I20" s="65" t="s">
        <v>72</v>
      </c>
      <c r="J20" s="65" t="s">
        <v>112</v>
      </c>
      <c r="K20" s="118" t="s">
        <v>104</v>
      </c>
      <c r="L20" s="65" t="s">
        <v>112</v>
      </c>
      <c r="M20" s="118" t="s">
        <v>104</v>
      </c>
      <c r="N20" s="106" t="s">
        <v>75</v>
      </c>
    </row>
    <row r="21" s="14" customFormat="1" ht="34" customHeight="1" spans="1:14">
      <c r="A21" s="116"/>
      <c r="B21" s="26" t="s">
        <v>68</v>
      </c>
      <c r="C21" s="26" t="s">
        <v>69</v>
      </c>
      <c r="D21" s="26" t="s">
        <v>69</v>
      </c>
      <c r="E21" s="26" t="s">
        <v>69</v>
      </c>
      <c r="F21" s="26" t="s">
        <v>69</v>
      </c>
      <c r="G21" s="65" t="s">
        <v>113</v>
      </c>
      <c r="H21" s="98" t="s">
        <v>102</v>
      </c>
      <c r="I21" s="65" t="s">
        <v>72</v>
      </c>
      <c r="J21" s="65" t="s">
        <v>114</v>
      </c>
      <c r="K21" s="118" t="s">
        <v>104</v>
      </c>
      <c r="L21" s="65" t="s">
        <v>114</v>
      </c>
      <c r="M21" s="118" t="s">
        <v>104</v>
      </c>
      <c r="N21" s="106" t="s">
        <v>75</v>
      </c>
    </row>
    <row r="22" s="14" customFormat="1" ht="34" customHeight="1" spans="1:14">
      <c r="A22" s="116"/>
      <c r="B22" s="26" t="s">
        <v>68</v>
      </c>
      <c r="C22" s="26" t="s">
        <v>69</v>
      </c>
      <c r="D22" s="26" t="s">
        <v>69</v>
      </c>
      <c r="E22" s="26" t="s">
        <v>69</v>
      </c>
      <c r="F22" s="26" t="s">
        <v>69</v>
      </c>
      <c r="G22" s="65" t="s">
        <v>111</v>
      </c>
      <c r="H22" s="98" t="s">
        <v>102</v>
      </c>
      <c r="I22" s="65" t="s">
        <v>72</v>
      </c>
      <c r="J22" s="65" t="s">
        <v>112</v>
      </c>
      <c r="K22" s="118" t="s">
        <v>104</v>
      </c>
      <c r="L22" s="65" t="s">
        <v>112</v>
      </c>
      <c r="M22" s="118" t="s">
        <v>104</v>
      </c>
      <c r="N22" s="106" t="s">
        <v>75</v>
      </c>
    </row>
    <row r="23" s="14" customFormat="1" ht="34" customHeight="1" spans="1:14">
      <c r="A23" s="116"/>
      <c r="B23" s="26" t="s">
        <v>68</v>
      </c>
      <c r="C23" s="26" t="s">
        <v>69</v>
      </c>
      <c r="D23" s="26" t="s">
        <v>69</v>
      </c>
      <c r="E23" s="26" t="s">
        <v>69</v>
      </c>
      <c r="F23" s="26" t="s">
        <v>69</v>
      </c>
      <c r="G23" s="65" t="s">
        <v>113</v>
      </c>
      <c r="H23" s="98" t="s">
        <v>102</v>
      </c>
      <c r="I23" s="65" t="s">
        <v>72</v>
      </c>
      <c r="J23" s="65" t="s">
        <v>114</v>
      </c>
      <c r="K23" s="118" t="s">
        <v>104</v>
      </c>
      <c r="L23" s="65" t="s">
        <v>114</v>
      </c>
      <c r="M23" s="118" t="s">
        <v>104</v>
      </c>
      <c r="N23" s="106" t="s">
        <v>75</v>
      </c>
    </row>
    <row r="24" s="14" customFormat="1" ht="34" customHeight="1" spans="1:14">
      <c r="A24" s="116"/>
      <c r="B24" s="26" t="s">
        <v>68</v>
      </c>
      <c r="C24" s="26" t="s">
        <v>69</v>
      </c>
      <c r="D24" s="26" t="s">
        <v>69</v>
      </c>
      <c r="E24" s="26" t="s">
        <v>69</v>
      </c>
      <c r="F24" s="26" t="s">
        <v>69</v>
      </c>
      <c r="G24" s="65" t="s">
        <v>115</v>
      </c>
      <c r="H24" s="98" t="s">
        <v>102</v>
      </c>
      <c r="I24" s="65" t="s">
        <v>72</v>
      </c>
      <c r="J24" s="65" t="s">
        <v>116</v>
      </c>
      <c r="K24" s="118" t="s">
        <v>104</v>
      </c>
      <c r="L24" s="65" t="s">
        <v>116</v>
      </c>
      <c r="M24" s="118" t="s">
        <v>104</v>
      </c>
      <c r="N24" s="106" t="s">
        <v>75</v>
      </c>
    </row>
    <row r="25" s="14" customFormat="1" ht="34" customHeight="1" spans="1:14">
      <c r="A25" s="116"/>
      <c r="B25" s="26" t="s">
        <v>68</v>
      </c>
      <c r="C25" s="26" t="s">
        <v>69</v>
      </c>
      <c r="D25" s="26" t="s">
        <v>69</v>
      </c>
      <c r="E25" s="26" t="s">
        <v>69</v>
      </c>
      <c r="F25" s="26" t="s">
        <v>69</v>
      </c>
      <c r="G25" s="98" t="s">
        <v>117</v>
      </c>
      <c r="H25" s="98" t="s">
        <v>118</v>
      </c>
      <c r="I25" s="65" t="s">
        <v>72</v>
      </c>
      <c r="J25" s="65" t="s">
        <v>119</v>
      </c>
      <c r="K25" s="118" t="s">
        <v>104</v>
      </c>
      <c r="L25" s="65" t="s">
        <v>119</v>
      </c>
      <c r="M25" s="118" t="s">
        <v>104</v>
      </c>
      <c r="N25" s="106" t="s">
        <v>75</v>
      </c>
    </row>
    <row r="26" s="14" customFormat="1" ht="34" customHeight="1" spans="1:14">
      <c r="A26" s="116"/>
      <c r="B26" s="26" t="s">
        <v>68</v>
      </c>
      <c r="C26" s="26" t="s">
        <v>69</v>
      </c>
      <c r="D26" s="26" t="s">
        <v>69</v>
      </c>
      <c r="E26" s="26" t="s">
        <v>69</v>
      </c>
      <c r="F26" s="26" t="s">
        <v>69</v>
      </c>
      <c r="G26" s="65" t="s">
        <v>120</v>
      </c>
      <c r="H26" s="98" t="s">
        <v>121</v>
      </c>
      <c r="I26" s="65" t="s">
        <v>72</v>
      </c>
      <c r="J26" s="65" t="s">
        <v>122</v>
      </c>
      <c r="K26" s="118" t="s">
        <v>104</v>
      </c>
      <c r="L26" s="65" t="s">
        <v>122</v>
      </c>
      <c r="M26" s="118" t="s">
        <v>104</v>
      </c>
      <c r="N26" s="106" t="s">
        <v>75</v>
      </c>
    </row>
    <row r="27" s="14" customFormat="1" ht="34" customHeight="1" spans="1:14">
      <c r="A27" s="116"/>
      <c r="B27" s="26" t="s">
        <v>68</v>
      </c>
      <c r="C27" s="26" t="s">
        <v>69</v>
      </c>
      <c r="D27" s="26" t="s">
        <v>69</v>
      </c>
      <c r="E27" s="26" t="s">
        <v>69</v>
      </c>
      <c r="F27" s="26" t="s">
        <v>69</v>
      </c>
      <c r="G27" s="98" t="s">
        <v>123</v>
      </c>
      <c r="H27" s="98" t="s">
        <v>118</v>
      </c>
      <c r="I27" s="65" t="s">
        <v>72</v>
      </c>
      <c r="J27" s="65" t="s">
        <v>124</v>
      </c>
      <c r="K27" s="118" t="s">
        <v>104</v>
      </c>
      <c r="L27" s="65" t="s">
        <v>124</v>
      </c>
      <c r="M27" s="118" t="s">
        <v>104</v>
      </c>
      <c r="N27" s="106" t="s">
        <v>75</v>
      </c>
    </row>
    <row r="28" s="14" customFormat="1" ht="34" customHeight="1" spans="1:14">
      <c r="A28" s="116"/>
      <c r="B28" s="26" t="s">
        <v>68</v>
      </c>
      <c r="C28" s="26" t="s">
        <v>69</v>
      </c>
      <c r="D28" s="26" t="s">
        <v>69</v>
      </c>
      <c r="E28" s="26" t="s">
        <v>69</v>
      </c>
      <c r="F28" s="26" t="s">
        <v>69</v>
      </c>
      <c r="G28" s="98" t="s">
        <v>125</v>
      </c>
      <c r="H28" s="98" t="s">
        <v>126</v>
      </c>
      <c r="I28" s="65" t="s">
        <v>72</v>
      </c>
      <c r="J28" s="65" t="s">
        <v>124</v>
      </c>
      <c r="K28" s="118" t="s">
        <v>104</v>
      </c>
      <c r="L28" s="65" t="s">
        <v>124</v>
      </c>
      <c r="M28" s="118" t="s">
        <v>104</v>
      </c>
      <c r="N28" s="106" t="s">
        <v>75</v>
      </c>
    </row>
    <row r="29" s="14" customFormat="1" ht="34" customHeight="1" spans="1:14">
      <c r="A29" s="117"/>
      <c r="B29" s="26" t="s">
        <v>68</v>
      </c>
      <c r="C29" s="26" t="s">
        <v>69</v>
      </c>
      <c r="D29" s="26" t="s">
        <v>69</v>
      </c>
      <c r="E29" s="26" t="s">
        <v>69</v>
      </c>
      <c r="F29" s="26" t="s">
        <v>69</v>
      </c>
      <c r="G29" s="65" t="s">
        <v>125</v>
      </c>
      <c r="H29" s="98" t="s">
        <v>126</v>
      </c>
      <c r="I29" s="65" t="s">
        <v>72</v>
      </c>
      <c r="J29" s="65" t="s">
        <v>124</v>
      </c>
      <c r="K29" s="118" t="s">
        <v>104</v>
      </c>
      <c r="L29" s="65" t="s">
        <v>124</v>
      </c>
      <c r="M29" s="118" t="s">
        <v>104</v>
      </c>
      <c r="N29" s="106" t="s">
        <v>75</v>
      </c>
    </row>
  </sheetData>
  <sheetProtection formatColumns="0" sort="0" autoFilter="0" pivotTables="0"/>
  <mergeCells count="9">
    <mergeCell ref="J4:N4"/>
    <mergeCell ref="C6:E6"/>
    <mergeCell ref="F6:I6"/>
    <mergeCell ref="J6:K6"/>
    <mergeCell ref="L6:N6"/>
    <mergeCell ref="A6:A7"/>
    <mergeCell ref="A12:A13"/>
    <mergeCell ref="A16:A29"/>
    <mergeCell ref="B6:B7"/>
  </mergeCells>
  <dataValidations count="2">
    <dataValidation type="list" allowBlank="1" showInputMessage="1" showErrorMessage="1" sqref="B8:B29">
      <formula1>"Dim, Cos, Function, ORT"</formula1>
    </dataValidation>
    <dataValidation type="list" allowBlank="1" showInputMessage="1" showErrorMessage="1" sqref="I8:I29">
      <formula1>"Critical to ID feature, Critical to FATP, Critical to HSG assembly, NUD (new/unique/difficult), Not CTQ"</formula1>
    </dataValidation>
  </dataValidations>
  <pageMargins left="0" right="0" top="0" bottom="0" header="0" footer="0"/>
  <pageSetup paperSize="1" scale="53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showGridLines="0" zoomScale="63" zoomScaleNormal="63" zoomScaleSheetLayoutView="55" showRuler="0" workbookViewId="0">
      <pane ySplit="7" topLeftCell="A12" activePane="bottomLeft" state="frozen"/>
      <selection/>
      <selection pane="bottomLeft" activeCell="A30" sqref="A30"/>
    </sheetView>
  </sheetViews>
  <sheetFormatPr defaultColWidth="8.83333333333333" defaultRowHeight="22" customHeight="1"/>
  <cols>
    <col min="1" max="1" width="31.2916666666667" style="15" customWidth="1"/>
    <col min="2" max="2" width="25.8333333333333" style="15" customWidth="1"/>
    <col min="3" max="5" width="22.8333333333333" style="15" customWidth="1" outlineLevel="1"/>
    <col min="6" max="8" width="22.8333333333333" style="16" customWidth="1"/>
    <col min="9" max="14" width="22.8333333333333" style="15" customWidth="1"/>
    <col min="15" max="16384" width="8.83333333333333" style="15"/>
  </cols>
  <sheetData>
    <row r="1" s="12" customFormat="1" customHeight="1" spans="1:12">
      <c r="A1" s="17" t="s">
        <v>4</v>
      </c>
      <c r="B1" s="17" t="s">
        <v>5</v>
      </c>
      <c r="F1" s="20"/>
      <c r="G1" s="20"/>
      <c r="H1" s="20"/>
      <c r="I1" s="20"/>
      <c r="J1" s="20"/>
      <c r="K1" s="20"/>
      <c r="L1" s="20"/>
    </row>
    <row r="2" s="12" customFormat="1" customHeight="1" spans="1:12">
      <c r="A2" s="19" t="str">
        <f>IF(Revision!A4="","",Revision!A4)</f>
        <v>B747 Radial</v>
      </c>
      <c r="B2" s="19" t="str">
        <f>IF(Revision!B4="","",Revision!B4)</f>
        <v>Ramp</v>
      </c>
      <c r="F2" s="20"/>
      <c r="G2" s="20"/>
      <c r="H2" s="20"/>
      <c r="I2" s="20"/>
      <c r="J2" s="20"/>
      <c r="K2" s="20"/>
      <c r="L2" s="20"/>
    </row>
    <row r="3" s="12" customFormat="1" customHeight="1" spans="1:12">
      <c r="A3" s="17" t="s">
        <v>8</v>
      </c>
      <c r="B3" s="17" t="s">
        <v>9</v>
      </c>
      <c r="F3" s="20"/>
      <c r="G3" s="20"/>
      <c r="H3" s="20"/>
      <c r="I3" s="20"/>
      <c r="J3" s="20"/>
      <c r="K3" s="20"/>
      <c r="L3" s="20"/>
    </row>
    <row r="4" s="12" customFormat="1" customHeight="1" spans="1:14">
      <c r="A4" s="21" t="str">
        <f>Revision!A8</f>
        <v>160-05689-A(Mirror 160-05690-A)</v>
      </c>
      <c r="B4" s="19" t="s">
        <v>13</v>
      </c>
      <c r="F4" s="20"/>
      <c r="G4" s="20"/>
      <c r="H4" s="20"/>
      <c r="I4" s="20"/>
      <c r="J4" s="84"/>
      <c r="K4" s="84"/>
      <c r="L4" s="84"/>
      <c r="M4" s="84"/>
      <c r="N4" s="84"/>
    </row>
    <row r="5" s="12" customFormat="1" ht="7" customHeight="1" spans="6:8">
      <c r="F5" s="33"/>
      <c r="G5" s="33"/>
      <c r="H5" s="33"/>
    </row>
    <row r="6" s="13" customFormat="1" ht="37" customHeight="1" spans="1:14">
      <c r="A6" s="24" t="s">
        <v>53</v>
      </c>
      <c r="B6" s="45" t="s">
        <v>54</v>
      </c>
      <c r="C6" s="75" t="s">
        <v>55</v>
      </c>
      <c r="D6" s="75"/>
      <c r="E6" s="75"/>
      <c r="F6" s="80" t="s">
        <v>56</v>
      </c>
      <c r="G6" s="81"/>
      <c r="H6" s="81"/>
      <c r="I6" s="85"/>
      <c r="J6" s="86" t="s">
        <v>57</v>
      </c>
      <c r="K6" s="87"/>
      <c r="L6" s="88" t="s">
        <v>58</v>
      </c>
      <c r="M6" s="88"/>
      <c r="N6" s="87"/>
    </row>
    <row r="7" s="13" customFormat="1" customHeight="1" spans="1:14">
      <c r="A7" s="24"/>
      <c r="B7" s="47"/>
      <c r="C7" s="75" t="s">
        <v>59</v>
      </c>
      <c r="D7" s="75" t="s">
        <v>60</v>
      </c>
      <c r="E7" s="75" t="s">
        <v>61</v>
      </c>
      <c r="F7" s="24" t="s">
        <v>62</v>
      </c>
      <c r="G7" s="24" t="s">
        <v>61</v>
      </c>
      <c r="H7" s="24" t="s">
        <v>9</v>
      </c>
      <c r="I7" s="24" t="s">
        <v>63</v>
      </c>
      <c r="J7" s="89" t="s">
        <v>64</v>
      </c>
      <c r="K7" s="63" t="s">
        <v>34</v>
      </c>
      <c r="L7" s="63" t="s">
        <v>65</v>
      </c>
      <c r="M7" s="63" t="s">
        <v>34</v>
      </c>
      <c r="N7" s="64" t="s">
        <v>66</v>
      </c>
    </row>
    <row r="8" s="14" customFormat="1" ht="34" spans="1:14">
      <c r="A8" s="93" t="s">
        <v>127</v>
      </c>
      <c r="B8" s="26" t="s">
        <v>128</v>
      </c>
      <c r="C8" s="26" t="s">
        <v>69</v>
      </c>
      <c r="D8" s="77" t="s">
        <v>69</v>
      </c>
      <c r="E8" s="77" t="s">
        <v>69</v>
      </c>
      <c r="F8" s="77" t="s">
        <v>69</v>
      </c>
      <c r="G8" s="82" t="s">
        <v>129</v>
      </c>
      <c r="H8" s="83" t="s">
        <v>130</v>
      </c>
      <c r="I8" s="82" t="s">
        <v>72</v>
      </c>
      <c r="J8" s="82" t="s">
        <v>131</v>
      </c>
      <c r="K8" s="99" t="s">
        <v>132</v>
      </c>
      <c r="L8" s="82" t="s">
        <v>131</v>
      </c>
      <c r="M8" s="105" t="s">
        <v>132</v>
      </c>
      <c r="N8" s="106" t="s">
        <v>133</v>
      </c>
    </row>
    <row r="9" s="14" customFormat="1" ht="51" spans="1:14">
      <c r="A9" s="26" t="s">
        <v>134</v>
      </c>
      <c r="B9" s="94" t="s">
        <v>68</v>
      </c>
      <c r="C9" s="26" t="s">
        <v>69</v>
      </c>
      <c r="D9" s="77" t="s">
        <v>69</v>
      </c>
      <c r="E9" s="77" t="s">
        <v>135</v>
      </c>
      <c r="F9" s="82" t="s">
        <v>69</v>
      </c>
      <c r="G9" s="77" t="s">
        <v>135</v>
      </c>
      <c r="H9" s="97" t="s">
        <v>136</v>
      </c>
      <c r="I9" s="82" t="s">
        <v>72</v>
      </c>
      <c r="J9" s="77" t="s">
        <v>135</v>
      </c>
      <c r="K9" s="100" t="s">
        <v>137</v>
      </c>
      <c r="L9" s="77" t="s">
        <v>135</v>
      </c>
      <c r="M9" s="66" t="s">
        <v>137</v>
      </c>
      <c r="N9" s="106" t="s">
        <v>138</v>
      </c>
    </row>
    <row r="10" s="14" customFormat="1" ht="34" spans="1:14">
      <c r="A10" s="26"/>
      <c r="B10" s="94" t="s">
        <v>68</v>
      </c>
      <c r="C10" s="26" t="s">
        <v>69</v>
      </c>
      <c r="D10" s="77">
        <v>20</v>
      </c>
      <c r="E10" s="77" t="s">
        <v>139</v>
      </c>
      <c r="F10" s="77" t="s">
        <v>140</v>
      </c>
      <c r="G10" s="82" t="s">
        <v>141</v>
      </c>
      <c r="H10" s="83" t="s">
        <v>142</v>
      </c>
      <c r="I10" s="82" t="s">
        <v>72</v>
      </c>
      <c r="J10" s="82" t="s">
        <v>141</v>
      </c>
      <c r="K10" s="99" t="s">
        <v>143</v>
      </c>
      <c r="L10" s="82" t="s">
        <v>141</v>
      </c>
      <c r="M10" s="105" t="s">
        <v>143</v>
      </c>
      <c r="N10" s="106" t="s">
        <v>138</v>
      </c>
    </row>
    <row r="11" s="14" customFormat="1" ht="34" customHeight="1" spans="1:14">
      <c r="A11" s="26"/>
      <c r="B11" s="94" t="s">
        <v>68</v>
      </c>
      <c r="C11" s="26" t="s">
        <v>69</v>
      </c>
      <c r="D11" s="77">
        <v>21</v>
      </c>
      <c r="E11" s="77" t="s">
        <v>144</v>
      </c>
      <c r="F11" s="77" t="s">
        <v>145</v>
      </c>
      <c r="G11" s="77" t="s">
        <v>144</v>
      </c>
      <c r="H11" s="83" t="s">
        <v>146</v>
      </c>
      <c r="I11" s="82" t="s">
        <v>72</v>
      </c>
      <c r="J11" s="77" t="s">
        <v>147</v>
      </c>
      <c r="K11" s="101" t="s">
        <v>148</v>
      </c>
      <c r="L11" s="77" t="s">
        <v>147</v>
      </c>
      <c r="M11" s="101" t="s">
        <v>148</v>
      </c>
      <c r="N11" s="106" t="s">
        <v>138</v>
      </c>
    </row>
    <row r="12" s="14" customFormat="1" ht="34" customHeight="1" spans="1:14">
      <c r="A12" s="26"/>
      <c r="B12" s="94" t="s">
        <v>68</v>
      </c>
      <c r="C12" s="26" t="s">
        <v>69</v>
      </c>
      <c r="D12" s="77">
        <v>22</v>
      </c>
      <c r="E12" s="77" t="s">
        <v>144</v>
      </c>
      <c r="F12" s="77" t="s">
        <v>149</v>
      </c>
      <c r="G12" s="77" t="s">
        <v>144</v>
      </c>
      <c r="H12" s="83" t="s">
        <v>150</v>
      </c>
      <c r="I12" s="82" t="s">
        <v>72</v>
      </c>
      <c r="J12" s="77" t="s">
        <v>147</v>
      </c>
      <c r="K12" s="101" t="s">
        <v>148</v>
      </c>
      <c r="L12" s="77" t="s">
        <v>147</v>
      </c>
      <c r="M12" s="101" t="s">
        <v>148</v>
      </c>
      <c r="N12" s="106" t="s">
        <v>138</v>
      </c>
    </row>
    <row r="13" s="14" customFormat="1" ht="51" spans="1:14">
      <c r="A13" s="26"/>
      <c r="B13" s="94" t="s">
        <v>68</v>
      </c>
      <c r="C13" s="26" t="s">
        <v>69</v>
      </c>
      <c r="D13" s="77" t="s">
        <v>69</v>
      </c>
      <c r="E13" s="77" t="s">
        <v>151</v>
      </c>
      <c r="F13" s="77" t="s">
        <v>69</v>
      </c>
      <c r="G13" s="77" t="s">
        <v>151</v>
      </c>
      <c r="H13" s="83" t="s">
        <v>152</v>
      </c>
      <c r="I13" s="82" t="s">
        <v>72</v>
      </c>
      <c r="J13" s="77" t="s">
        <v>151</v>
      </c>
      <c r="K13" s="102" t="s">
        <v>153</v>
      </c>
      <c r="L13" s="77" t="s">
        <v>151</v>
      </c>
      <c r="M13" s="102" t="s">
        <v>153</v>
      </c>
      <c r="N13" s="106" t="s">
        <v>138</v>
      </c>
    </row>
    <row r="14" s="14" customFormat="1" ht="34" customHeight="1" spans="1:14">
      <c r="A14" s="26"/>
      <c r="B14" s="94" t="s">
        <v>48</v>
      </c>
      <c r="C14" s="26" t="s">
        <v>69</v>
      </c>
      <c r="D14" s="77" t="s">
        <v>69</v>
      </c>
      <c r="E14" s="77" t="s">
        <v>154</v>
      </c>
      <c r="F14" s="77" t="s">
        <v>69</v>
      </c>
      <c r="G14" s="77" t="s">
        <v>154</v>
      </c>
      <c r="H14" s="83" t="s">
        <v>155</v>
      </c>
      <c r="I14" s="82" t="s">
        <v>72</v>
      </c>
      <c r="J14" s="77" t="s">
        <v>154</v>
      </c>
      <c r="K14" s="103" t="s">
        <v>156</v>
      </c>
      <c r="L14" s="77" t="s">
        <v>154</v>
      </c>
      <c r="M14" s="103" t="s">
        <v>156</v>
      </c>
      <c r="N14" s="106" t="s">
        <v>157</v>
      </c>
    </row>
    <row r="15" s="14" customFormat="1" ht="34" spans="1:14">
      <c r="A15" s="26"/>
      <c r="B15" s="94" t="s">
        <v>48</v>
      </c>
      <c r="C15" s="26" t="s">
        <v>69</v>
      </c>
      <c r="D15" s="77" t="s">
        <v>69</v>
      </c>
      <c r="E15" s="77" t="s">
        <v>69</v>
      </c>
      <c r="F15" s="82" t="s">
        <v>69</v>
      </c>
      <c r="G15" s="82" t="s">
        <v>158</v>
      </c>
      <c r="H15" s="83" t="s">
        <v>159</v>
      </c>
      <c r="I15" s="82" t="s">
        <v>72</v>
      </c>
      <c r="J15" s="100" t="s">
        <v>158</v>
      </c>
      <c r="K15" s="99" t="s">
        <v>160</v>
      </c>
      <c r="L15" s="100" t="s">
        <v>158</v>
      </c>
      <c r="M15" s="105" t="s">
        <v>160</v>
      </c>
      <c r="N15" s="106" t="s">
        <v>138</v>
      </c>
    </row>
    <row r="16" s="14" customFormat="1" ht="34" spans="1:14">
      <c r="A16" s="26"/>
      <c r="B16" s="94" t="s">
        <v>48</v>
      </c>
      <c r="C16" s="26" t="s">
        <v>69</v>
      </c>
      <c r="D16" s="77">
        <v>25</v>
      </c>
      <c r="E16" s="82" t="s">
        <v>161</v>
      </c>
      <c r="F16" s="77" t="s">
        <v>162</v>
      </c>
      <c r="G16" s="82" t="s">
        <v>163</v>
      </c>
      <c r="H16" s="83" t="s">
        <v>164</v>
      </c>
      <c r="I16" s="82" t="s">
        <v>72</v>
      </c>
      <c r="J16" s="100" t="s">
        <v>163</v>
      </c>
      <c r="K16" s="99" t="s">
        <v>165</v>
      </c>
      <c r="L16" s="100" t="s">
        <v>163</v>
      </c>
      <c r="M16" s="107" t="s">
        <v>165</v>
      </c>
      <c r="N16" s="106" t="s">
        <v>138</v>
      </c>
    </row>
    <row r="17" s="14" customFormat="1" ht="34" spans="1:14">
      <c r="A17" s="26"/>
      <c r="B17" s="94" t="s">
        <v>128</v>
      </c>
      <c r="C17" s="26" t="s">
        <v>69</v>
      </c>
      <c r="D17" s="26" t="s">
        <v>69</v>
      </c>
      <c r="E17" s="26" t="s">
        <v>166</v>
      </c>
      <c r="F17" s="65" t="s">
        <v>69</v>
      </c>
      <c r="G17" s="26" t="s">
        <v>166</v>
      </c>
      <c r="H17" s="93" t="s">
        <v>167</v>
      </c>
      <c r="I17" s="65" t="s">
        <v>72</v>
      </c>
      <c r="J17" s="26" t="s">
        <v>166</v>
      </c>
      <c r="K17" s="104" t="s">
        <v>168</v>
      </c>
      <c r="L17" s="26" t="s">
        <v>166</v>
      </c>
      <c r="M17" s="108" t="s">
        <v>168</v>
      </c>
      <c r="N17" s="109" t="s">
        <v>169</v>
      </c>
    </row>
    <row r="18" s="14" customFormat="1" ht="34" customHeight="1" spans="1:14">
      <c r="A18" s="76" t="s">
        <v>170</v>
      </c>
      <c r="B18" s="95" t="s">
        <v>68</v>
      </c>
      <c r="C18" s="77" t="s">
        <v>69</v>
      </c>
      <c r="D18" s="77" t="s">
        <v>69</v>
      </c>
      <c r="E18" s="77" t="s">
        <v>69</v>
      </c>
      <c r="F18" s="77" t="s">
        <v>69</v>
      </c>
      <c r="G18" s="77" t="s">
        <v>171</v>
      </c>
      <c r="H18" s="97" t="s">
        <v>172</v>
      </c>
      <c r="I18" s="82" t="s">
        <v>72</v>
      </c>
      <c r="J18" s="77" t="s">
        <v>173</v>
      </c>
      <c r="K18" s="99" t="s">
        <v>174</v>
      </c>
      <c r="L18" s="77" t="s">
        <v>173</v>
      </c>
      <c r="M18" s="99" t="s">
        <v>174</v>
      </c>
      <c r="N18" s="110" t="s">
        <v>175</v>
      </c>
    </row>
    <row r="19" s="14" customFormat="1" ht="34" customHeight="1" spans="1:14">
      <c r="A19" s="78"/>
      <c r="B19" s="95" t="s">
        <v>68</v>
      </c>
      <c r="C19" s="77" t="s">
        <v>69</v>
      </c>
      <c r="D19" s="77" t="s">
        <v>69</v>
      </c>
      <c r="E19" s="77" t="s">
        <v>69</v>
      </c>
      <c r="F19" s="77" t="s">
        <v>69</v>
      </c>
      <c r="G19" s="77" t="s">
        <v>176</v>
      </c>
      <c r="H19" s="97" t="s">
        <v>177</v>
      </c>
      <c r="I19" s="82" t="s">
        <v>72</v>
      </c>
      <c r="J19" s="77" t="s">
        <v>178</v>
      </c>
      <c r="K19" s="99" t="s">
        <v>174</v>
      </c>
      <c r="L19" s="77" t="s">
        <v>178</v>
      </c>
      <c r="M19" s="99" t="s">
        <v>174</v>
      </c>
      <c r="N19" s="110" t="s">
        <v>175</v>
      </c>
    </row>
    <row r="20" s="14" customFormat="1" ht="34" customHeight="1" spans="1:14">
      <c r="A20" s="78"/>
      <c r="B20" s="95" t="s">
        <v>68</v>
      </c>
      <c r="C20" s="77" t="s">
        <v>69</v>
      </c>
      <c r="D20" s="77" t="s">
        <v>69</v>
      </c>
      <c r="E20" s="77" t="s">
        <v>69</v>
      </c>
      <c r="F20" s="77" t="s">
        <v>69</v>
      </c>
      <c r="G20" s="77" t="s">
        <v>179</v>
      </c>
      <c r="H20" s="97" t="s">
        <v>180</v>
      </c>
      <c r="I20" s="82" t="s">
        <v>72</v>
      </c>
      <c r="J20" s="77" t="s">
        <v>181</v>
      </c>
      <c r="K20" s="99" t="s">
        <v>174</v>
      </c>
      <c r="L20" s="77" t="s">
        <v>181</v>
      </c>
      <c r="M20" s="99" t="s">
        <v>174</v>
      </c>
      <c r="N20" s="110" t="s">
        <v>175</v>
      </c>
    </row>
    <row r="21" s="14" customFormat="1" ht="68" spans="1:14">
      <c r="A21" s="78"/>
      <c r="B21" s="77" t="s">
        <v>39</v>
      </c>
      <c r="C21" s="26" t="s">
        <v>69</v>
      </c>
      <c r="D21" s="26" t="s">
        <v>69</v>
      </c>
      <c r="E21" s="26" t="s">
        <v>69</v>
      </c>
      <c r="F21" s="65" t="s">
        <v>69</v>
      </c>
      <c r="G21" s="93" t="s">
        <v>182</v>
      </c>
      <c r="H21" s="98" t="s">
        <v>183</v>
      </c>
      <c r="I21" s="65" t="s">
        <v>72</v>
      </c>
      <c r="J21" s="93" t="s">
        <v>182</v>
      </c>
      <c r="K21" s="98" t="s">
        <v>183</v>
      </c>
      <c r="L21" s="93" t="s">
        <v>182</v>
      </c>
      <c r="M21" s="98" t="s">
        <v>183</v>
      </c>
      <c r="N21" s="109" t="s">
        <v>184</v>
      </c>
    </row>
    <row r="22" s="14" customFormat="1" ht="34" spans="1:14">
      <c r="A22" s="79"/>
      <c r="B22" s="77" t="s">
        <v>128</v>
      </c>
      <c r="C22" s="26" t="s">
        <v>69</v>
      </c>
      <c r="D22" s="26" t="s">
        <v>69</v>
      </c>
      <c r="E22" s="26" t="s">
        <v>166</v>
      </c>
      <c r="F22" s="65" t="s">
        <v>69</v>
      </c>
      <c r="G22" s="26" t="s">
        <v>166</v>
      </c>
      <c r="H22" s="93" t="s">
        <v>167</v>
      </c>
      <c r="I22" s="65" t="s">
        <v>72</v>
      </c>
      <c r="J22" s="26" t="s">
        <v>166</v>
      </c>
      <c r="K22" s="104" t="s">
        <v>168</v>
      </c>
      <c r="L22" s="26" t="s">
        <v>166</v>
      </c>
      <c r="M22" s="108" t="s">
        <v>168</v>
      </c>
      <c r="N22" s="109" t="s">
        <v>185</v>
      </c>
    </row>
    <row r="23" customHeight="1" spans="3:3">
      <c r="C23" s="96"/>
    </row>
  </sheetData>
  <sheetProtection formatColumns="0" sort="0" autoFilter="0" pivotTables="0"/>
  <mergeCells count="9">
    <mergeCell ref="J4:N4"/>
    <mergeCell ref="C6:E6"/>
    <mergeCell ref="F6:I6"/>
    <mergeCell ref="J6:K6"/>
    <mergeCell ref="L6:N6"/>
    <mergeCell ref="A6:A7"/>
    <mergeCell ref="A9:A17"/>
    <mergeCell ref="A18:A22"/>
    <mergeCell ref="B6:B7"/>
  </mergeCells>
  <dataValidations count="2">
    <dataValidation type="list" allowBlank="1" showInputMessage="1" showErrorMessage="1" sqref="B8:B22">
      <formula1>"Dim, Cos, Function, ORT"</formula1>
    </dataValidation>
    <dataValidation type="list" allowBlank="1" showInputMessage="1" showErrorMessage="1" sqref="I8:I22">
      <formula1>"Critical to ID feature, Critical to FATP, Critical to HSG assembly, NUD (new/unique/difficult), Not CTQ"</formula1>
    </dataValidation>
  </dataValidations>
  <pageMargins left="0" right="0" top="0" bottom="0" header="0" footer="0"/>
  <pageSetup paperSize="1" scale="53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zoomScale="76" zoomScaleNormal="76" zoomScaleSheetLayoutView="55" showRuler="0" workbookViewId="0">
      <pane ySplit="7" topLeftCell="A8" activePane="bottomLeft" state="frozen"/>
      <selection/>
      <selection pane="bottomLeft" activeCell="C22" sqref="C22"/>
    </sheetView>
  </sheetViews>
  <sheetFormatPr defaultColWidth="8.83333333333333" defaultRowHeight="22" customHeight="1"/>
  <cols>
    <col min="1" max="1" width="34.2666666666667" style="15" customWidth="1"/>
    <col min="2" max="2" width="25.8333333333333" style="15" customWidth="1"/>
    <col min="3" max="5" width="22.8333333333333" style="15" customWidth="1" outlineLevel="1"/>
    <col min="6" max="8" width="22.8333333333333" style="16" customWidth="1"/>
    <col min="9" max="14" width="22.8333333333333" style="15" customWidth="1"/>
    <col min="15" max="16384" width="8.83333333333333" style="15"/>
  </cols>
  <sheetData>
    <row r="1" s="12" customFormat="1" customHeight="1" spans="1:12">
      <c r="A1" s="17" t="s">
        <v>4</v>
      </c>
      <c r="B1" s="17" t="s">
        <v>5</v>
      </c>
      <c r="F1" s="20"/>
      <c r="G1" s="20"/>
      <c r="H1" s="20"/>
      <c r="I1" s="20"/>
      <c r="J1" s="20"/>
      <c r="K1" s="20"/>
      <c r="L1" s="20"/>
    </row>
    <row r="2" s="12" customFormat="1" customHeight="1" spans="1:12">
      <c r="A2" s="19" t="str">
        <f>IF(Revision!A4="","",Revision!A4)</f>
        <v>B747 Radial</v>
      </c>
      <c r="B2" s="19" t="str">
        <f>IF(Revision!B4="","",Revision!B4)</f>
        <v>Ramp</v>
      </c>
      <c r="F2" s="20"/>
      <c r="G2" s="20"/>
      <c r="H2" s="20"/>
      <c r="I2" s="20"/>
      <c r="J2" s="20"/>
      <c r="K2" s="20"/>
      <c r="L2" s="20"/>
    </row>
    <row r="3" s="12" customFormat="1" customHeight="1" spans="1:12">
      <c r="A3" s="17" t="s">
        <v>8</v>
      </c>
      <c r="B3" s="17" t="s">
        <v>9</v>
      </c>
      <c r="F3" s="20"/>
      <c r="G3" s="20"/>
      <c r="H3" s="20"/>
      <c r="I3" s="20"/>
      <c r="J3" s="20"/>
      <c r="K3" s="20"/>
      <c r="L3" s="20"/>
    </row>
    <row r="4" s="12" customFormat="1" customHeight="1" spans="1:14">
      <c r="A4" s="19" t="str">
        <f>Revision!A9</f>
        <v>160-05689-A(Mirror 160-05690-A)</v>
      </c>
      <c r="B4" s="19" t="str">
        <f>Revision!B9</f>
        <v>Assembling</v>
      </c>
      <c r="F4" s="20"/>
      <c r="G4" s="20"/>
      <c r="H4" s="20"/>
      <c r="I4" s="20"/>
      <c r="J4" s="84"/>
      <c r="K4" s="84"/>
      <c r="L4" s="84"/>
      <c r="M4" s="84"/>
      <c r="N4" s="84"/>
    </row>
    <row r="5" s="12" customFormat="1" ht="7" customHeight="1" spans="6:8">
      <c r="F5" s="33"/>
      <c r="G5" s="33"/>
      <c r="H5" s="33"/>
    </row>
    <row r="6" s="13" customFormat="1" ht="37" customHeight="1" spans="1:14">
      <c r="A6" s="24" t="s">
        <v>53</v>
      </c>
      <c r="B6" s="45" t="s">
        <v>54</v>
      </c>
      <c r="C6" s="75" t="s">
        <v>55</v>
      </c>
      <c r="D6" s="75"/>
      <c r="E6" s="75"/>
      <c r="F6" s="80" t="s">
        <v>56</v>
      </c>
      <c r="G6" s="81"/>
      <c r="H6" s="81"/>
      <c r="I6" s="85"/>
      <c r="J6" s="86" t="s">
        <v>57</v>
      </c>
      <c r="K6" s="87"/>
      <c r="L6" s="88" t="s">
        <v>58</v>
      </c>
      <c r="M6" s="88"/>
      <c r="N6" s="87"/>
    </row>
    <row r="7" s="13" customFormat="1" customHeight="1" spans="1:14">
      <c r="A7" s="24"/>
      <c r="B7" s="47"/>
      <c r="C7" s="75" t="s">
        <v>59</v>
      </c>
      <c r="D7" s="75" t="s">
        <v>60</v>
      </c>
      <c r="E7" s="75" t="s">
        <v>61</v>
      </c>
      <c r="F7" s="24" t="s">
        <v>62</v>
      </c>
      <c r="G7" s="24" t="s">
        <v>61</v>
      </c>
      <c r="H7" s="24" t="s">
        <v>9</v>
      </c>
      <c r="I7" s="24" t="s">
        <v>63</v>
      </c>
      <c r="J7" s="89" t="s">
        <v>64</v>
      </c>
      <c r="K7" s="63" t="s">
        <v>34</v>
      </c>
      <c r="L7" s="63" t="s">
        <v>65</v>
      </c>
      <c r="M7" s="63" t="s">
        <v>34</v>
      </c>
      <c r="N7" s="64" t="s">
        <v>66</v>
      </c>
    </row>
    <row r="8" s="14" customFormat="1" ht="34" spans="1:14">
      <c r="A8" s="76" t="s">
        <v>186</v>
      </c>
      <c r="B8" s="77" t="s">
        <v>39</v>
      </c>
      <c r="C8" s="77" t="s">
        <v>69</v>
      </c>
      <c r="D8" s="77" t="s">
        <v>69</v>
      </c>
      <c r="E8" s="77" t="s">
        <v>187</v>
      </c>
      <c r="F8" s="77" t="s">
        <v>69</v>
      </c>
      <c r="G8" s="77" t="s">
        <v>187</v>
      </c>
      <c r="H8" s="82" t="s">
        <v>188</v>
      </c>
      <c r="I8" s="82" t="s">
        <v>189</v>
      </c>
      <c r="J8" s="50" t="s">
        <v>190</v>
      </c>
      <c r="K8" s="90" t="s">
        <v>191</v>
      </c>
      <c r="L8" s="50" t="s">
        <v>190</v>
      </c>
      <c r="M8" s="90" t="s">
        <v>191</v>
      </c>
      <c r="N8" s="66" t="s">
        <v>75</v>
      </c>
    </row>
    <row r="9" s="14" customFormat="1" ht="34" spans="1:14">
      <c r="A9" s="78"/>
      <c r="B9" s="77" t="s">
        <v>39</v>
      </c>
      <c r="C9" s="77" t="s">
        <v>69</v>
      </c>
      <c r="D9" s="77">
        <v>26</v>
      </c>
      <c r="E9" s="77" t="s">
        <v>192</v>
      </c>
      <c r="F9" s="77" t="s">
        <v>193</v>
      </c>
      <c r="G9" s="77" t="s">
        <v>194</v>
      </c>
      <c r="H9" s="82" t="s">
        <v>195</v>
      </c>
      <c r="I9" s="82" t="s">
        <v>189</v>
      </c>
      <c r="J9" s="77" t="s">
        <v>194</v>
      </c>
      <c r="K9" s="90" t="s">
        <v>191</v>
      </c>
      <c r="L9" s="77" t="s">
        <v>194</v>
      </c>
      <c r="M9" s="90" t="s">
        <v>191</v>
      </c>
      <c r="N9" s="66" t="s">
        <v>75</v>
      </c>
    </row>
    <row r="10" s="14" customFormat="1" ht="84" spans="1:14">
      <c r="A10" s="76" t="s">
        <v>196</v>
      </c>
      <c r="B10" s="77" t="s">
        <v>128</v>
      </c>
      <c r="C10" s="77" t="s">
        <v>69</v>
      </c>
      <c r="D10" s="77" t="s">
        <v>69</v>
      </c>
      <c r="E10" s="77" t="s">
        <v>69</v>
      </c>
      <c r="F10" s="82" t="s">
        <v>69</v>
      </c>
      <c r="G10" s="77" t="s">
        <v>197</v>
      </c>
      <c r="H10" s="83" t="s">
        <v>198</v>
      </c>
      <c r="I10" s="82" t="s">
        <v>72</v>
      </c>
      <c r="J10" s="77" t="s">
        <v>197</v>
      </c>
      <c r="K10" s="83" t="s">
        <v>199</v>
      </c>
      <c r="L10" s="77" t="s">
        <v>197</v>
      </c>
      <c r="M10" s="83" t="s">
        <v>199</v>
      </c>
      <c r="N10" s="66" t="s">
        <v>200</v>
      </c>
    </row>
    <row r="11" s="14" customFormat="1" ht="34" customHeight="1" spans="1:14">
      <c r="A11" s="76" t="s">
        <v>201</v>
      </c>
      <c r="B11" s="77" t="s">
        <v>39</v>
      </c>
      <c r="C11" s="77" t="s">
        <v>69</v>
      </c>
      <c r="D11" s="77" t="s">
        <v>69</v>
      </c>
      <c r="E11" s="77" t="s">
        <v>69</v>
      </c>
      <c r="F11" s="77" t="s">
        <v>69</v>
      </c>
      <c r="G11" s="82" t="s">
        <v>202</v>
      </c>
      <c r="H11" s="51" t="s">
        <v>203</v>
      </c>
      <c r="I11" s="82" t="s">
        <v>189</v>
      </c>
      <c r="J11" s="82" t="s">
        <v>202</v>
      </c>
      <c r="K11" s="91" t="s">
        <v>204</v>
      </c>
      <c r="L11" s="82" t="s">
        <v>202</v>
      </c>
      <c r="M11" s="91" t="s">
        <v>204</v>
      </c>
      <c r="N11" s="66" t="s">
        <v>205</v>
      </c>
    </row>
    <row r="12" s="14" customFormat="1" ht="34" customHeight="1" spans="1:14">
      <c r="A12" s="78"/>
      <c r="B12" s="77" t="s">
        <v>39</v>
      </c>
      <c r="C12" s="77" t="s">
        <v>69</v>
      </c>
      <c r="D12" s="77" t="s">
        <v>69</v>
      </c>
      <c r="E12" s="77" t="s">
        <v>69</v>
      </c>
      <c r="F12" s="77" t="s">
        <v>69</v>
      </c>
      <c r="G12" s="82" t="s">
        <v>206</v>
      </c>
      <c r="H12" s="51" t="s">
        <v>207</v>
      </c>
      <c r="I12" s="82" t="s">
        <v>189</v>
      </c>
      <c r="J12" s="82" t="s">
        <v>206</v>
      </c>
      <c r="K12" s="91" t="s">
        <v>208</v>
      </c>
      <c r="L12" s="82" t="s">
        <v>206</v>
      </c>
      <c r="M12" s="91" t="s">
        <v>208</v>
      </c>
      <c r="N12" s="66" t="s">
        <v>205</v>
      </c>
    </row>
    <row r="13" s="14" customFormat="1" ht="34" customHeight="1" spans="1:14">
      <c r="A13" s="79"/>
      <c r="B13" s="77" t="s">
        <v>128</v>
      </c>
      <c r="C13" s="77" t="s">
        <v>69</v>
      </c>
      <c r="D13" s="77" t="s">
        <v>69</v>
      </c>
      <c r="E13" s="67" t="s">
        <v>166</v>
      </c>
      <c r="F13" s="77" t="s">
        <v>69</v>
      </c>
      <c r="G13" s="67" t="s">
        <v>166</v>
      </c>
      <c r="H13" s="51" t="s">
        <v>209</v>
      </c>
      <c r="I13" s="82" t="s">
        <v>72</v>
      </c>
      <c r="J13" s="67" t="s">
        <v>166</v>
      </c>
      <c r="K13" s="51" t="s">
        <v>209</v>
      </c>
      <c r="L13" s="67" t="s">
        <v>166</v>
      </c>
      <c r="M13" s="51" t="s">
        <v>209</v>
      </c>
      <c r="N13" s="92" t="s">
        <v>205</v>
      </c>
    </row>
  </sheetData>
  <sheetProtection formatColumns="0" sort="0" autoFilter="0" pivotTables="0"/>
  <mergeCells count="9">
    <mergeCell ref="J4:N4"/>
    <mergeCell ref="C6:E6"/>
    <mergeCell ref="F6:I6"/>
    <mergeCell ref="J6:K6"/>
    <mergeCell ref="L6:N6"/>
    <mergeCell ref="A6:A7"/>
    <mergeCell ref="A8:A9"/>
    <mergeCell ref="A11:A13"/>
    <mergeCell ref="B6:B7"/>
  </mergeCells>
  <dataValidations count="2">
    <dataValidation type="list" allowBlank="1" showInputMessage="1" showErrorMessage="1" sqref="B8:B13">
      <formula1>"Dim, Cos, Function, ORT"</formula1>
    </dataValidation>
    <dataValidation type="list" allowBlank="1" showInputMessage="1" showErrorMessage="1" sqref="I8:I13">
      <formula1>"Critical to ID feature, Critical to FATP, Critical to HSG assembly, NUD (new/unique/difficult), Not CTQ"</formula1>
    </dataValidation>
  </dataValidations>
  <pageMargins left="0" right="0" top="0" bottom="0" header="0" footer="0"/>
  <pageSetup paperSize="1" scale="53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showGridLines="0" zoomScale="80" zoomScaleNormal="80" zoomScaleSheetLayoutView="55" showRuler="0" workbookViewId="0">
      <pane xSplit="2" ySplit="7" topLeftCell="C8" activePane="bottomRight" state="frozen"/>
      <selection/>
      <selection pane="topRight"/>
      <selection pane="bottomLeft"/>
      <selection pane="bottomRight" activeCell="D33" sqref="D33"/>
    </sheetView>
  </sheetViews>
  <sheetFormatPr defaultColWidth="8.83333333333333" defaultRowHeight="22" customHeight="1"/>
  <cols>
    <col min="1" max="1" width="35.8333333333333" style="15" customWidth="1"/>
    <col min="2" max="2" width="17" style="15" customWidth="1"/>
    <col min="3" max="3" width="15.6666666666667" style="15" customWidth="1"/>
    <col min="4" max="4" width="27.8333333333333" style="15" customWidth="1"/>
    <col min="5" max="5" width="27.8333333333333" style="16" customWidth="1"/>
    <col min="6" max="6" width="20.6666666666667" style="15" customWidth="1"/>
    <col min="7" max="7" width="22.1083333333333" style="15" customWidth="1"/>
    <col min="8" max="8" width="25.1666666666667" style="15" customWidth="1"/>
    <col min="9" max="16384" width="8.83333333333333" style="15"/>
  </cols>
  <sheetData>
    <row r="1" s="12" customFormat="1" customHeight="1" spans="1:8">
      <c r="A1" s="17" t="s">
        <v>4</v>
      </c>
      <c r="B1" s="17" t="s">
        <v>5</v>
      </c>
      <c r="C1" s="41"/>
      <c r="D1" s="41"/>
      <c r="E1" s="41"/>
      <c r="F1" s="41"/>
      <c r="G1" s="41"/>
      <c r="H1" s="57"/>
    </row>
    <row r="2" s="12" customFormat="1" customHeight="1" spans="1:8">
      <c r="A2" s="42" t="str">
        <f>Revision!A4</f>
        <v>B747 Radial</v>
      </c>
      <c r="B2" s="19" t="str">
        <f>Revision!B4</f>
        <v>Ramp</v>
      </c>
      <c r="C2" s="43"/>
      <c r="D2" s="41"/>
      <c r="E2" s="41"/>
      <c r="F2" s="41"/>
      <c r="G2" s="41"/>
      <c r="H2" s="57"/>
    </row>
    <row r="3" s="12" customFormat="1" customHeight="1" spans="1:8">
      <c r="A3" s="17" t="s">
        <v>8</v>
      </c>
      <c r="B3" s="17" t="s">
        <v>9</v>
      </c>
      <c r="C3" s="41"/>
      <c r="D3" s="41"/>
      <c r="E3" s="41"/>
      <c r="F3" s="41"/>
      <c r="G3" s="41"/>
      <c r="H3" s="57"/>
    </row>
    <row r="4" s="12" customFormat="1" customHeight="1" spans="1:8">
      <c r="A4" s="19" t="str">
        <f>Revision!A6</f>
        <v>160-05689-A(Mirror 160-05690-A)</v>
      </c>
      <c r="B4" s="19" t="str">
        <f>Revision!B10</f>
        <v>OQC</v>
      </c>
      <c r="C4" s="43"/>
      <c r="D4" s="41"/>
      <c r="E4" s="58"/>
      <c r="F4" s="58"/>
      <c r="G4" s="58"/>
      <c r="H4" s="59"/>
    </row>
    <row r="5" s="12" customFormat="1" ht="7" customHeight="1" spans="5:5">
      <c r="E5" s="33"/>
    </row>
    <row r="6" s="40" customFormat="1" ht="37" customHeight="1" spans="1:8">
      <c r="A6" s="44" t="s">
        <v>30</v>
      </c>
      <c r="B6" s="44" t="s">
        <v>8</v>
      </c>
      <c r="C6" s="44" t="s">
        <v>17</v>
      </c>
      <c r="D6" s="45" t="s">
        <v>54</v>
      </c>
      <c r="E6" s="44" t="s">
        <v>210</v>
      </c>
      <c r="F6" s="60" t="s">
        <v>33</v>
      </c>
      <c r="G6" s="61"/>
      <c r="H6" s="62"/>
    </row>
    <row r="7" s="40" customFormat="1" customHeight="1" spans="1:8">
      <c r="A7" s="46"/>
      <c r="B7" s="46"/>
      <c r="C7" s="46"/>
      <c r="D7" s="47"/>
      <c r="E7" s="46"/>
      <c r="F7" s="63" t="s">
        <v>34</v>
      </c>
      <c r="G7" s="64" t="s">
        <v>35</v>
      </c>
      <c r="H7" s="64" t="s">
        <v>36</v>
      </c>
    </row>
    <row r="8" s="12" customFormat="1" ht="35" customHeight="1" spans="1:11">
      <c r="A8" s="48" t="s">
        <v>211</v>
      </c>
      <c r="B8" s="49" t="s">
        <v>212</v>
      </c>
      <c r="C8" s="50">
        <v>4</v>
      </c>
      <c r="D8" s="51" t="s">
        <v>68</v>
      </c>
      <c r="E8" s="65" t="s">
        <v>213</v>
      </c>
      <c r="F8" s="51" t="s">
        <v>104</v>
      </c>
      <c r="G8" s="51" t="s">
        <v>214</v>
      </c>
      <c r="H8" s="66" t="s">
        <v>215</v>
      </c>
      <c r="K8" s="74"/>
    </row>
    <row r="9" s="12" customFormat="1" ht="35" customHeight="1" spans="1:11">
      <c r="A9" s="52"/>
      <c r="B9" s="53"/>
      <c r="C9" s="50">
        <v>4</v>
      </c>
      <c r="D9" s="51" t="s">
        <v>68</v>
      </c>
      <c r="E9" s="65" t="s">
        <v>216</v>
      </c>
      <c r="F9" s="51" t="s">
        <v>104</v>
      </c>
      <c r="G9" s="51" t="s">
        <v>214</v>
      </c>
      <c r="H9" s="66" t="s">
        <v>215</v>
      </c>
      <c r="K9" s="74"/>
    </row>
    <row r="10" s="12" customFormat="1" ht="35" customHeight="1" spans="1:11">
      <c r="A10" s="52"/>
      <c r="B10" s="53"/>
      <c r="C10" s="50">
        <v>4</v>
      </c>
      <c r="D10" s="51" t="s">
        <v>68</v>
      </c>
      <c r="E10" s="65" t="s">
        <v>217</v>
      </c>
      <c r="F10" s="51" t="s">
        <v>104</v>
      </c>
      <c r="G10" s="51" t="s">
        <v>214</v>
      </c>
      <c r="H10" s="66" t="s">
        <v>215</v>
      </c>
      <c r="K10" s="74"/>
    </row>
    <row r="11" s="12" customFormat="1" ht="35" customHeight="1" spans="1:11">
      <c r="A11" s="52"/>
      <c r="B11" s="53"/>
      <c r="C11" s="50">
        <v>4</v>
      </c>
      <c r="D11" s="51" t="s">
        <v>68</v>
      </c>
      <c r="E11" s="65" t="s">
        <v>218</v>
      </c>
      <c r="F11" s="51" t="s">
        <v>104</v>
      </c>
      <c r="G11" s="51" t="s">
        <v>214</v>
      </c>
      <c r="H11" s="66" t="s">
        <v>215</v>
      </c>
      <c r="K11" s="74"/>
    </row>
    <row r="12" s="12" customFormat="1" ht="35" customHeight="1" spans="1:11">
      <c r="A12" s="52"/>
      <c r="B12" s="53"/>
      <c r="C12" s="50">
        <v>4</v>
      </c>
      <c r="D12" s="51" t="s">
        <v>68</v>
      </c>
      <c r="E12" s="65" t="s">
        <v>219</v>
      </c>
      <c r="F12" s="51" t="s">
        <v>104</v>
      </c>
      <c r="G12" s="51" t="s">
        <v>214</v>
      </c>
      <c r="H12" s="66" t="s">
        <v>215</v>
      </c>
      <c r="K12" s="74"/>
    </row>
    <row r="13" s="12" customFormat="1" ht="35" customHeight="1" spans="1:11">
      <c r="A13" s="52"/>
      <c r="B13" s="53"/>
      <c r="C13" s="50">
        <v>4</v>
      </c>
      <c r="D13" s="51" t="s">
        <v>68</v>
      </c>
      <c r="E13" s="65" t="s">
        <v>220</v>
      </c>
      <c r="F13" s="51" t="s">
        <v>104</v>
      </c>
      <c r="G13" s="51" t="s">
        <v>214</v>
      </c>
      <c r="H13" s="66" t="s">
        <v>215</v>
      </c>
      <c r="K13" s="74"/>
    </row>
    <row r="14" s="12" customFormat="1" ht="35" customHeight="1" spans="1:11">
      <c r="A14" s="52"/>
      <c r="B14" s="53"/>
      <c r="C14" s="50">
        <v>4</v>
      </c>
      <c r="D14" s="51" t="s">
        <v>68</v>
      </c>
      <c r="E14" s="65" t="s">
        <v>219</v>
      </c>
      <c r="F14" s="51" t="s">
        <v>104</v>
      </c>
      <c r="G14" s="51" t="s">
        <v>214</v>
      </c>
      <c r="H14" s="66" t="s">
        <v>215</v>
      </c>
      <c r="K14" s="74"/>
    </row>
    <row r="15" s="12" customFormat="1" ht="35" customHeight="1" spans="1:11">
      <c r="A15" s="52"/>
      <c r="B15" s="53"/>
      <c r="C15" s="50">
        <v>4</v>
      </c>
      <c r="D15" s="51" t="s">
        <v>68</v>
      </c>
      <c r="E15" s="65" t="s">
        <v>220</v>
      </c>
      <c r="F15" s="51" t="s">
        <v>104</v>
      </c>
      <c r="G15" s="51" t="s">
        <v>214</v>
      </c>
      <c r="H15" s="66" t="s">
        <v>215</v>
      </c>
      <c r="K15" s="74"/>
    </row>
    <row r="16" s="12" customFormat="1" ht="35" customHeight="1" spans="1:11">
      <c r="A16" s="52"/>
      <c r="B16" s="53"/>
      <c r="C16" s="50">
        <v>4</v>
      </c>
      <c r="D16" s="51" t="s">
        <v>68</v>
      </c>
      <c r="E16" s="65" t="s">
        <v>221</v>
      </c>
      <c r="F16" s="51" t="s">
        <v>104</v>
      </c>
      <c r="G16" s="51" t="s">
        <v>214</v>
      </c>
      <c r="H16" s="66" t="s">
        <v>215</v>
      </c>
      <c r="K16" s="74"/>
    </row>
    <row r="17" s="12" customFormat="1" ht="35" customHeight="1" spans="1:11">
      <c r="A17" s="52"/>
      <c r="B17" s="53"/>
      <c r="C17" s="50">
        <v>4</v>
      </c>
      <c r="D17" s="51" t="s">
        <v>68</v>
      </c>
      <c r="E17" s="65" t="s">
        <v>222</v>
      </c>
      <c r="F17" s="51" t="s">
        <v>104</v>
      </c>
      <c r="G17" s="51" t="s">
        <v>214</v>
      </c>
      <c r="H17" s="66" t="s">
        <v>215</v>
      </c>
      <c r="K17" s="74"/>
    </row>
    <row r="18" s="12" customFormat="1" ht="35" customHeight="1" spans="1:11">
      <c r="A18" s="52"/>
      <c r="B18" s="53"/>
      <c r="C18" s="50">
        <v>4</v>
      </c>
      <c r="D18" s="51" t="s">
        <v>68</v>
      </c>
      <c r="E18" s="65" t="s">
        <v>223</v>
      </c>
      <c r="F18" s="51" t="s">
        <v>104</v>
      </c>
      <c r="G18" s="51" t="s">
        <v>214</v>
      </c>
      <c r="H18" s="66" t="s">
        <v>215</v>
      </c>
      <c r="K18" s="74"/>
    </row>
    <row r="19" s="12" customFormat="1" ht="35" customHeight="1" spans="1:11">
      <c r="A19" s="52"/>
      <c r="B19" s="53"/>
      <c r="C19" s="50">
        <v>4</v>
      </c>
      <c r="D19" s="51" t="s">
        <v>68</v>
      </c>
      <c r="E19" s="65" t="s">
        <v>224</v>
      </c>
      <c r="F19" s="51" t="s">
        <v>104</v>
      </c>
      <c r="G19" s="51" t="s">
        <v>214</v>
      </c>
      <c r="H19" s="66" t="s">
        <v>215</v>
      </c>
      <c r="K19" s="74"/>
    </row>
    <row r="20" s="14" customFormat="1" ht="35" customHeight="1" spans="1:11">
      <c r="A20" s="52"/>
      <c r="B20" s="53"/>
      <c r="C20" s="50">
        <v>4</v>
      </c>
      <c r="D20" s="51" t="s">
        <v>68</v>
      </c>
      <c r="E20" s="65" t="s">
        <v>225</v>
      </c>
      <c r="F20" s="51" t="s">
        <v>104</v>
      </c>
      <c r="G20" s="51" t="s">
        <v>214</v>
      </c>
      <c r="H20" s="66" t="s">
        <v>215</v>
      </c>
      <c r="K20" s="74"/>
    </row>
    <row r="21" s="14" customFormat="1" ht="35" customHeight="1" spans="1:11">
      <c r="A21" s="52"/>
      <c r="B21" s="53"/>
      <c r="C21" s="50">
        <v>4</v>
      </c>
      <c r="D21" s="51" t="s">
        <v>68</v>
      </c>
      <c r="E21" s="65" t="s">
        <v>225</v>
      </c>
      <c r="F21" s="51" t="s">
        <v>104</v>
      </c>
      <c r="G21" s="51" t="s">
        <v>214</v>
      </c>
      <c r="H21" s="66" t="s">
        <v>215</v>
      </c>
      <c r="K21" s="74"/>
    </row>
    <row r="22" s="14" customFormat="1" ht="35" customHeight="1" spans="1:11">
      <c r="A22" s="52"/>
      <c r="B22" s="53"/>
      <c r="C22" s="50">
        <v>4</v>
      </c>
      <c r="D22" s="51" t="s">
        <v>68</v>
      </c>
      <c r="E22" s="67" t="s">
        <v>226</v>
      </c>
      <c r="F22" s="68" t="s">
        <v>227</v>
      </c>
      <c r="G22" s="69" t="s">
        <v>228</v>
      </c>
      <c r="H22" s="66" t="s">
        <v>229</v>
      </c>
      <c r="K22" s="74"/>
    </row>
    <row r="23" s="14" customFormat="1" ht="35" customHeight="1" spans="1:11">
      <c r="A23" s="52"/>
      <c r="B23" s="53"/>
      <c r="C23" s="50">
        <v>4</v>
      </c>
      <c r="D23" s="51" t="s">
        <v>68</v>
      </c>
      <c r="E23" s="67" t="s">
        <v>230</v>
      </c>
      <c r="F23" s="70"/>
      <c r="G23" s="69" t="s">
        <v>228</v>
      </c>
      <c r="H23" s="66" t="s">
        <v>229</v>
      </c>
      <c r="K23" s="74"/>
    </row>
    <row r="24" s="14" customFormat="1" ht="35" customHeight="1" spans="1:11">
      <c r="A24" s="52"/>
      <c r="B24" s="53"/>
      <c r="C24" s="50">
        <v>4</v>
      </c>
      <c r="D24" s="51" t="s">
        <v>68</v>
      </c>
      <c r="E24" s="67" t="s">
        <v>231</v>
      </c>
      <c r="F24" s="70"/>
      <c r="G24" s="69" t="s">
        <v>228</v>
      </c>
      <c r="H24" s="66" t="s">
        <v>229</v>
      </c>
      <c r="K24" s="74"/>
    </row>
    <row r="25" s="14" customFormat="1" ht="35" customHeight="1" spans="1:11">
      <c r="A25" s="52"/>
      <c r="B25" s="53"/>
      <c r="C25" s="50">
        <v>4</v>
      </c>
      <c r="D25" s="51" t="s">
        <v>68</v>
      </c>
      <c r="E25" s="67" t="s">
        <v>232</v>
      </c>
      <c r="F25" s="71"/>
      <c r="G25" s="69" t="s">
        <v>228</v>
      </c>
      <c r="H25" s="66" t="s">
        <v>45</v>
      </c>
      <c r="K25" s="74"/>
    </row>
    <row r="26" s="14" customFormat="1" ht="35" customHeight="1" spans="1:11">
      <c r="A26" s="52"/>
      <c r="B26" s="53"/>
      <c r="C26" s="50">
        <v>4</v>
      </c>
      <c r="D26" s="51" t="s">
        <v>68</v>
      </c>
      <c r="E26" s="67" t="s">
        <v>233</v>
      </c>
      <c r="F26" s="51" t="s">
        <v>143</v>
      </c>
      <c r="G26" s="69" t="s">
        <v>228</v>
      </c>
      <c r="H26" s="66" t="s">
        <v>229</v>
      </c>
      <c r="K26" s="74"/>
    </row>
    <row r="27" s="14" customFormat="1" ht="35" customHeight="1" spans="1:11">
      <c r="A27" s="52"/>
      <c r="B27" s="53"/>
      <c r="C27" s="50">
        <v>4</v>
      </c>
      <c r="D27" s="51" t="s">
        <v>68</v>
      </c>
      <c r="E27" s="67" t="s">
        <v>234</v>
      </c>
      <c r="F27" s="51" t="s">
        <v>235</v>
      </c>
      <c r="G27" s="69" t="s">
        <v>228</v>
      </c>
      <c r="H27" s="66" t="s">
        <v>229</v>
      </c>
      <c r="K27" s="74"/>
    </row>
    <row r="28" s="14" customFormat="1" ht="68" spans="1:11">
      <c r="A28" s="52"/>
      <c r="B28" s="53"/>
      <c r="C28" s="50">
        <v>4</v>
      </c>
      <c r="D28" s="51" t="s">
        <v>68</v>
      </c>
      <c r="E28" s="67" t="s">
        <v>236</v>
      </c>
      <c r="F28" s="51" t="s">
        <v>237</v>
      </c>
      <c r="G28" s="69" t="s">
        <v>228</v>
      </c>
      <c r="H28" s="66" t="s">
        <v>229</v>
      </c>
      <c r="K28" s="74"/>
    </row>
    <row r="29" s="14" customFormat="1" ht="34" customHeight="1" spans="1:11">
      <c r="A29" s="52"/>
      <c r="B29" s="53"/>
      <c r="C29" s="50">
        <v>4</v>
      </c>
      <c r="D29" s="51" t="s">
        <v>39</v>
      </c>
      <c r="E29" s="67" t="s">
        <v>238</v>
      </c>
      <c r="F29" s="72" t="s">
        <v>191</v>
      </c>
      <c r="G29" s="69" t="s">
        <v>214</v>
      </c>
      <c r="H29" s="66" t="s">
        <v>45</v>
      </c>
      <c r="K29" s="74"/>
    </row>
    <row r="30" s="14" customFormat="1" ht="34" customHeight="1" spans="1:11">
      <c r="A30" s="52"/>
      <c r="B30" s="53"/>
      <c r="C30" s="50">
        <v>4</v>
      </c>
      <c r="D30" s="51" t="s">
        <v>39</v>
      </c>
      <c r="E30" s="67" t="s">
        <v>239</v>
      </c>
      <c r="F30" s="72" t="s">
        <v>191</v>
      </c>
      <c r="G30" s="69" t="s">
        <v>214</v>
      </c>
      <c r="H30" s="66" t="s">
        <v>45</v>
      </c>
      <c r="K30" s="74"/>
    </row>
    <row r="31" s="14" customFormat="1" ht="34" customHeight="1" spans="1:11">
      <c r="A31" s="52"/>
      <c r="B31" s="53"/>
      <c r="C31" s="50">
        <v>4</v>
      </c>
      <c r="D31" s="51" t="s">
        <v>48</v>
      </c>
      <c r="E31" s="67" t="s">
        <v>240</v>
      </c>
      <c r="F31" s="51" t="s">
        <v>165</v>
      </c>
      <c r="G31" s="69" t="s">
        <v>214</v>
      </c>
      <c r="H31" s="66" t="s">
        <v>45</v>
      </c>
      <c r="K31" s="74"/>
    </row>
    <row r="32" s="14" customFormat="1" ht="35" customHeight="1" spans="1:11">
      <c r="A32" s="52"/>
      <c r="B32" s="53"/>
      <c r="C32" s="50">
        <v>4</v>
      </c>
      <c r="D32" s="51" t="s">
        <v>48</v>
      </c>
      <c r="E32" s="67" t="s">
        <v>241</v>
      </c>
      <c r="F32" s="51" t="s">
        <v>242</v>
      </c>
      <c r="G32" s="69" t="s">
        <v>228</v>
      </c>
      <c r="H32" s="66" t="s">
        <v>45</v>
      </c>
      <c r="K32" s="74"/>
    </row>
    <row r="33" s="14" customFormat="1" ht="35" customHeight="1" spans="1:11">
      <c r="A33" s="52"/>
      <c r="B33" s="53"/>
      <c r="C33" s="50">
        <v>4</v>
      </c>
      <c r="D33" s="51" t="s">
        <v>48</v>
      </c>
      <c r="E33" s="67" t="s">
        <v>243</v>
      </c>
      <c r="F33" s="51" t="s">
        <v>244</v>
      </c>
      <c r="G33" s="69" t="s">
        <v>245</v>
      </c>
      <c r="H33" s="66" t="s">
        <v>45</v>
      </c>
      <c r="K33" s="74"/>
    </row>
    <row r="34" s="14" customFormat="1" ht="35" customHeight="1" spans="1:11">
      <c r="A34" s="52"/>
      <c r="B34" s="53"/>
      <c r="C34" s="50">
        <v>4</v>
      </c>
      <c r="D34" s="51" t="s">
        <v>48</v>
      </c>
      <c r="E34" s="67" t="s">
        <v>246</v>
      </c>
      <c r="F34" s="51" t="s">
        <v>247</v>
      </c>
      <c r="G34" s="69" t="s">
        <v>248</v>
      </c>
      <c r="H34" s="66" t="s">
        <v>249</v>
      </c>
      <c r="K34" s="74"/>
    </row>
    <row r="35" s="14" customFormat="1" ht="35" customHeight="1" spans="1:11">
      <c r="A35" s="54"/>
      <c r="B35" s="55"/>
      <c r="C35" s="50">
        <v>4</v>
      </c>
      <c r="D35" s="56" t="s">
        <v>128</v>
      </c>
      <c r="E35" s="26" t="s">
        <v>166</v>
      </c>
      <c r="F35" s="73" t="s">
        <v>250</v>
      </c>
      <c r="G35" s="51" t="s">
        <v>169</v>
      </c>
      <c r="H35" s="51" t="s">
        <v>169</v>
      </c>
      <c r="K35" s="74"/>
    </row>
  </sheetData>
  <sheetProtection sort="0" autoFilter="0" pivotTables="0"/>
  <mergeCells count="9">
    <mergeCell ref="F6:H6"/>
    <mergeCell ref="A6:A7"/>
    <mergeCell ref="A8:A35"/>
    <mergeCell ref="B6:B7"/>
    <mergeCell ref="B8:B35"/>
    <mergeCell ref="C6:C7"/>
    <mergeCell ref="D6:D7"/>
    <mergeCell ref="E6:E7"/>
    <mergeCell ref="F22:F25"/>
  </mergeCells>
  <dataValidations count="2">
    <dataValidation type="list" allowBlank="1" showInputMessage="1" showErrorMessage="1" sqref="D8:D35">
      <formula1>"Dim, Cos, Function, ORT"</formula1>
    </dataValidation>
    <dataValidation type="list" allowBlank="1" showInputMessage="1" showErrorMessage="1" sqref="H8:H34">
      <formula1>"0收1退(Ac=0),CPK≥1.33,Yield&gt;99.5%,No Alert(65%)"</formula1>
    </dataValidation>
  </dataValidations>
  <hyperlinks>
    <hyperlink ref="A2" location="Revision!A1" display="=Revision!A4"/>
  </hyperlinks>
  <pageMargins left="0" right="0" top="0" bottom="0" header="0" footer="0"/>
  <pageSetup paperSize="1" scale="53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showGridLines="0" tabSelected="1" zoomScale="72" zoomScaleNormal="72" zoomScaleSheetLayoutView="55" showRuler="0" workbookViewId="0">
      <pane ySplit="7" topLeftCell="A8" activePane="bottomLeft" state="frozen"/>
      <selection/>
      <selection pane="bottomLeft" activeCell="D12" sqref="D12"/>
    </sheetView>
  </sheetViews>
  <sheetFormatPr defaultColWidth="8.83333333333333" defaultRowHeight="22" customHeight="1"/>
  <cols>
    <col min="1" max="1" width="31.25" style="15" customWidth="1"/>
    <col min="2" max="3" width="25.8333333333333" style="15" customWidth="1"/>
    <col min="4" max="4" width="29" style="15" customWidth="1"/>
    <col min="5" max="5" width="25.8333333333333" style="16" customWidth="1"/>
    <col min="6" max="9" width="25.8333333333333" style="15" customWidth="1"/>
    <col min="10" max="16384" width="8.83333333333333" style="15"/>
  </cols>
  <sheetData>
    <row r="1" s="12" customFormat="1" customHeight="1" spans="1:5">
      <c r="A1" s="17" t="s">
        <v>4</v>
      </c>
      <c r="B1" s="17" t="s">
        <v>5</v>
      </c>
      <c r="C1" s="18"/>
      <c r="D1" s="18"/>
      <c r="E1" s="18"/>
    </row>
    <row r="2" s="12" customFormat="1" customHeight="1" spans="1:5">
      <c r="A2" s="19" t="str">
        <f>IF(Revision!A4="","",Revision!A4)</f>
        <v>B747 Radial</v>
      </c>
      <c r="B2" s="19" t="str">
        <f>IF(Revision!B4="","",Revision!B4)</f>
        <v>Ramp</v>
      </c>
      <c r="C2" s="20"/>
      <c r="D2" s="18"/>
      <c r="E2" s="18"/>
    </row>
    <row r="3" s="12" customFormat="1" customHeight="1" spans="1:5">
      <c r="A3" s="17" t="s">
        <v>8</v>
      </c>
      <c r="B3" s="17" t="s">
        <v>9</v>
      </c>
      <c r="C3" s="18"/>
      <c r="D3" s="18"/>
      <c r="E3" s="18"/>
    </row>
    <row r="4" s="12" customFormat="1" customHeight="1" spans="1:5">
      <c r="A4" s="21" t="str">
        <f>Revision!A11</f>
        <v>160-05689-A(Mirror 160-05690-A)</v>
      </c>
      <c r="B4" s="19" t="str">
        <f>IF(Revision!B11="","",Revision!B11)</f>
        <v>Rel</v>
      </c>
      <c r="C4" s="20"/>
      <c r="D4" s="18"/>
      <c r="E4" s="32"/>
    </row>
    <row r="5" s="12" customFormat="1" ht="7" customHeight="1" spans="5:5">
      <c r="E5" s="33"/>
    </row>
    <row r="6" s="12" customFormat="1" customHeight="1" spans="1:9">
      <c r="A6" s="22" t="s">
        <v>251</v>
      </c>
      <c r="B6" s="23"/>
      <c r="C6" s="23"/>
      <c r="D6" s="23"/>
      <c r="E6" s="23"/>
      <c r="F6" s="34"/>
      <c r="G6" s="22" t="s">
        <v>252</v>
      </c>
      <c r="H6" s="23"/>
      <c r="I6" s="34"/>
    </row>
    <row r="7" s="13" customFormat="1" customHeight="1" spans="1:9">
      <c r="A7" s="24" t="s">
        <v>253</v>
      </c>
      <c r="B7" s="24" t="s">
        <v>254</v>
      </c>
      <c r="C7" s="24" t="s">
        <v>255</v>
      </c>
      <c r="D7" s="24" t="s">
        <v>256</v>
      </c>
      <c r="E7" s="24" t="s">
        <v>257</v>
      </c>
      <c r="F7" s="24" t="s">
        <v>258</v>
      </c>
      <c r="G7" s="24" t="s">
        <v>259</v>
      </c>
      <c r="H7" s="24" t="s">
        <v>260</v>
      </c>
      <c r="I7" s="24" t="s">
        <v>261</v>
      </c>
    </row>
    <row r="8" s="14" customFormat="1" customHeight="1" spans="1:9">
      <c r="A8" s="25" t="s">
        <v>262</v>
      </c>
      <c r="B8" s="26" t="s">
        <v>263</v>
      </c>
      <c r="C8" s="27"/>
      <c r="D8" s="27" t="s">
        <v>264</v>
      </c>
      <c r="E8" s="35" t="s">
        <v>265</v>
      </c>
      <c r="F8" s="36" t="s">
        <v>266</v>
      </c>
      <c r="G8" s="36" t="s">
        <v>228</v>
      </c>
      <c r="H8" s="36" t="s">
        <v>228</v>
      </c>
      <c r="I8" s="36" t="s">
        <v>214</v>
      </c>
    </row>
    <row r="9" s="14" customFormat="1" customHeight="1" spans="1:9">
      <c r="A9" s="25" t="s">
        <v>267</v>
      </c>
      <c r="B9" s="26" t="s">
        <v>263</v>
      </c>
      <c r="C9" s="27"/>
      <c r="D9" s="27" t="s">
        <v>264</v>
      </c>
      <c r="E9" s="35" t="s">
        <v>265</v>
      </c>
      <c r="F9" s="37" t="s">
        <v>266</v>
      </c>
      <c r="G9" s="37" t="s">
        <v>214</v>
      </c>
      <c r="H9" s="37" t="s">
        <v>214</v>
      </c>
      <c r="I9" s="36" t="s">
        <v>214</v>
      </c>
    </row>
    <row r="10" s="14" customFormat="1" ht="34" spans="1:9">
      <c r="A10" s="25" t="s">
        <v>268</v>
      </c>
      <c r="B10" s="27" t="s">
        <v>269</v>
      </c>
      <c r="C10" s="27"/>
      <c r="D10" s="27" t="s">
        <v>270</v>
      </c>
      <c r="E10" s="35" t="s">
        <v>265</v>
      </c>
      <c r="F10" s="37" t="s">
        <v>271</v>
      </c>
      <c r="G10" s="37" t="s">
        <v>228</v>
      </c>
      <c r="H10" s="37" t="s">
        <v>228</v>
      </c>
      <c r="I10" s="36" t="s">
        <v>214</v>
      </c>
    </row>
    <row r="11" s="14" customFormat="1" customHeight="1" spans="1:9">
      <c r="A11" s="28" t="s">
        <v>272</v>
      </c>
      <c r="B11" s="29" t="s">
        <v>273</v>
      </c>
      <c r="C11" s="30"/>
      <c r="D11" s="29" t="s">
        <v>274</v>
      </c>
      <c r="E11" s="29" t="s">
        <v>265</v>
      </c>
      <c r="F11" s="37" t="s">
        <v>275</v>
      </c>
      <c r="G11" s="37" t="s">
        <v>214</v>
      </c>
      <c r="H11" s="37" t="s">
        <v>245</v>
      </c>
      <c r="I11" s="37" t="s">
        <v>214</v>
      </c>
    </row>
    <row r="12" s="14" customFormat="1" customHeight="1" spans="1:9">
      <c r="A12" s="25" t="s">
        <v>276</v>
      </c>
      <c r="B12" s="27" t="s">
        <v>277</v>
      </c>
      <c r="C12" s="31"/>
      <c r="D12" s="27" t="s">
        <v>278</v>
      </c>
      <c r="E12" s="27" t="s">
        <v>265</v>
      </c>
      <c r="F12" s="37" t="s">
        <v>275</v>
      </c>
      <c r="G12" s="37" t="s">
        <v>214</v>
      </c>
      <c r="H12" s="37" t="s">
        <v>245</v>
      </c>
      <c r="I12" s="36" t="s">
        <v>214</v>
      </c>
    </row>
    <row r="13" s="14" customFormat="1" customHeight="1" spans="1:9">
      <c r="A13" s="25" t="s">
        <v>279</v>
      </c>
      <c r="B13" s="31"/>
      <c r="C13" s="31"/>
      <c r="D13" s="27" t="s">
        <v>280</v>
      </c>
      <c r="E13" s="27" t="s">
        <v>265</v>
      </c>
      <c r="F13" s="37" t="s">
        <v>281</v>
      </c>
      <c r="G13" s="37" t="s">
        <v>228</v>
      </c>
      <c r="H13" s="37" t="s">
        <v>228</v>
      </c>
      <c r="I13" s="36" t="s">
        <v>214</v>
      </c>
    </row>
    <row r="14" s="14" customFormat="1" customHeight="1" spans="1:9">
      <c r="A14" s="25"/>
      <c r="B14" s="31"/>
      <c r="C14" s="31"/>
      <c r="D14" s="27"/>
      <c r="E14" s="27"/>
      <c r="F14" s="37"/>
      <c r="G14" s="37"/>
      <c r="H14" s="37"/>
      <c r="I14" s="36"/>
    </row>
    <row r="15" s="14" customFormat="1" customHeight="1" spans="1:9">
      <c r="A15" s="31"/>
      <c r="B15" s="31"/>
      <c r="C15" s="31"/>
      <c r="D15" s="27"/>
      <c r="E15" s="27"/>
      <c r="F15" s="38"/>
      <c r="G15" s="38"/>
      <c r="H15" s="38"/>
      <c r="I15" s="38"/>
    </row>
    <row r="16" s="14" customFormat="1" customHeight="1" spans="1:9">
      <c r="A16" s="31"/>
      <c r="B16" s="31"/>
      <c r="C16" s="31"/>
      <c r="D16" s="27"/>
      <c r="E16" s="27"/>
      <c r="F16" s="38"/>
      <c r="G16" s="38"/>
      <c r="H16" s="38"/>
      <c r="I16" s="38"/>
    </row>
    <row r="17" s="14" customFormat="1" customHeight="1" spans="1:9">
      <c r="A17" s="31"/>
      <c r="B17" s="31"/>
      <c r="C17" s="31"/>
      <c r="D17" s="27"/>
      <c r="E17" s="27"/>
      <c r="F17" s="38"/>
      <c r="G17" s="38"/>
      <c r="H17" s="38"/>
      <c r="I17" s="38"/>
    </row>
    <row r="18" s="14" customFormat="1" customHeight="1" spans="1:9">
      <c r="A18" s="31"/>
      <c r="B18" s="31"/>
      <c r="C18" s="31"/>
      <c r="D18" s="27"/>
      <c r="E18" s="27"/>
      <c r="F18" s="38"/>
      <c r="G18" s="38"/>
      <c r="H18" s="38"/>
      <c r="I18" s="38"/>
    </row>
    <row r="19" s="14" customFormat="1" customHeight="1" spans="1:9">
      <c r="A19" s="31"/>
      <c r="B19" s="31"/>
      <c r="C19" s="31"/>
      <c r="D19" s="27"/>
      <c r="E19" s="35"/>
      <c r="F19" s="38"/>
      <c r="G19" s="38"/>
      <c r="H19" s="38"/>
      <c r="I19" s="38"/>
    </row>
    <row r="20" s="14" customFormat="1" customHeight="1" spans="1:9">
      <c r="A20" s="31"/>
      <c r="B20" s="31"/>
      <c r="C20" s="31"/>
      <c r="D20" s="27"/>
      <c r="E20" s="35"/>
      <c r="F20" s="38"/>
      <c r="G20" s="38"/>
      <c r="H20" s="38"/>
      <c r="I20" s="38"/>
    </row>
    <row r="21" s="14" customFormat="1" customHeight="1" spans="1:9">
      <c r="A21" s="31"/>
      <c r="B21" s="31"/>
      <c r="C21" s="31"/>
      <c r="D21" s="27"/>
      <c r="E21" s="35"/>
      <c r="F21" s="38"/>
      <c r="G21" s="38"/>
      <c r="H21" s="38"/>
      <c r="I21" s="38"/>
    </row>
    <row r="22" s="14" customFormat="1" customHeight="1" spans="1:9">
      <c r="A22" s="31"/>
      <c r="B22" s="31"/>
      <c r="C22" s="31"/>
      <c r="D22" s="27"/>
      <c r="E22" s="35"/>
      <c r="F22" s="38"/>
      <c r="G22" s="38"/>
      <c r="H22" s="38"/>
      <c r="I22" s="38"/>
    </row>
    <row r="23" s="14" customFormat="1" customHeight="1" spans="1:9">
      <c r="A23" s="31"/>
      <c r="B23" s="31"/>
      <c r="C23" s="31"/>
      <c r="D23" s="27"/>
      <c r="E23" s="35"/>
      <c r="F23" s="38"/>
      <c r="G23" s="38"/>
      <c r="H23" s="38"/>
      <c r="I23" s="38"/>
    </row>
    <row r="24" s="14" customFormat="1" customHeight="1" spans="1:9">
      <c r="A24" s="31"/>
      <c r="B24" s="31"/>
      <c r="C24" s="31"/>
      <c r="D24" s="27"/>
      <c r="E24" s="39"/>
      <c r="F24" s="38"/>
      <c r="G24" s="38"/>
      <c r="H24" s="38"/>
      <c r="I24" s="38"/>
    </row>
    <row r="25" s="14" customFormat="1" customHeight="1" spans="1:9">
      <c r="A25" s="31"/>
      <c r="B25" s="31"/>
      <c r="C25" s="31"/>
      <c r="D25" s="27"/>
      <c r="E25" s="27"/>
      <c r="F25" s="38"/>
      <c r="G25" s="38"/>
      <c r="H25" s="38"/>
      <c r="I25" s="38"/>
    </row>
    <row r="26" s="14" customFormat="1" customHeight="1" spans="1:9">
      <c r="A26" s="31"/>
      <c r="B26" s="31"/>
      <c r="C26" s="31"/>
      <c r="D26" s="27"/>
      <c r="E26" s="27"/>
      <c r="F26" s="38"/>
      <c r="G26" s="38"/>
      <c r="H26" s="38"/>
      <c r="I26" s="38"/>
    </row>
    <row r="27" s="14" customFormat="1" customHeight="1" spans="1:9">
      <c r="A27" s="31"/>
      <c r="B27" s="31"/>
      <c r="C27" s="31"/>
      <c r="D27" s="27"/>
      <c r="E27" s="27"/>
      <c r="F27" s="38"/>
      <c r="G27" s="38"/>
      <c r="H27" s="38"/>
      <c r="I27" s="38"/>
    </row>
    <row r="28" s="14" customFormat="1" customHeight="1" spans="1:9">
      <c r="A28" s="31"/>
      <c r="B28" s="31"/>
      <c r="C28" s="31"/>
      <c r="D28" s="27"/>
      <c r="E28" s="27"/>
      <c r="F28" s="38"/>
      <c r="G28" s="38"/>
      <c r="H28" s="38"/>
      <c r="I28" s="38"/>
    </row>
    <row r="29" s="14" customFormat="1" customHeight="1" spans="1:9">
      <c r="A29" s="31"/>
      <c r="B29" s="31"/>
      <c r="C29" s="31"/>
      <c r="D29" s="27"/>
      <c r="E29" s="27"/>
      <c r="F29" s="38"/>
      <c r="G29" s="38"/>
      <c r="H29" s="38"/>
      <c r="I29" s="38"/>
    </row>
    <row r="30" s="14" customFormat="1" customHeight="1" spans="1:9">
      <c r="A30" s="31"/>
      <c r="B30" s="31"/>
      <c r="C30" s="31"/>
      <c r="D30" s="27"/>
      <c r="E30" s="27"/>
      <c r="F30" s="38"/>
      <c r="G30" s="38"/>
      <c r="H30" s="38"/>
      <c r="I30" s="38"/>
    </row>
    <row r="31" s="14" customFormat="1" customHeight="1" spans="1:9">
      <c r="A31" s="31"/>
      <c r="B31" s="31"/>
      <c r="C31" s="31"/>
      <c r="D31" s="27"/>
      <c r="E31" s="27"/>
      <c r="F31" s="38"/>
      <c r="G31" s="38"/>
      <c r="H31" s="38"/>
      <c r="I31" s="38"/>
    </row>
  </sheetData>
  <sheetProtection sort="0" autoFilter="0" pivotTables="0"/>
  <mergeCells count="2">
    <mergeCell ref="A6:F6"/>
    <mergeCell ref="G6:I6"/>
  </mergeCells>
  <dataValidations count="1">
    <dataValidation allowBlank="1" showInputMessage="1" showErrorMessage="1" prompt="eg. CNC1, Spk Mesh Assy, K87,..." sqref="C13"/>
  </dataValidations>
  <pageMargins left="0" right="0" top="0" bottom="0" header="0" footer="0"/>
  <pageSetup paperSize="1" scale="53" orientation="landscape"/>
  <headerFooter/>
  <rowBreaks count="1" manualBreakCount="1">
    <brk id="2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15"/>
  <sheetViews>
    <sheetView showGridLines="0" zoomScale="84" zoomScaleNormal="84" workbookViewId="0">
      <selection activeCell="I17" sqref="I17"/>
    </sheetView>
  </sheetViews>
  <sheetFormatPr defaultColWidth="11" defaultRowHeight="22" customHeight="1"/>
  <cols>
    <col min="1" max="1" width="5.5" style="2" customWidth="1"/>
    <col min="2" max="2" width="10.8333333333333" style="2" customWidth="1"/>
    <col min="3" max="3" width="14.8333333333333" style="2" customWidth="1"/>
    <col min="4" max="4" width="98.3333333333333" style="2" customWidth="1"/>
    <col min="5" max="15" width="10.8333333333333" style="2" customWidth="1"/>
    <col min="16" max="16384" width="10.8333333333333" style="2"/>
  </cols>
  <sheetData>
    <row r="2" customHeight="1" spans="2:13">
      <c r="B2" s="3" t="s">
        <v>282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Height="1" spans="1:13">
      <c r="A3" s="5">
        <v>1</v>
      </c>
      <c r="B3" s="4" t="s">
        <v>283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7.6" spans="1:2">
      <c r="A4" s="5">
        <v>2</v>
      </c>
      <c r="B4" s="2" t="s">
        <v>284</v>
      </c>
    </row>
    <row r="5" customHeight="1" spans="1:2">
      <c r="A5" s="5">
        <v>3</v>
      </c>
      <c r="B5" s="2" t="s">
        <v>285</v>
      </c>
    </row>
    <row r="6" customHeight="1" spans="1:13">
      <c r="A6" s="5">
        <v>4</v>
      </c>
      <c r="B6" s="2" t="s">
        <v>286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Height="1" spans="1:13">
      <c r="A7" s="5">
        <v>5</v>
      </c>
      <c r="B7" s="2" t="s">
        <v>287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customHeight="1" spans="1:13">
      <c r="A8" s="5">
        <v>6</v>
      </c>
      <c r="B8" s="2" t="s">
        <v>288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Height="1" spans="1:13">
      <c r="A9" s="5">
        <v>7</v>
      </c>
      <c r="B9" s="2" t="s">
        <v>289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customHeight="1" spans="1:13">
      <c r="A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customHeight="1" spans="2:2">
      <c r="B11" s="7" t="s">
        <v>290</v>
      </c>
    </row>
    <row r="35" customHeight="1" spans="2:2">
      <c r="B35" s="7" t="s">
        <v>291</v>
      </c>
    </row>
    <row r="60" customHeight="1" spans="2:2">
      <c r="B60" s="7" t="s">
        <v>292</v>
      </c>
    </row>
    <row r="81" customHeight="1" spans="2:2">
      <c r="B81" s="7" t="s">
        <v>293</v>
      </c>
    </row>
    <row r="108" customHeight="1" spans="2:2">
      <c r="B108" s="3" t="s">
        <v>294</v>
      </c>
    </row>
    <row r="109" s="1" customFormat="1" customHeight="1" spans="2:4">
      <c r="B109" s="8" t="s">
        <v>17</v>
      </c>
      <c r="C109" s="8" t="s">
        <v>18</v>
      </c>
      <c r="D109" s="8" t="s">
        <v>9</v>
      </c>
    </row>
    <row r="110" customHeight="1" spans="2:4">
      <c r="B110" s="9">
        <v>1</v>
      </c>
      <c r="C110" s="10">
        <v>45443</v>
      </c>
      <c r="D110" s="11" t="s">
        <v>295</v>
      </c>
    </row>
    <row r="111" customHeight="1" spans="2:4">
      <c r="B111" s="9">
        <v>2</v>
      </c>
      <c r="C111" s="10">
        <v>45477</v>
      </c>
      <c r="D111" s="11" t="s">
        <v>296</v>
      </c>
    </row>
    <row r="112" customHeight="1" spans="2:4">
      <c r="B112" s="9">
        <v>3</v>
      </c>
      <c r="C112" s="10">
        <v>45482</v>
      </c>
      <c r="D112" s="11" t="s">
        <v>297</v>
      </c>
    </row>
    <row r="113" customHeight="1" spans="2:4">
      <c r="B113" s="9">
        <v>4</v>
      </c>
      <c r="C113" s="10">
        <v>45509</v>
      </c>
      <c r="D113" s="11" t="s">
        <v>298</v>
      </c>
    </row>
    <row r="114" customHeight="1" spans="2:4">
      <c r="B114" s="9">
        <v>5</v>
      </c>
      <c r="C114" s="10">
        <v>45513</v>
      </c>
      <c r="D114" s="11" t="s">
        <v>299</v>
      </c>
    </row>
    <row r="115" customHeight="1" spans="2:4">
      <c r="B115" s="9">
        <v>6</v>
      </c>
      <c r="C115" s="10">
        <v>45518</v>
      </c>
      <c r="D115" s="11" t="s">
        <v>297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Revision</vt:lpstr>
      <vt:lpstr>IQC</vt:lpstr>
      <vt:lpstr>Machining</vt:lpstr>
      <vt:lpstr>Surface Treatment</vt:lpstr>
      <vt:lpstr>Assembling</vt:lpstr>
      <vt:lpstr>OQC</vt:lpstr>
      <vt:lpstr>Rel</vt:lpstr>
      <vt:lpstr>Instruction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Yu</dc:creator>
  <cp:lastModifiedBy>WPS_1661306727</cp:lastModifiedBy>
  <dcterms:created xsi:type="dcterms:W3CDTF">2024-06-04T01:55:00Z</dcterms:created>
  <dcterms:modified xsi:type="dcterms:W3CDTF">2025-10-31T09:23:33Z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3733CDE21D211AB06615ED6622430877_43</vt:lpwstr>
  </property>
</Properties>
</file>
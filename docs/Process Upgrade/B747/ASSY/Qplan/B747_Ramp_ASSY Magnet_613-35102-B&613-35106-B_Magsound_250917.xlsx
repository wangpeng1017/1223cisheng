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420" windowHeight="12620"/>
  </bookViews>
  <sheets>
    <sheet name="Revision" sheetId="16" r:id="rId1"/>
    <sheet name="IQC" sheetId="33" r:id="rId2"/>
    <sheet name="Machining" sheetId="38" r:id="rId3"/>
    <sheet name="Surface Treatment" sheetId="41" r:id="rId4"/>
    <sheet name="Assembing" sheetId="42" r:id="rId5"/>
    <sheet name="OQC" sheetId="44" r:id="rId6"/>
    <sheet name="Rel" sheetId="40" r:id="rId7"/>
    <sheet name="Instruction" sheetId="22" r:id="rId8"/>
  </sheets>
  <definedNames>
    <definedName name="_xlnm._FilterDatabase" localSheetId="4" hidden="1">Assembing!$A$7:$I$43</definedName>
    <definedName name="_xlnm._FilterDatabase" localSheetId="2" hidden="1">Machining!$B$7:$J$44</definedName>
    <definedName name="_xlnm._FilterDatabase" localSheetId="3" hidden="1">'Surface Treatment'!$B$7:$J$122</definedName>
    <definedName name="_xlnm._FilterDatabase" localSheetId="1" hidden="1">IQC!$A$7:$E$37</definedName>
    <definedName name="_xlnm._FilterDatabase" localSheetId="6" hidden="1">Rel!$A$8:$E$29</definedName>
    <definedName name="_xlnm._FilterDatabase" localSheetId="5" hidden="1">OQC!$A$7:$E$20</definedName>
  </definedNames>
  <calcPr calcId="144525"/>
</workbook>
</file>

<file path=xl/sharedStrings.xml><?xml version="1.0" encoding="utf-8"?>
<sst xmlns="http://schemas.openxmlformats.org/spreadsheetml/2006/main" count="2922" uniqueCount="473">
  <si>
    <t>Vendor</t>
  </si>
  <si>
    <t>Site</t>
  </si>
  <si>
    <t>Magsound</t>
  </si>
  <si>
    <t>Ningbo</t>
  </si>
  <si>
    <t>Project</t>
  </si>
  <si>
    <t>Build</t>
  </si>
  <si>
    <t>B747 BUD</t>
  </si>
  <si>
    <t>Ramp</t>
  </si>
  <si>
    <t>APN</t>
  </si>
  <si>
    <t>Description</t>
  </si>
  <si>
    <t>160-05811-B(Mirror 160-05815-B)
160-05812-B(Mirror 160-05816-B)
160-05813-B(Mirror 160-05817-B)
160-05814-B(Mirror 160-05816-B)
806-55638-A(Mirror 806-55645-A)</t>
  </si>
  <si>
    <t>IQC</t>
  </si>
  <si>
    <t>160-05811-B(Mirror 160-05815-B)
160-05812-B(Mirror 160-05816-B)
160-05813-B(Mirror 160-05817-B)
160-05814-B(Mirror 160-05816-B)</t>
  </si>
  <si>
    <t>Machining</t>
  </si>
  <si>
    <t>Surface Treatment</t>
  </si>
  <si>
    <t>613-35102-B(Mirror 613-35106-B)</t>
  </si>
  <si>
    <t>Assembing</t>
  </si>
  <si>
    <t>OQC</t>
  </si>
  <si>
    <t>160-05811-B(Mirror 160-05815-B)
160-05812-B(Mirror 160-05816-B)
160-05813-B(Mirror 160-05817-B)
160-05814-B(Mirror 160-05816-B)
806-55638-A(Mirror 806-55645-A)
613-35102-B(Mirror 613-35106-B)</t>
  </si>
  <si>
    <t>Rel</t>
  </si>
  <si>
    <t>Revision</t>
  </si>
  <si>
    <t>Date</t>
  </si>
  <si>
    <t>Revision for</t>
  </si>
  <si>
    <t>Revision Description</t>
  </si>
  <si>
    <t>Editor</t>
  </si>
  <si>
    <t>Approver</t>
  </si>
  <si>
    <t>Yes</t>
  </si>
  <si>
    <t>Initial release for EVT Build</t>
  </si>
  <si>
    <t>Leo Lai</t>
  </si>
  <si>
    <t>Ray Fu</t>
  </si>
  <si>
    <t>Initial release for DVT Build</t>
  </si>
  <si>
    <t>Liao wei</t>
  </si>
  <si>
    <t>Initial release for Ramp Build</t>
  </si>
  <si>
    <t>Updated SF and AF spec</t>
  </si>
  <si>
    <t>Release for Ver. A</t>
  </si>
  <si>
    <t>Add HRE-FREE Specification To Materia</t>
  </si>
  <si>
    <t>Part Name</t>
  </si>
  <si>
    <r>
      <rPr>
        <b/>
        <sz val="11"/>
        <color theme="1"/>
        <rFont val="Arial"/>
        <charset val="134"/>
      </rPr>
      <t>Category</t>
    </r>
    <r>
      <rPr>
        <sz val="11"/>
        <color theme="1"/>
        <rFont val="Arial"/>
        <charset val="134"/>
      </rPr>
      <t xml:space="preserve">
Dim, Cos, Function, ORT, Rel</t>
    </r>
  </si>
  <si>
    <r>
      <rPr>
        <b/>
        <sz val="11"/>
        <color theme="1"/>
        <rFont val="Arial"/>
        <charset val="134"/>
      </rPr>
      <t xml:space="preserve">Description
</t>
    </r>
    <r>
      <rPr>
        <sz val="11"/>
        <color theme="1"/>
        <rFont val="Arial"/>
        <charset val="134"/>
      </rPr>
      <t>Detailed inspection items</t>
    </r>
  </si>
  <si>
    <r>
      <rPr>
        <b/>
        <sz val="11"/>
        <color theme="1"/>
        <rFont val="Arial"/>
        <charset val="134"/>
      </rPr>
      <t xml:space="preserve">Control Plan
</t>
    </r>
    <r>
      <rPr>
        <sz val="11"/>
        <color theme="1"/>
        <rFont val="Arial"/>
        <charset val="134"/>
      </rPr>
      <t>Refer "IQC Reaction Plan"</t>
    </r>
  </si>
  <si>
    <t>Inspection Equipment</t>
  </si>
  <si>
    <t>Sampling Plan</t>
  </si>
  <si>
    <t>Acceptance Criteria</t>
  </si>
  <si>
    <r>
      <rPr>
        <sz val="11"/>
        <color theme="1"/>
        <rFont val="Arial Regular"/>
        <charset val="134"/>
      </rPr>
      <t xml:space="preserve">MAGNET,BUD RET,R1,B747
</t>
    </r>
    <r>
      <rPr>
        <sz val="11"/>
        <color theme="1"/>
        <rFont val="宋体-简"/>
        <charset val="134"/>
      </rPr>
      <t>（</t>
    </r>
    <r>
      <rPr>
        <sz val="11"/>
        <color theme="1"/>
        <rFont val="Arial Regular"/>
        <charset val="134"/>
      </rPr>
      <t>MAGNET,BUD RET,L1,B747</t>
    </r>
    <r>
      <rPr>
        <sz val="11"/>
        <color theme="1"/>
        <rFont val="宋体-简"/>
        <charset val="134"/>
      </rPr>
      <t>）</t>
    </r>
  </si>
  <si>
    <t>160-05811-B
(Mirror 160-05815-B)
N54M , HRE-Free</t>
  </si>
  <si>
    <t>Function</t>
  </si>
  <si>
    <r>
      <rPr>
        <sz val="11"/>
        <color theme="1"/>
        <rFont val="宋体-简"/>
        <charset val="134"/>
      </rPr>
      <t>剩磁</t>
    </r>
    <r>
      <rPr>
        <sz val="11"/>
        <color theme="1"/>
        <rFont val="Arial Regular"/>
        <charset val="134"/>
      </rPr>
      <t xml:space="preserve">
Br 14.5-14.9 kGs</t>
    </r>
  </si>
  <si>
    <r>
      <rPr>
        <sz val="11"/>
        <color theme="1"/>
        <rFont val="宋体-简"/>
        <charset val="134"/>
      </rPr>
      <t>磁性能测试仪</t>
    </r>
    <r>
      <rPr>
        <sz val="11"/>
        <color theme="1"/>
        <rFont val="Arial Regular"/>
        <charset val="134"/>
      </rPr>
      <t>AMT-4
Magnetic permanent tester</t>
    </r>
  </si>
  <si>
    <r>
      <rPr>
        <sz val="11"/>
        <color theme="1"/>
        <rFont val="Arial Regular"/>
        <charset val="134"/>
      </rPr>
      <t>3pcs/Furnace</t>
    </r>
    <r>
      <rPr>
        <sz val="11"/>
        <color theme="1"/>
        <rFont val="宋体-简"/>
        <charset val="134"/>
      </rPr>
      <t>炉</t>
    </r>
  </si>
  <si>
    <r>
      <rPr>
        <sz val="11"/>
        <color theme="1"/>
        <rFont val="Arial Regular"/>
        <charset val="134"/>
      </rPr>
      <t>0</t>
    </r>
    <r>
      <rPr>
        <sz val="11"/>
        <color theme="1"/>
        <rFont val="宋体-简"/>
        <charset val="134"/>
      </rPr>
      <t>收</t>
    </r>
    <r>
      <rPr>
        <sz val="11"/>
        <color theme="1"/>
        <rFont val="Arial Regular"/>
        <charset val="134"/>
      </rPr>
      <t>1</t>
    </r>
    <r>
      <rPr>
        <sz val="11"/>
        <color theme="1"/>
        <rFont val="宋体-简"/>
        <charset val="134"/>
      </rPr>
      <t>退</t>
    </r>
    <r>
      <rPr>
        <sz val="11"/>
        <color theme="1"/>
        <rFont val="Arial Regular"/>
        <charset val="134"/>
      </rPr>
      <t>(Ac=0)</t>
    </r>
  </si>
  <si>
    <r>
      <rPr>
        <sz val="11"/>
        <color theme="1"/>
        <rFont val="SimSun"/>
        <charset val="134"/>
      </rPr>
      <t>最大磁能积</t>
    </r>
    <r>
      <rPr>
        <sz val="11"/>
        <color theme="1"/>
        <rFont val="Arial Regular"/>
        <charset val="134"/>
      </rPr>
      <t xml:space="preserve">
BH max 50-55 MGOe</t>
    </r>
  </si>
  <si>
    <r>
      <rPr>
        <sz val="11"/>
        <rFont val="Arial Regular"/>
        <charset val="134"/>
      </rPr>
      <t>0</t>
    </r>
    <r>
      <rPr>
        <sz val="11"/>
        <rFont val="宋体-简"/>
        <charset val="134"/>
      </rPr>
      <t>收</t>
    </r>
    <r>
      <rPr>
        <sz val="11"/>
        <rFont val="Arial Regular"/>
        <charset val="134"/>
      </rPr>
      <t>1</t>
    </r>
    <r>
      <rPr>
        <sz val="11"/>
        <rFont val="宋体-简"/>
        <charset val="134"/>
      </rPr>
      <t>退</t>
    </r>
    <r>
      <rPr>
        <sz val="11"/>
        <rFont val="Arial Regular"/>
        <charset val="134"/>
      </rPr>
      <t>(Ac=0)</t>
    </r>
  </si>
  <si>
    <r>
      <rPr>
        <sz val="11"/>
        <color theme="1"/>
        <rFont val="宋体-简"/>
        <charset val="134"/>
      </rPr>
      <t>内禀矫顽力</t>
    </r>
    <r>
      <rPr>
        <sz val="11"/>
        <color theme="1"/>
        <rFont val="Arial Regular"/>
        <charset val="134"/>
      </rPr>
      <t xml:space="preserve">
Hcj </t>
    </r>
    <r>
      <rPr>
        <sz val="11"/>
        <color theme="1"/>
        <rFont val="PingFang SC"/>
        <charset val="134"/>
      </rPr>
      <t>&gt;</t>
    </r>
    <r>
      <rPr>
        <sz val="11"/>
        <color theme="1"/>
        <rFont val="Arial Regular"/>
        <charset val="134"/>
      </rPr>
      <t>14 kOe Min</t>
    </r>
  </si>
  <si>
    <t>ORT</t>
  </si>
  <si>
    <r>
      <rPr>
        <sz val="11"/>
        <color theme="1"/>
        <rFont val="宋体-简"/>
        <charset val="134"/>
      </rPr>
      <t>硬度</t>
    </r>
    <r>
      <rPr>
        <sz val="11"/>
        <color theme="1"/>
        <rFont val="Arial Regular"/>
        <charset val="134"/>
      </rPr>
      <t xml:space="preserve">
Hardness HV 600±100</t>
    </r>
  </si>
  <si>
    <r>
      <rPr>
        <sz val="11"/>
        <color theme="1"/>
        <rFont val="宋体-简"/>
        <charset val="134"/>
      </rPr>
      <t>硬度计</t>
    </r>
    <r>
      <rPr>
        <sz val="11"/>
        <color theme="1"/>
        <rFont val="Arial Regular"/>
        <charset val="134"/>
      </rPr>
      <t xml:space="preserve">
Hardmeter HVS-1000</t>
    </r>
  </si>
  <si>
    <r>
      <rPr>
        <sz val="11"/>
        <color rgb="FF000000"/>
        <rFont val="SimSun"/>
        <charset val="134"/>
      </rPr>
      <t>密度</t>
    </r>
    <r>
      <rPr>
        <sz val="11"/>
        <color rgb="FF000000"/>
        <rFont val="Arial Regular"/>
        <charset val="134"/>
      </rPr>
      <t xml:space="preserve">
7.55~7.65 g/cm3</t>
    </r>
  </si>
  <si>
    <r>
      <rPr>
        <sz val="11"/>
        <color theme="1"/>
        <rFont val="宋体-简"/>
        <charset val="134"/>
      </rPr>
      <t>密度</t>
    </r>
    <r>
      <rPr>
        <sz val="11"/>
        <color theme="1"/>
        <rFont val="Arial Regular"/>
        <charset val="134"/>
      </rPr>
      <t xml:space="preserve">
Drainage tester</t>
    </r>
  </si>
  <si>
    <r>
      <rPr>
        <sz val="11"/>
        <color theme="1"/>
        <rFont val="Arial Regular"/>
        <charset val="134"/>
      </rPr>
      <t xml:space="preserve">MAGNET,BUD RET,R2,B747
</t>
    </r>
    <r>
      <rPr>
        <sz val="11"/>
        <color theme="1"/>
        <rFont val="宋体-简"/>
        <charset val="134"/>
      </rPr>
      <t>（</t>
    </r>
    <r>
      <rPr>
        <sz val="11"/>
        <color theme="1"/>
        <rFont val="Arial Regular"/>
        <charset val="134"/>
      </rPr>
      <t>MAGNET,BUD RET,L2,B747</t>
    </r>
    <r>
      <rPr>
        <sz val="11"/>
        <color theme="1"/>
        <rFont val="宋体-简"/>
        <charset val="134"/>
      </rPr>
      <t>）</t>
    </r>
  </si>
  <si>
    <t>160-05812-B
(Mirror 160-05816-B)
N54M , HRE-Free</t>
  </si>
  <si>
    <r>
      <rPr>
        <sz val="11"/>
        <color theme="1"/>
        <rFont val="Arial Regular"/>
        <charset val="134"/>
      </rPr>
      <t xml:space="preserve">MAGNET,BUD RET,R3,B747
</t>
    </r>
    <r>
      <rPr>
        <sz val="11"/>
        <color theme="1"/>
        <rFont val="宋体-简"/>
        <charset val="134"/>
      </rPr>
      <t>（</t>
    </r>
    <r>
      <rPr>
        <sz val="11"/>
        <color theme="1"/>
        <rFont val="Arial Regular"/>
        <charset val="134"/>
      </rPr>
      <t>MAGNET,BUD RET,L3,B747</t>
    </r>
    <r>
      <rPr>
        <sz val="11"/>
        <color theme="1"/>
        <rFont val="宋体-简"/>
        <charset val="134"/>
      </rPr>
      <t>）</t>
    </r>
  </si>
  <si>
    <t>160-05813-B
(Mirror 160-05817-B)
N54M , HRE-Free</t>
  </si>
  <si>
    <r>
      <rPr>
        <sz val="11"/>
        <color theme="1"/>
        <rFont val="宋体-简"/>
        <charset val="134"/>
      </rPr>
      <t>密度</t>
    </r>
    <r>
      <rPr>
        <sz val="11"/>
        <color theme="1"/>
        <rFont val="Arial Regular"/>
        <charset val="134"/>
      </rPr>
      <t xml:space="preserve">
7.55~7.65 g/cm3</t>
    </r>
  </si>
  <si>
    <r>
      <rPr>
        <sz val="11"/>
        <color theme="1"/>
        <rFont val="Arial Regular"/>
        <charset val="134"/>
      </rPr>
      <t xml:space="preserve">MAGNET,BUD RET,R4,B747
</t>
    </r>
    <r>
      <rPr>
        <sz val="11"/>
        <color theme="1"/>
        <rFont val="宋体-简"/>
        <charset val="134"/>
      </rPr>
      <t>（</t>
    </r>
    <r>
      <rPr>
        <sz val="11"/>
        <color theme="1"/>
        <rFont val="Arial Regular"/>
        <charset val="134"/>
      </rPr>
      <t>MAGNET,BUD RET,L4,B747</t>
    </r>
    <r>
      <rPr>
        <sz val="11"/>
        <color theme="1"/>
        <rFont val="宋体-简"/>
        <charset val="134"/>
      </rPr>
      <t>）</t>
    </r>
  </si>
  <si>
    <t>160-05814-B
(Mirror 160-05818-B)
N54M , HRE-Free</t>
  </si>
  <si>
    <r>
      <rPr>
        <sz val="11"/>
        <color theme="1"/>
        <rFont val="Arial Regular"/>
        <charset val="134"/>
      </rPr>
      <t xml:space="preserve">BACKING SHUNT,BUD RET,R,B747
</t>
    </r>
    <r>
      <rPr>
        <sz val="11"/>
        <color theme="1"/>
        <rFont val="宋体-简"/>
        <charset val="134"/>
      </rPr>
      <t>（</t>
    </r>
    <r>
      <rPr>
        <sz val="11"/>
        <color theme="1"/>
        <rFont val="Arial Regular"/>
        <charset val="134"/>
      </rPr>
      <t>BACKING SHUNT,BUD RET,L,B747</t>
    </r>
    <r>
      <rPr>
        <sz val="11"/>
        <color theme="1"/>
        <rFont val="宋体-简"/>
        <charset val="134"/>
      </rPr>
      <t>）</t>
    </r>
  </si>
  <si>
    <t>806-55638-A
(Mirror 806-55645-A)</t>
  </si>
  <si>
    <t>Dim</t>
  </si>
  <si>
    <t>Hardness   Data collect
Raw materials</t>
  </si>
  <si>
    <t>Hardness tester
Supplier testing</t>
  </si>
  <si>
    <t>3pcs/Lot</t>
  </si>
  <si>
    <t>Weight   Data collect</t>
  </si>
  <si>
    <t>Electronic balance</t>
  </si>
  <si>
    <t>32pcs/Lot</t>
  </si>
  <si>
    <t>FAI 1/SPC A  4.07±0.10mm</t>
  </si>
  <si>
    <t>Keyence</t>
  </si>
  <si>
    <t>CPK≥1.33</t>
  </si>
  <si>
    <t>FAI 2/SPC B  9.07± 0.10mm</t>
  </si>
  <si>
    <t>FAI 3/SPC C  2.07± 0.10mm</t>
  </si>
  <si>
    <t>FAI 4/SPC D  0.1 MAX</t>
  </si>
  <si>
    <t>FAI 5/SPC E  0.20±0.10mm</t>
  </si>
  <si>
    <t>MIC</t>
  </si>
  <si>
    <r>
      <rPr>
        <sz val="11"/>
        <color theme="1"/>
        <rFont val="Arial Regular"/>
        <charset val="134"/>
      </rPr>
      <t>Gloss 80~200Gu</t>
    </r>
    <r>
      <rPr>
        <sz val="11"/>
        <color theme="1"/>
        <rFont val="宋体-简"/>
        <charset val="134"/>
      </rPr>
      <t>（</t>
    </r>
    <r>
      <rPr>
        <sz val="11"/>
        <color theme="1"/>
        <rFont val="Arial Regular"/>
        <charset val="134"/>
      </rPr>
      <t>Internal control</t>
    </r>
    <r>
      <rPr>
        <sz val="11"/>
        <color theme="1"/>
        <rFont val="宋体-简"/>
        <charset val="134"/>
      </rPr>
      <t>）</t>
    </r>
  </si>
  <si>
    <r>
      <rPr>
        <sz val="11"/>
        <color theme="1"/>
        <rFont val="宋体-简"/>
        <charset val="134"/>
      </rPr>
      <t>光泽度计</t>
    </r>
    <r>
      <rPr>
        <sz val="11"/>
        <color theme="1"/>
        <rFont val="Arial Regular"/>
        <charset val="134"/>
      </rPr>
      <t xml:space="preserve">
Gloss Meter</t>
    </r>
  </si>
  <si>
    <t>9pcs/Lot</t>
  </si>
  <si>
    <t>No Alert(65%)</t>
  </si>
  <si>
    <r>
      <rPr>
        <sz val="11"/>
        <color theme="1"/>
        <rFont val="Arial Regular"/>
        <charset val="134"/>
      </rPr>
      <t>≥34</t>
    </r>
    <r>
      <rPr>
        <sz val="11"/>
        <color theme="1"/>
        <rFont val="宋体-简"/>
        <charset val="134"/>
      </rPr>
      <t>（</t>
    </r>
    <r>
      <rPr>
        <sz val="11"/>
        <color theme="1"/>
        <rFont val="Arial Regular"/>
        <charset val="134"/>
      </rPr>
      <t>Internal control</t>
    </r>
    <r>
      <rPr>
        <sz val="11"/>
        <color theme="1"/>
        <rFont val="宋体-简"/>
        <charset val="134"/>
      </rPr>
      <t>）</t>
    </r>
  </si>
  <si>
    <r>
      <rPr>
        <sz val="11"/>
        <color theme="1"/>
        <rFont val="宋体-简"/>
        <charset val="134"/>
      </rPr>
      <t>达因笔测试</t>
    </r>
    <r>
      <rPr>
        <sz val="11"/>
        <color theme="1"/>
        <rFont val="Arial Regular"/>
        <charset val="134"/>
      </rPr>
      <t xml:space="preserve">
Dyne test</t>
    </r>
  </si>
  <si>
    <t>Cos</t>
  </si>
  <si>
    <t>069-1770.Class C</t>
  </si>
  <si>
    <t>Visual Inspection</t>
  </si>
  <si>
    <t>GB2828 AQL 0.4 level 2</t>
  </si>
  <si>
    <r>
      <rPr>
        <b/>
        <sz val="11"/>
        <color theme="1"/>
        <rFont val="Arial"/>
        <charset val="134"/>
      </rPr>
      <t>Station</t>
    </r>
    <r>
      <rPr>
        <sz val="11"/>
        <color theme="1"/>
        <rFont val="Arial"/>
        <charset val="134"/>
      </rPr>
      <t xml:space="preserve">
Station No. with Description</t>
    </r>
  </si>
  <si>
    <r>
      <rPr>
        <b/>
        <sz val="11"/>
        <color theme="1"/>
        <rFont val="Arial"/>
        <charset val="134"/>
      </rPr>
      <t>Category</t>
    </r>
    <r>
      <rPr>
        <sz val="11"/>
        <color theme="1"/>
        <rFont val="Arial"/>
        <charset val="134"/>
      </rPr>
      <t xml:space="preserve">
Dim, Cos, Function, ORT</t>
    </r>
  </si>
  <si>
    <r>
      <rPr>
        <b/>
        <sz val="11"/>
        <color theme="1"/>
        <rFont val="Arial"/>
        <charset val="134"/>
      </rPr>
      <t xml:space="preserve">Apple DWG
</t>
    </r>
    <r>
      <rPr>
        <sz val="11"/>
        <color theme="1"/>
        <rFont val="Arial"/>
        <charset val="134"/>
      </rPr>
      <t>Apple official drawing for reference, DO NOT release for online control</t>
    </r>
  </si>
  <si>
    <r>
      <rPr>
        <b/>
        <sz val="11"/>
        <color theme="1"/>
        <rFont val="Arial"/>
        <charset val="134"/>
      </rPr>
      <t>Internal DWG</t>
    </r>
    <r>
      <rPr>
        <sz val="11"/>
        <color theme="1"/>
        <rFont val="Arial"/>
        <charset val="134"/>
      </rPr>
      <t xml:space="preserve">
Vendor internal drawing been used for by station inspections</t>
    </r>
  </si>
  <si>
    <r>
      <rPr>
        <b/>
        <sz val="11"/>
        <color theme="1"/>
        <rFont val="Arial"/>
        <charset val="134"/>
      </rPr>
      <t>FAI Control Plan</t>
    </r>
    <r>
      <rPr>
        <sz val="11"/>
        <color theme="1"/>
        <rFont val="Arial"/>
        <charset val="134"/>
      </rPr>
      <t xml:space="preserve">
Refer "Online Quality Control Reaction Plan"</t>
    </r>
  </si>
  <si>
    <r>
      <rPr>
        <b/>
        <sz val="11"/>
        <color theme="1"/>
        <rFont val="Arial"/>
        <charset val="134"/>
      </rPr>
      <t>IPQC Control Plan</t>
    </r>
    <r>
      <rPr>
        <sz val="11"/>
        <color theme="1"/>
        <rFont val="Arial"/>
        <charset val="134"/>
      </rPr>
      <t xml:space="preserve">
Refer "Online Quality Control Reaction Plan"</t>
    </r>
  </si>
  <si>
    <t>SPC No.</t>
  </si>
  <si>
    <t>FAI No.</t>
  </si>
  <si>
    <t>Spec</t>
  </si>
  <si>
    <t>Dim No.</t>
  </si>
  <si>
    <t>CTQ Category</t>
  </si>
  <si>
    <t>FAI Spec</t>
  </si>
  <si>
    <t>IPQC Spec</t>
  </si>
  <si>
    <t>Inspection Frequency</t>
  </si>
  <si>
    <t>160-05811-B
(Mirror 160-05815-B)</t>
  </si>
  <si>
    <r>
      <rPr>
        <sz val="11"/>
        <color theme="1"/>
        <rFont val="Arial Regular"/>
        <charset val="134"/>
      </rPr>
      <t>1</t>
    </r>
    <r>
      <rPr>
        <sz val="11"/>
        <color theme="1"/>
        <rFont val="宋体-简"/>
        <charset val="134"/>
      </rPr>
      <t>道线锯</t>
    </r>
    <r>
      <rPr>
        <sz val="11"/>
        <color theme="1"/>
        <rFont val="Arial Regular"/>
        <charset val="134"/>
      </rPr>
      <t xml:space="preserve">
1st  Wire Saw</t>
    </r>
  </si>
  <si>
    <t>/</t>
  </si>
  <si>
    <t>6.29±0.05 mm</t>
  </si>
  <si>
    <t>长
Length</t>
  </si>
  <si>
    <t>Not CTQ</t>
  </si>
  <si>
    <t>6.29±0.04 mm</t>
  </si>
  <si>
    <t>5pcs/2h</t>
  </si>
  <si>
    <r>
      <rPr>
        <sz val="11"/>
        <color theme="1"/>
        <rFont val="Arial Regular"/>
        <charset val="134"/>
      </rPr>
      <t>1</t>
    </r>
    <r>
      <rPr>
        <sz val="11"/>
        <color theme="1"/>
        <rFont val="宋体-简"/>
        <charset val="134"/>
      </rPr>
      <t>道双面磨</t>
    </r>
    <r>
      <rPr>
        <sz val="11"/>
        <color theme="1"/>
        <rFont val="Arial Regular"/>
        <charset val="134"/>
      </rPr>
      <t xml:space="preserve">
1st Double Side Grinding</t>
    </r>
  </si>
  <si>
    <t>6.19±0.03 mm</t>
  </si>
  <si>
    <t>6.19±0.02 mm</t>
  </si>
  <si>
    <r>
      <rPr>
        <sz val="11"/>
        <color theme="1"/>
        <rFont val="Arial Regular"/>
        <charset val="134"/>
      </rPr>
      <t>2</t>
    </r>
    <r>
      <rPr>
        <sz val="11"/>
        <color theme="1"/>
        <rFont val="宋体-简"/>
        <charset val="134"/>
      </rPr>
      <t>道线锯</t>
    </r>
    <r>
      <rPr>
        <sz val="11"/>
        <color theme="1"/>
        <rFont val="Arial Regular"/>
        <charset val="134"/>
      </rPr>
      <t xml:space="preserve">
2nd  Wire Saw</t>
    </r>
  </si>
  <si>
    <t>4.20±0.05 mm</t>
  </si>
  <si>
    <t>宽
Width</t>
  </si>
  <si>
    <t>4.20±0.04 mm</t>
  </si>
  <si>
    <r>
      <rPr>
        <sz val="11"/>
        <color theme="1"/>
        <rFont val="Arial Regular"/>
        <charset val="134"/>
      </rPr>
      <t>2</t>
    </r>
    <r>
      <rPr>
        <sz val="11"/>
        <color theme="1"/>
        <rFont val="宋体-简"/>
        <charset val="134"/>
      </rPr>
      <t>道双面磨</t>
    </r>
    <r>
      <rPr>
        <sz val="11"/>
        <color theme="1"/>
        <rFont val="Arial Regular"/>
        <charset val="134"/>
      </rPr>
      <t xml:space="preserve">
2nd Double Side Grinding</t>
    </r>
  </si>
  <si>
    <t>4.10±0.03 mm</t>
  </si>
  <si>
    <t>4.10±0.02 mm</t>
  </si>
  <si>
    <r>
      <rPr>
        <sz val="11"/>
        <color theme="1"/>
        <rFont val="Arial Regular"/>
        <charset val="134"/>
      </rPr>
      <t>1</t>
    </r>
    <r>
      <rPr>
        <sz val="11"/>
        <color theme="1"/>
        <rFont val="宋体-简"/>
        <charset val="134"/>
      </rPr>
      <t>道轮廓磨</t>
    </r>
    <r>
      <rPr>
        <sz val="11"/>
        <color theme="1"/>
        <rFont val="Arial Regular"/>
        <charset val="134"/>
      </rPr>
      <t xml:space="preserve">
1st Profile Grinding</t>
    </r>
  </si>
  <si>
    <t>2.59±0.03 mm</t>
  </si>
  <si>
    <r>
      <rPr>
        <sz val="11"/>
        <color theme="1"/>
        <rFont val="宋体-简"/>
        <charset val="134"/>
      </rPr>
      <t>距离</t>
    </r>
    <r>
      <rPr>
        <sz val="11"/>
        <color theme="1"/>
        <rFont val="Arial Regular"/>
        <charset val="134"/>
      </rPr>
      <t xml:space="preserve">
Distance</t>
    </r>
  </si>
  <si>
    <t>2.59±0.02 mm</t>
  </si>
  <si>
    <t>OMM</t>
  </si>
  <si>
    <t>0.86±0.03 mm</t>
  </si>
  <si>
    <t>0.86±0.02 mm</t>
  </si>
  <si>
    <t>72.70°±0.4°</t>
  </si>
  <si>
    <r>
      <rPr>
        <sz val="11"/>
        <color theme="1"/>
        <rFont val="宋体-简"/>
        <charset val="134"/>
      </rPr>
      <t>角度</t>
    </r>
    <r>
      <rPr>
        <sz val="11"/>
        <color theme="1"/>
        <rFont val="Arial Regular"/>
        <charset val="134"/>
      </rPr>
      <t xml:space="preserve">
Angle</t>
    </r>
  </si>
  <si>
    <t>72.70°±0.3°</t>
  </si>
  <si>
    <r>
      <t>3</t>
    </r>
    <r>
      <rPr>
        <sz val="11"/>
        <color theme="1"/>
        <rFont val="宋体-简"/>
        <charset val="134"/>
      </rPr>
      <t>道线锯</t>
    </r>
    <r>
      <rPr>
        <sz val="11"/>
        <color theme="1"/>
        <rFont val="Arial Regular"/>
        <charset val="134"/>
      </rPr>
      <t xml:space="preserve">
3rd  Wire Saw</t>
    </r>
  </si>
  <si>
    <t>2.81±0.05 mm</t>
  </si>
  <si>
    <r>
      <rPr>
        <sz val="11"/>
        <color theme="1"/>
        <rFont val="宋体-简"/>
        <charset val="134"/>
      </rPr>
      <t>厚度</t>
    </r>
    <r>
      <rPr>
        <sz val="11"/>
        <color theme="1"/>
        <rFont val="Arial Regular"/>
        <charset val="134"/>
      </rPr>
      <t xml:space="preserve">
Thickness</t>
    </r>
  </si>
  <si>
    <t>2.81±0.04 mm</t>
  </si>
  <si>
    <r>
      <rPr>
        <sz val="11"/>
        <color theme="1"/>
        <rFont val="Arial Regular"/>
        <charset val="134"/>
      </rPr>
      <t>3</t>
    </r>
    <r>
      <rPr>
        <sz val="11"/>
        <color theme="1"/>
        <rFont val="宋体-简"/>
        <charset val="134"/>
      </rPr>
      <t>道双面磨</t>
    </r>
    <r>
      <rPr>
        <sz val="11"/>
        <color theme="1"/>
        <rFont val="Arial Regular"/>
        <charset val="134"/>
      </rPr>
      <t xml:space="preserve">
3rd Double Side Grinding</t>
    </r>
  </si>
  <si>
    <t>2.71±0.03 mm</t>
  </si>
  <si>
    <t>2.71±0.02 mm</t>
  </si>
  <si>
    <r>
      <rPr>
        <sz val="11"/>
        <color theme="1"/>
        <rFont val="宋体-简"/>
        <charset val="134"/>
      </rPr>
      <t>2道轮廓磨</t>
    </r>
    <r>
      <rPr>
        <sz val="11"/>
        <color theme="1"/>
        <rFont val="Arial Regular"/>
        <charset val="134"/>
      </rPr>
      <t xml:space="preserve">
2nd Profile Grinding</t>
    </r>
  </si>
  <si>
    <t>0.08 max</t>
  </si>
  <si>
    <t>轮廓度
Profile</t>
  </si>
  <si>
    <t>0.06 max</t>
  </si>
  <si>
    <t>CMM</t>
  </si>
  <si>
    <t>160-05812-B
(Mirror 160-05816-B)</t>
  </si>
  <si>
    <t>5.57 ±0.05 mm</t>
  </si>
  <si>
    <r>
      <rPr>
        <sz val="11"/>
        <color theme="1"/>
        <rFont val="宋体-简"/>
        <charset val="134"/>
      </rPr>
      <t>长</t>
    </r>
    <r>
      <rPr>
        <sz val="11"/>
        <color theme="1"/>
        <rFont val="Arial Regular"/>
        <charset val="134"/>
      </rPr>
      <t xml:space="preserve">
Length</t>
    </r>
  </si>
  <si>
    <t>5.57 ±0.04 mm</t>
  </si>
  <si>
    <t>5.47±0.03 mm</t>
  </si>
  <si>
    <t>5.47±0.02 mm</t>
  </si>
  <si>
    <t>4.14±0.05 mm</t>
  </si>
  <si>
    <t>4.14±0.04 mm</t>
  </si>
  <si>
    <t>4.04± 0.03 mm</t>
  </si>
  <si>
    <t>4.04± 0.02 mm</t>
  </si>
  <si>
    <t>0.80±0.03 mm</t>
  </si>
  <si>
    <t>0.80±0.02 mm</t>
  </si>
  <si>
    <r>
      <rPr>
        <sz val="11"/>
        <color theme="1"/>
        <rFont val="Arial Regular"/>
        <charset val="134"/>
      </rPr>
      <t>3</t>
    </r>
    <r>
      <rPr>
        <sz val="11"/>
        <color theme="1"/>
        <rFont val="宋体-简"/>
        <charset val="134"/>
      </rPr>
      <t>道线锯</t>
    </r>
    <r>
      <rPr>
        <sz val="11"/>
        <color theme="1"/>
        <rFont val="Arial Regular"/>
        <charset val="134"/>
      </rPr>
      <t xml:space="preserve">
3rd  Wire Saw</t>
    </r>
  </si>
  <si>
    <t>2.67±0.05 mm</t>
  </si>
  <si>
    <t>2.67±0.04 mm</t>
  </si>
  <si>
    <t>2.57±0.03  mm</t>
  </si>
  <si>
    <t>2.57±0.02  mm</t>
  </si>
  <si>
    <t>轮廓度 1
Profile 1</t>
  </si>
  <si>
    <t>轮廓度 2
Profile 2</t>
  </si>
  <si>
    <t>160-05813-B
(Mirror 160-05817-B)</t>
  </si>
  <si>
    <t>4.28 ±0.05 mm</t>
  </si>
  <si>
    <t>4.28 ±0.04 mm</t>
  </si>
  <si>
    <t>4.18 ±0.03 mm</t>
  </si>
  <si>
    <t>4.18 ±0.02 mm</t>
  </si>
  <si>
    <t>3.90 ±0.05 mm</t>
  </si>
  <si>
    <t>3.90 ±0.04 mm</t>
  </si>
  <si>
    <t>3.80± 0.03 mm</t>
  </si>
  <si>
    <t>3.80± 0.02 mm</t>
  </si>
  <si>
    <t>0.56±0.03 mm</t>
  </si>
  <si>
    <t>0.56±0.02 mm</t>
  </si>
  <si>
    <t>2.57±0.03 mm</t>
  </si>
  <si>
    <t>2.57±0.02 mm</t>
  </si>
  <si>
    <t>160-05814-B
(Mirror 160-05818-B)</t>
  </si>
  <si>
    <t>4.36±0.05 mm</t>
  </si>
  <si>
    <t>4.36±0.04 mm</t>
  </si>
  <si>
    <t>4.26±0.03 mm</t>
  </si>
  <si>
    <t>4.26±0.02 mm</t>
  </si>
  <si>
    <t>3.90±0.05 mm</t>
  </si>
  <si>
    <t>3.90±0.04mm</t>
  </si>
  <si>
    <t>3.90±0.04 mm</t>
  </si>
  <si>
    <t>3.80±0.03 mm</t>
  </si>
  <si>
    <t>3.80±0.02 mm</t>
  </si>
  <si>
    <t>0.46±0.03 mm</t>
  </si>
  <si>
    <t>0.46±0.02 mm</t>
  </si>
  <si>
    <r>
      <rPr>
        <sz val="11"/>
        <color theme="1"/>
        <rFont val="宋体-简"/>
        <charset val="134"/>
      </rPr>
      <t>3道轮廓磨</t>
    </r>
    <r>
      <rPr>
        <sz val="11"/>
        <color theme="1"/>
        <rFont val="Arial Regular"/>
        <charset val="134"/>
      </rPr>
      <t xml:space="preserve">
3rd Profile Grinding</t>
    </r>
  </si>
  <si>
    <t>滚动研磨
Tumbling</t>
  </si>
  <si>
    <t>≤0.2mm</t>
  </si>
  <si>
    <r>
      <rPr>
        <sz val="11"/>
        <rFont val="宋体-简"/>
        <charset val="134"/>
      </rPr>
      <t>倒角度</t>
    </r>
    <r>
      <rPr>
        <sz val="11"/>
        <rFont val="Arial"/>
        <charset val="134"/>
      </rPr>
      <t xml:space="preserve">
Corner radius</t>
    </r>
  </si>
  <si>
    <t>0.1-0.2mm</t>
  </si>
  <si>
    <r>
      <rPr>
        <sz val="11"/>
        <rFont val="宋体-简"/>
        <charset val="134"/>
      </rPr>
      <t>投影仪</t>
    </r>
    <r>
      <rPr>
        <sz val="11"/>
        <rFont val="Arial"/>
        <charset val="134"/>
      </rPr>
      <t xml:space="preserve">
Profile Projector</t>
    </r>
  </si>
  <si>
    <t>投影仪
Profile Projector</t>
  </si>
  <si>
    <t>5pcs/Barrel</t>
  </si>
  <si>
    <r>
      <rPr>
        <sz val="11"/>
        <color theme="1"/>
        <rFont val="Arial"/>
        <charset val="134"/>
      </rPr>
      <t xml:space="preserve">NiCuNi </t>
    </r>
    <r>
      <rPr>
        <sz val="11"/>
        <color theme="1"/>
        <rFont val="宋体-简"/>
        <charset val="134"/>
      </rPr>
      <t>电镀</t>
    </r>
    <r>
      <rPr>
        <sz val="11"/>
        <color theme="1"/>
        <rFont val="Arial"/>
        <charset val="134"/>
      </rPr>
      <t xml:space="preserve">
NiCuNi Plating</t>
    </r>
  </si>
  <si>
    <r>
      <rPr>
        <sz val="11"/>
        <rFont val="Arial Regular"/>
        <charset val="134"/>
      </rPr>
      <t>Ni</t>
    </r>
    <r>
      <rPr>
        <sz val="11"/>
        <rFont val="宋体-简"/>
        <charset val="134"/>
      </rPr>
      <t>：</t>
    </r>
    <r>
      <rPr>
        <sz val="11"/>
        <rFont val="Arial Regular"/>
        <charset val="134"/>
      </rPr>
      <t>2.0</t>
    </r>
    <r>
      <rPr>
        <sz val="11"/>
        <rFont val="宋体-简"/>
        <charset val="134"/>
      </rPr>
      <t>～</t>
    </r>
    <r>
      <rPr>
        <sz val="11"/>
        <rFont val="Arial Regular"/>
        <charset val="134"/>
      </rPr>
      <t>5.0μm
Cu</t>
    </r>
    <r>
      <rPr>
        <sz val="11"/>
        <rFont val="宋体-简"/>
        <charset val="134"/>
      </rPr>
      <t>：</t>
    </r>
    <r>
      <rPr>
        <sz val="11"/>
        <rFont val="Arial Regular"/>
        <charset val="134"/>
      </rPr>
      <t>2.0</t>
    </r>
    <r>
      <rPr>
        <sz val="11"/>
        <rFont val="宋体-简"/>
        <charset val="134"/>
      </rPr>
      <t>～</t>
    </r>
    <r>
      <rPr>
        <sz val="11"/>
        <rFont val="Arial Regular"/>
        <charset val="134"/>
      </rPr>
      <t>5.0μm
Ni</t>
    </r>
    <r>
      <rPr>
        <sz val="11"/>
        <rFont val="宋体-简"/>
        <charset val="134"/>
      </rPr>
      <t>：</t>
    </r>
    <r>
      <rPr>
        <sz val="11"/>
        <rFont val="Arial Regular"/>
        <charset val="134"/>
      </rPr>
      <t>3.0</t>
    </r>
    <r>
      <rPr>
        <sz val="11"/>
        <rFont val="宋体-简"/>
        <charset val="134"/>
      </rPr>
      <t>～</t>
    </r>
    <r>
      <rPr>
        <sz val="11"/>
        <rFont val="Arial Regular"/>
        <charset val="134"/>
      </rPr>
      <t>9.0μm
Total</t>
    </r>
    <r>
      <rPr>
        <sz val="11"/>
        <rFont val="宋体-简"/>
        <charset val="134"/>
      </rPr>
      <t>：</t>
    </r>
    <r>
      <rPr>
        <sz val="11"/>
        <rFont val="Arial Regular"/>
        <charset val="134"/>
      </rPr>
      <t>7.0</t>
    </r>
    <r>
      <rPr>
        <sz val="11"/>
        <rFont val="宋体-简"/>
        <charset val="134"/>
      </rPr>
      <t>～</t>
    </r>
    <r>
      <rPr>
        <sz val="11"/>
        <rFont val="Arial Regular"/>
        <charset val="134"/>
      </rPr>
      <t>19.0μm</t>
    </r>
  </si>
  <si>
    <r>
      <rPr>
        <sz val="11"/>
        <rFont val="宋体-简"/>
        <charset val="134"/>
      </rPr>
      <t>单边镀层厚度</t>
    </r>
    <r>
      <rPr>
        <sz val="11"/>
        <rFont val="Arial"/>
        <charset val="134"/>
      </rPr>
      <t xml:space="preserve">
Single side plating thickness</t>
    </r>
  </si>
  <si>
    <r>
      <rPr>
        <sz val="11"/>
        <rFont val="Arial"/>
        <charset val="134"/>
      </rPr>
      <t>X</t>
    </r>
    <r>
      <rPr>
        <sz val="11"/>
        <rFont val="宋体-简"/>
        <charset val="134"/>
      </rPr>
      <t>射线测厚仪</t>
    </r>
    <r>
      <rPr>
        <sz val="11"/>
        <rFont val="Arial"/>
        <charset val="134"/>
      </rPr>
      <t xml:space="preserve">
EDXRF Spectrometer</t>
    </r>
  </si>
  <si>
    <t>X射线测厚仪
EDXRF Spectrometer</t>
  </si>
  <si>
    <t>9pcs/Barrel</t>
  </si>
  <si>
    <t>80-200 GU</t>
  </si>
  <si>
    <r>
      <rPr>
        <sz val="11"/>
        <rFont val="宋体-简"/>
        <charset val="134"/>
      </rPr>
      <t>光泽</t>
    </r>
    <r>
      <rPr>
        <sz val="11"/>
        <rFont val="Arial"/>
        <charset val="134"/>
      </rPr>
      <t xml:space="preserve">
Gloss</t>
    </r>
  </si>
  <si>
    <r>
      <rPr>
        <sz val="11"/>
        <rFont val="宋体-简"/>
        <charset val="134"/>
      </rPr>
      <t>光泽度计</t>
    </r>
    <r>
      <rPr>
        <sz val="11"/>
        <rFont val="Arial"/>
        <charset val="134"/>
      </rPr>
      <t xml:space="preserve">
Gloss Meter</t>
    </r>
  </si>
  <si>
    <t>光泽度计
Gloss Meter</t>
  </si>
  <si>
    <t>Data collect</t>
  </si>
  <si>
    <r>
      <rPr>
        <sz val="11"/>
        <rFont val="宋体-简"/>
        <charset val="134"/>
      </rPr>
      <t>色差</t>
    </r>
    <r>
      <rPr>
        <sz val="11"/>
        <rFont val="Arial"/>
        <charset val="134"/>
      </rPr>
      <t xml:space="preserve">
Color</t>
    </r>
  </si>
  <si>
    <r>
      <rPr>
        <sz val="11"/>
        <rFont val="宋体-简"/>
        <charset val="134"/>
      </rPr>
      <t>色差计</t>
    </r>
    <r>
      <rPr>
        <sz val="11"/>
        <rFont val="Arial Regular"/>
        <charset val="134"/>
      </rPr>
      <t xml:space="preserve">
Color Meter</t>
    </r>
  </si>
  <si>
    <t>3pcs/Barrel</t>
  </si>
  <si>
    <r>
      <rPr>
        <sz val="11"/>
        <rFont val="宋体-简"/>
        <charset val="134"/>
      </rPr>
      <t>粗糙度</t>
    </r>
    <r>
      <rPr>
        <sz val="11"/>
        <rFont val="Arial Regular"/>
        <charset val="134"/>
      </rPr>
      <t xml:space="preserve"> X/Y
Roughness X/Y</t>
    </r>
  </si>
  <si>
    <r>
      <rPr>
        <sz val="11"/>
        <rFont val="SimSun"/>
        <charset val="134"/>
      </rPr>
      <t>粗糙度仪</t>
    </r>
    <r>
      <rPr>
        <sz val="11"/>
        <rFont val="Arial Regular"/>
        <charset val="134"/>
      </rPr>
      <t xml:space="preserve">
Roughness Meter</t>
    </r>
  </si>
  <si>
    <t>4B</t>
  </si>
  <si>
    <r>
      <rPr>
        <sz val="11"/>
        <rFont val="宋体-简"/>
        <charset val="134"/>
      </rPr>
      <t>百格测试</t>
    </r>
    <r>
      <rPr>
        <sz val="11"/>
        <rFont val="Arial"/>
        <charset val="134"/>
      </rPr>
      <t xml:space="preserve">
Cross hatch testing</t>
    </r>
  </si>
  <si>
    <r>
      <rPr>
        <sz val="11"/>
        <rFont val="宋体-简"/>
        <charset val="134"/>
      </rPr>
      <t>划格刀</t>
    </r>
    <r>
      <rPr>
        <sz val="11"/>
        <rFont val="Arial"/>
        <charset val="134"/>
      </rPr>
      <t xml:space="preserve">
Knife</t>
    </r>
  </si>
  <si>
    <t>划格刀
Knife</t>
  </si>
  <si>
    <t>≥34</t>
  </si>
  <si>
    <r>
      <rPr>
        <sz val="11"/>
        <rFont val="宋体-简"/>
        <charset val="134"/>
      </rPr>
      <t>达因笔测试</t>
    </r>
    <r>
      <rPr>
        <sz val="11"/>
        <rFont val="Arial"/>
        <charset val="134"/>
      </rPr>
      <t xml:space="preserve">
Dyne test</t>
    </r>
  </si>
  <si>
    <r>
      <rPr>
        <sz val="11"/>
        <rFont val="宋体-简"/>
        <charset val="134"/>
      </rPr>
      <t>达因笔</t>
    </r>
    <r>
      <rPr>
        <sz val="11"/>
        <rFont val="Arial"/>
        <charset val="134"/>
      </rPr>
      <t xml:space="preserve">
Dyne pen</t>
    </r>
  </si>
  <si>
    <t>达因笔
Dyne pen</t>
  </si>
  <si>
    <r>
      <rPr>
        <sz val="11"/>
        <rFont val="宋体-简"/>
        <charset val="134"/>
      </rPr>
      <t>外观</t>
    </r>
    <r>
      <rPr>
        <sz val="11"/>
        <rFont val="Arial"/>
        <charset val="134"/>
      </rPr>
      <t xml:space="preserve">
Cosmetic</t>
    </r>
  </si>
  <si>
    <r>
      <rPr>
        <sz val="11"/>
        <rFont val="宋体-简"/>
        <charset val="134"/>
      </rPr>
      <t>目视</t>
    </r>
    <r>
      <rPr>
        <sz val="11"/>
        <rFont val="Arial"/>
        <charset val="134"/>
      </rPr>
      <t xml:space="preserve">
Visual</t>
    </r>
  </si>
  <si>
    <t>目视
Visual</t>
  </si>
  <si>
    <t>GB2828 AQL 0.65 level 2</t>
  </si>
  <si>
    <t>160-05811-B(Mirror 160-05815-B)</t>
  </si>
  <si>
    <r>
      <rPr>
        <sz val="11"/>
        <color theme="1"/>
        <rFont val="Arial"/>
        <charset val="134"/>
      </rPr>
      <t>IPQC</t>
    </r>
    <r>
      <rPr>
        <sz val="11"/>
        <color theme="1"/>
        <rFont val="宋体-简"/>
        <charset val="134"/>
      </rPr>
      <t>检验</t>
    </r>
  </si>
  <si>
    <t>A</t>
  </si>
  <si>
    <t>2.71±0.10  mm</t>
  </si>
  <si>
    <t>FAI 1/SPC A</t>
  </si>
  <si>
    <t>2.71±0.08  mm</t>
  </si>
  <si>
    <t>厚度
Thickness</t>
  </si>
  <si>
    <t>B</t>
  </si>
  <si>
    <t>6.19± 0.10  mm</t>
  </si>
  <si>
    <t>FAI 2/SPC B</t>
  </si>
  <si>
    <t>6.19± 0.08  mm</t>
  </si>
  <si>
    <t>C</t>
  </si>
  <si>
    <t>4.10± 0.10  mm</t>
  </si>
  <si>
    <t>FAI 3/SPC C</t>
  </si>
  <si>
    <t>D</t>
  </si>
  <si>
    <t>FAI 4/SPC D</t>
  </si>
  <si>
    <t>0.08max</t>
  </si>
  <si>
    <t>面轮廓
Surface profile</t>
  </si>
  <si>
    <t>E</t>
  </si>
  <si>
    <t>2.59± 0.10 mm</t>
  </si>
  <si>
    <t>FAI 5/SPC E</t>
  </si>
  <si>
    <t>2.59± 0.08 mm</t>
  </si>
  <si>
    <r>
      <rPr>
        <sz val="11"/>
        <rFont val="宋体-简"/>
        <charset val="134"/>
      </rPr>
      <t>距离</t>
    </r>
    <r>
      <rPr>
        <sz val="11"/>
        <rFont val="Arial"/>
        <charset val="134"/>
      </rPr>
      <t xml:space="preserve">
distance</t>
    </r>
  </si>
  <si>
    <t>F</t>
  </si>
  <si>
    <t>0.86± 0.10 mm</t>
  </si>
  <si>
    <t>FAI 6/SPC F</t>
  </si>
  <si>
    <t>0.86± 0.08 mm</t>
  </si>
  <si>
    <t>G</t>
  </si>
  <si>
    <t>2.56± 0.10 mm</t>
  </si>
  <si>
    <t>FAI 7/SPC G</t>
  </si>
  <si>
    <t>2.56± 0.08 mm</t>
  </si>
  <si>
    <t>H</t>
  </si>
  <si>
    <t>FAI 8/SPC H</t>
  </si>
  <si>
    <t>Top layer: Ni
2.0-5.0μm</t>
  </si>
  <si>
    <t>Plating Thickness</t>
  </si>
  <si>
    <r>
      <rPr>
        <sz val="11"/>
        <rFont val="宋体-简"/>
        <charset val="134"/>
      </rPr>
      <t>切片</t>
    </r>
    <r>
      <rPr>
        <sz val="11"/>
        <rFont val="Arial"/>
        <charset val="134"/>
      </rPr>
      <t>+</t>
    </r>
    <r>
      <rPr>
        <sz val="11"/>
        <rFont val="宋体-简"/>
        <charset val="134"/>
      </rPr>
      <t>金相</t>
    </r>
    <r>
      <rPr>
        <sz val="11"/>
        <rFont val="Arial"/>
        <charset val="134"/>
      </rPr>
      <t xml:space="preserve">
Section+Optical Microscope</t>
    </r>
  </si>
  <si>
    <r>
      <rPr>
        <sz val="11"/>
        <color theme="1"/>
        <rFont val="宋体-简"/>
        <charset val="134"/>
      </rPr>
      <t>切片</t>
    </r>
    <r>
      <rPr>
        <sz val="11"/>
        <color theme="1"/>
        <rFont val="Arial"/>
        <charset val="134"/>
      </rPr>
      <t>+</t>
    </r>
    <r>
      <rPr>
        <sz val="11"/>
        <color theme="1"/>
        <rFont val="宋体-简"/>
        <charset val="134"/>
      </rPr>
      <t>金相</t>
    </r>
    <r>
      <rPr>
        <sz val="11"/>
        <color theme="1"/>
        <rFont val="Arial"/>
        <charset val="134"/>
      </rPr>
      <t xml:space="preserve">
Section+Optical Microscope</t>
    </r>
  </si>
  <si>
    <t>Mid layer: Cu
2.0-5.0μm</t>
  </si>
  <si>
    <t>Base layer: Ni
3.0-9.0μm</t>
  </si>
  <si>
    <t>Single sided plating thickness
7.0-19.0μm</t>
  </si>
  <si>
    <t>I</t>
  </si>
  <si>
    <t>8.002±0.40 μWb*cm</t>
  </si>
  <si>
    <t>FAI 9/SPC I</t>
  </si>
  <si>
    <t>Magnetic Moment</t>
  </si>
  <si>
    <t>8.002±0.32 μWb*cm</t>
  </si>
  <si>
    <t>Three-dimensional coil tester</t>
  </si>
  <si>
    <t>J</t>
  </si>
  <si>
    <t>70.00±7°</t>
  </si>
  <si>
    <t>70.00°±5.0°</t>
  </si>
  <si>
    <t>Polarity Angle</t>
  </si>
  <si>
    <r>
      <rPr>
        <sz val="11"/>
        <color theme="1"/>
        <rFont val="Arial"/>
        <charset val="134"/>
      </rPr>
      <t>AOI 100%</t>
    </r>
    <r>
      <rPr>
        <sz val="11"/>
        <color theme="1"/>
        <rFont val="宋体-简"/>
        <charset val="134"/>
      </rPr>
      <t>检验</t>
    </r>
    <r>
      <rPr>
        <sz val="11"/>
        <color theme="1"/>
        <rFont val="Arial"/>
        <charset val="134"/>
      </rPr>
      <t xml:space="preserve">
AOI 100%inspection</t>
    </r>
  </si>
  <si>
    <t>2.71±0.09  mm</t>
  </si>
  <si>
    <t>3pcs/4h</t>
  </si>
  <si>
    <t>6.19± 0.09  mm</t>
  </si>
  <si>
    <t>4.10± 0.09  mm</t>
  </si>
  <si>
    <t>2.59± 0.09 mm</t>
  </si>
  <si>
    <t>0.86± 0.09 mm</t>
  </si>
  <si>
    <t>2.56± 0.09 mm</t>
  </si>
  <si>
    <t>500pcs/4h</t>
  </si>
  <si>
    <t>160-05812-B(Mirror 160-05816-B)</t>
  </si>
  <si>
    <t>2.57±0.10 mm</t>
  </si>
  <si>
    <r>
      <rPr>
        <sz val="11"/>
        <rFont val="宋体-简"/>
        <charset val="134"/>
      </rPr>
      <t>厚度</t>
    </r>
    <r>
      <rPr>
        <sz val="11"/>
        <rFont val="Arial Regular"/>
        <charset val="134"/>
      </rPr>
      <t xml:space="preserve">
Thickness</t>
    </r>
  </si>
  <si>
    <t>2.57±0.08 mm</t>
  </si>
  <si>
    <t>5.49±0.10 mm</t>
  </si>
  <si>
    <t>5.49±0.08 mm</t>
  </si>
  <si>
    <r>
      <rPr>
        <sz val="11"/>
        <rFont val="宋体-简"/>
        <charset val="134"/>
      </rPr>
      <t>长</t>
    </r>
    <r>
      <rPr>
        <sz val="11"/>
        <rFont val="Arial"/>
        <charset val="134"/>
      </rPr>
      <t xml:space="preserve">
Length</t>
    </r>
  </si>
  <si>
    <t>4.04± 0.10 mm</t>
  </si>
  <si>
    <t>4.04± 0.08 mm</t>
  </si>
  <si>
    <r>
      <rPr>
        <sz val="11"/>
        <rFont val="宋体-简"/>
        <charset val="134"/>
      </rPr>
      <t>宽</t>
    </r>
    <r>
      <rPr>
        <sz val="11"/>
        <rFont val="Arial"/>
        <charset val="134"/>
      </rPr>
      <t xml:space="preserve">
Width</t>
    </r>
  </si>
  <si>
    <r>
      <rPr>
        <sz val="11"/>
        <rFont val="宋体-简"/>
        <charset val="134"/>
      </rPr>
      <t>面轮廓</t>
    </r>
    <r>
      <rPr>
        <sz val="11"/>
        <rFont val="Arial"/>
        <charset val="134"/>
      </rPr>
      <t xml:space="preserve">
Surface profile</t>
    </r>
  </si>
  <si>
    <t>0.80± 0.10 mm</t>
  </si>
  <si>
    <t>0.80± 0.08 mm</t>
  </si>
  <si>
    <t>5.663 ±0.283 μWb*cm</t>
  </si>
  <si>
    <t>FAI 10/SPC J</t>
  </si>
  <si>
    <t>5.663 ±0.226 μWb*cm</t>
  </si>
  <si>
    <t>K</t>
  </si>
  <si>
    <t>30±7°</t>
  </si>
  <si>
    <t>30±5°</t>
  </si>
  <si>
    <t>2.57±0.09 mm</t>
  </si>
  <si>
    <t>5.49±0.09 mm</t>
  </si>
  <si>
    <t>4.04± 0.09 mm</t>
  </si>
  <si>
    <t>0.80± 0.09 mm</t>
  </si>
  <si>
    <t>160-05813-B(Mirror 160-05817-B)</t>
  </si>
  <si>
    <t>4.18±0.10 mm</t>
  </si>
  <si>
    <t>4.18±0.08 mm</t>
  </si>
  <si>
    <t>3.80±0.10 mm</t>
  </si>
  <si>
    <t>3.80±0.08 mm</t>
  </si>
  <si>
    <t>0.56± 0.10 mm</t>
  </si>
  <si>
    <t>0.56± 0.08 mm</t>
  </si>
  <si>
    <t>4.664 ±0.233 μWb*cm</t>
  </si>
  <si>
    <t>4.664 ±0.186 μWb*cm</t>
  </si>
  <si>
    <t>10±7°</t>
  </si>
  <si>
    <t>10±5°</t>
  </si>
  <si>
    <t>4.18±0.09 mm</t>
  </si>
  <si>
    <t>3.80±0.09 mm</t>
  </si>
  <si>
    <t>0.56± 0.09 mm</t>
  </si>
  <si>
    <t>160-05814-B(Mirror 160-05818-B)</t>
  </si>
  <si>
    <t>1.98± 0.10 mm</t>
  </si>
  <si>
    <t>1.98± 0.08 mm</t>
  </si>
  <si>
    <t>4.26± 0.10 mm</t>
  </si>
  <si>
    <t>4.26± 0.08 mm</t>
  </si>
  <si>
    <t>0.46±0.10 mm</t>
  </si>
  <si>
    <t>0.46±0.08 mm</t>
  </si>
  <si>
    <t>2.59±0.10 mm</t>
  </si>
  <si>
    <t>2.59±0.08 mm</t>
  </si>
  <si>
    <t>0.56±0.10 mm</t>
  </si>
  <si>
    <t>0.56±0.08 mm</t>
  </si>
  <si>
    <t>2.56±0.10 mm</t>
  </si>
  <si>
    <t>2.56±0.08 mm</t>
  </si>
  <si>
    <t>3.128 ±0.156 μWb*cm</t>
  </si>
  <si>
    <t>3.128 ±0.124 μWb*cm</t>
  </si>
  <si>
    <t>40±7°</t>
  </si>
  <si>
    <t>40±5°</t>
  </si>
  <si>
    <t>1.98± 0.09 mm</t>
  </si>
  <si>
    <t>4.26± 0.09 mm</t>
  </si>
  <si>
    <t>0.46±0.09 mm</t>
  </si>
  <si>
    <t>2.59±0.09 mm</t>
  </si>
  <si>
    <t>0.56±0.09 mm</t>
  </si>
  <si>
    <t>2.56±0.09 mm</t>
  </si>
  <si>
    <t>Magnetization
160-05811-90(Mirror 160-05815-90)</t>
  </si>
  <si>
    <r>
      <rPr>
        <sz val="11"/>
        <rFont val="Arial"/>
        <charset val="134"/>
      </rPr>
      <t xml:space="preserve">MM
</t>
    </r>
    <r>
      <rPr>
        <sz val="11"/>
        <rFont val="宋体-简"/>
        <charset val="134"/>
      </rPr>
      <t>磁矩</t>
    </r>
  </si>
  <si>
    <t>Critical to FATP</t>
  </si>
  <si>
    <t>5pcs/4h</t>
  </si>
  <si>
    <t>The outline of the image displayed on the magnetic film is clearly visible</t>
  </si>
  <si>
    <t>Magnetic film</t>
  </si>
  <si>
    <r>
      <rPr>
        <sz val="11"/>
        <rFont val="宋体-简"/>
        <charset val="134"/>
      </rPr>
      <t>磁极片</t>
    </r>
    <r>
      <rPr>
        <sz val="11"/>
        <rFont val="Arial"/>
        <charset val="134"/>
      </rPr>
      <t xml:space="preserve">
Magnetic film</t>
    </r>
  </si>
  <si>
    <t>NPI Production:100% inspection</t>
  </si>
  <si>
    <t>Polarity Check</t>
  </si>
  <si>
    <t>Polarity</t>
  </si>
  <si>
    <r>
      <rPr>
        <sz val="11"/>
        <rFont val="宋体-简"/>
        <charset val="134"/>
      </rPr>
      <t>极性笔</t>
    </r>
    <r>
      <rPr>
        <sz val="11"/>
        <rFont val="Arial"/>
        <charset val="134"/>
      </rPr>
      <t xml:space="preserve">
Polar Pen</t>
    </r>
  </si>
  <si>
    <t>Magnetization
160-05812-90(Mirror 160-05816-90)</t>
  </si>
  <si>
    <t>Magnetization
160-05813-90(Mirror 160-05817-90)</t>
  </si>
  <si>
    <t>Magnetization
160-05814-90(Mirror 160-05818-90)</t>
  </si>
  <si>
    <t>3.128 ±0.56 μWb*cm</t>
  </si>
  <si>
    <t>Assembling</t>
  </si>
  <si>
    <t>4.30±0.10 mm</t>
  </si>
  <si>
    <t>4.30±0.08 mm</t>
  </si>
  <si>
    <t>距离
Distance</t>
  </si>
  <si>
    <t>HG</t>
  </si>
  <si>
    <t>6.19±0.10 mm</t>
  </si>
  <si>
    <t>6.19±0.08 mm</t>
  </si>
  <si>
    <t>9.83±0.10 mm</t>
  </si>
  <si>
    <t>9.83±0.08 mm</t>
  </si>
  <si>
    <t>max 0.10</t>
  </si>
  <si>
    <t>max 0.12</t>
  </si>
  <si>
    <r>
      <rPr>
        <sz val="11"/>
        <color theme="1"/>
        <rFont val="宋体-简"/>
        <charset val="134"/>
      </rPr>
      <t>轮廓度</t>
    </r>
    <r>
      <rPr>
        <sz val="11"/>
        <color theme="1"/>
        <rFont val="Arial"/>
        <charset val="134"/>
      </rPr>
      <t xml:space="preserve">
Profile</t>
    </r>
  </si>
  <si>
    <t>4*max 0.04</t>
  </si>
  <si>
    <t>max 0.04</t>
  </si>
  <si>
    <t>Magnetic show</t>
  </si>
  <si>
    <t>50pcs/2h</t>
  </si>
  <si>
    <r>
      <rPr>
        <sz val="11"/>
        <color theme="1"/>
        <rFont val="宋体-简"/>
        <charset val="134"/>
      </rPr>
      <t>极性测试</t>
    </r>
    <r>
      <rPr>
        <sz val="11"/>
        <color theme="1"/>
        <rFont val="Arial Regular"/>
        <charset val="134"/>
      </rPr>
      <t xml:space="preserve">
Polarity test</t>
    </r>
  </si>
  <si>
    <r>
      <rPr>
        <sz val="11"/>
        <color theme="1"/>
        <rFont val="宋体-简"/>
        <charset val="134"/>
      </rPr>
      <t>极性笔</t>
    </r>
    <r>
      <rPr>
        <sz val="11"/>
        <color theme="1"/>
        <rFont val="Arial Regular"/>
        <charset val="134"/>
      </rPr>
      <t xml:space="preserve">
Magnetic Pen</t>
    </r>
  </si>
  <si>
    <t>OQC ≥32</t>
  </si>
  <si>
    <r>
      <rPr>
        <sz val="11"/>
        <color theme="1"/>
        <rFont val="宋体-简"/>
        <charset val="134"/>
      </rPr>
      <t>达因笔测试</t>
    </r>
    <r>
      <rPr>
        <sz val="11"/>
        <color theme="1"/>
        <rFont val="Arial"/>
        <charset val="134"/>
      </rPr>
      <t xml:space="preserve">
Dyne test</t>
    </r>
  </si>
  <si>
    <r>
      <rPr>
        <sz val="11"/>
        <color theme="1"/>
        <rFont val="宋体-简"/>
        <charset val="134"/>
      </rPr>
      <t>达因笔</t>
    </r>
    <r>
      <rPr>
        <sz val="11"/>
        <color theme="1"/>
        <rFont val="Arial Regular"/>
        <charset val="134"/>
      </rPr>
      <t xml:space="preserve">
Dyne pen</t>
    </r>
  </si>
  <si>
    <t>Shear force</t>
  </si>
  <si>
    <t>FAI 10</t>
  </si>
  <si>
    <t>R1/L1 ≥200N
R2/L2 ≥300N
R3/L3 ≥200N
R4/L4 ≥100N</t>
  </si>
  <si>
    <t>R1/L1 ≥200N
R2/L2 ≥200N
R3/L3 ≥200N
R4/L4 ≥100N</t>
  </si>
  <si>
    <r>
      <rPr>
        <sz val="11"/>
        <rFont val="宋体-简"/>
        <charset val="134"/>
      </rPr>
      <t>万能试验机</t>
    </r>
    <r>
      <rPr>
        <sz val="11"/>
        <rFont val="Arial Regular"/>
        <charset val="134"/>
      </rPr>
      <t xml:space="preserve">
 Universal Tester</t>
    </r>
  </si>
  <si>
    <t>1.045±0.07N</t>
  </si>
  <si>
    <t>FAI 11</t>
  </si>
  <si>
    <t>Retention force</t>
  </si>
  <si>
    <t>1.045±0.05 N</t>
  </si>
  <si>
    <t>100% inspection</t>
  </si>
  <si>
    <r>
      <rPr>
        <sz val="11"/>
        <rFont val="宋体-简"/>
        <charset val="134"/>
      </rPr>
      <t>磁极片</t>
    </r>
    <r>
      <rPr>
        <sz val="11"/>
        <rFont val="Arial Regular"/>
        <charset val="134"/>
      </rPr>
      <t xml:space="preserve">
Magnetic film</t>
    </r>
  </si>
  <si>
    <t>Production:100% inspection</t>
  </si>
  <si>
    <t>AIM:100% inspection</t>
  </si>
  <si>
    <t>4.30±0.09 mm</t>
  </si>
  <si>
    <r>
      <rPr>
        <sz val="11"/>
        <color theme="1"/>
        <rFont val="宋体-简"/>
        <charset val="134"/>
      </rPr>
      <t>通止规</t>
    </r>
    <r>
      <rPr>
        <sz val="11"/>
        <color theme="1"/>
        <rFont val="Arial"/>
        <charset val="134"/>
      </rPr>
      <t xml:space="preserve">
Go/No-go Guage</t>
    </r>
  </si>
  <si>
    <t>6.19±0.09 mm</t>
  </si>
  <si>
    <t>9.83±0.09 mm</t>
  </si>
  <si>
    <t>25N</t>
  </si>
  <si>
    <r>
      <rPr>
        <sz val="11"/>
        <color theme="1"/>
        <rFont val="宋体-简"/>
        <charset val="134"/>
      </rPr>
      <t>推力</t>
    </r>
    <r>
      <rPr>
        <sz val="11"/>
        <color theme="1"/>
        <rFont val="Arial"/>
        <charset val="134"/>
      </rPr>
      <t xml:space="preserve">
Pushl Force</t>
    </r>
  </si>
  <si>
    <t>25 N (No Gap or debonding)</t>
  </si>
  <si>
    <r>
      <rPr>
        <sz val="11"/>
        <color theme="1"/>
        <rFont val="宋体-简"/>
        <charset val="134"/>
      </rPr>
      <t>推力检具</t>
    </r>
    <r>
      <rPr>
        <sz val="11"/>
        <color theme="1"/>
        <rFont val="Arial"/>
        <charset val="134"/>
      </rPr>
      <t xml:space="preserve">
Push Gauge</t>
    </r>
  </si>
  <si>
    <r>
      <rPr>
        <b/>
        <sz val="11"/>
        <color theme="1"/>
        <rFont val="Arial"/>
        <charset val="134"/>
      </rPr>
      <t xml:space="preserve">Description 
</t>
    </r>
    <r>
      <rPr>
        <sz val="11"/>
        <color theme="1"/>
        <rFont val="Arial"/>
        <charset val="134"/>
      </rPr>
      <t>Detailed inspection items</t>
    </r>
  </si>
  <si>
    <t>SUB-ASSY,MAGNET,BUD RET,R,B747
SUB-ASSY,MAGNET,BUD RET,L,B747</t>
  </si>
  <si>
    <t>613-35102-B
(Mirror 613-35106-B)</t>
  </si>
  <si>
    <t>Distance
4.30±0.10  mm</t>
  </si>
  <si>
    <t>Distance
6.19±0.10  mm</t>
  </si>
  <si>
    <t>Distance
9.83±0.10  mm</t>
  </si>
  <si>
    <t>Profile for Magnet 1
max 0.10</t>
  </si>
  <si>
    <t>Profile for Magnet 2
max 0.15</t>
  </si>
  <si>
    <t>Profile for Magnet 3
max 0.15</t>
  </si>
  <si>
    <t>Profile for Magnet 4
max 0.15</t>
  </si>
  <si>
    <t>Profile for Magnet 
4*Max 0.05</t>
  </si>
  <si>
    <t>magnetic film</t>
  </si>
  <si>
    <t>0收1退(Ac=0)</t>
  </si>
  <si>
    <r>
      <rPr>
        <sz val="10"/>
        <rFont val="宋体-简"/>
        <charset val="134"/>
      </rPr>
      <t>极性笔</t>
    </r>
    <r>
      <rPr>
        <sz val="10"/>
        <rFont val="Arial"/>
        <charset val="134"/>
      </rPr>
      <t xml:space="preserve">
Magnetic Pen</t>
    </r>
  </si>
  <si>
    <r>
      <rPr>
        <sz val="10"/>
        <rFont val="Arial"/>
        <charset val="134"/>
      </rPr>
      <t>0</t>
    </r>
    <r>
      <rPr>
        <sz val="10"/>
        <rFont val="宋体-简"/>
        <charset val="134"/>
      </rPr>
      <t>收</t>
    </r>
    <r>
      <rPr>
        <sz val="10"/>
        <rFont val="Arial"/>
        <charset val="134"/>
      </rPr>
      <t>1</t>
    </r>
    <r>
      <rPr>
        <sz val="10"/>
        <rFont val="宋体-简"/>
        <charset val="134"/>
      </rPr>
      <t>退</t>
    </r>
    <r>
      <rPr>
        <sz val="10"/>
        <rFont val="Arial"/>
        <charset val="134"/>
      </rPr>
      <t>(Ac=0)</t>
    </r>
  </si>
  <si>
    <t>Retention force
1.045±0.07N</t>
  </si>
  <si>
    <r>
      <rPr>
        <sz val="10"/>
        <rFont val="宋体-简"/>
        <charset val="134"/>
      </rPr>
      <t>万能试验机</t>
    </r>
    <r>
      <rPr>
        <sz val="10"/>
        <rFont val="Arial Regular"/>
        <charset val="134"/>
      </rPr>
      <t>+</t>
    </r>
    <r>
      <rPr>
        <sz val="10"/>
        <rFont val="宋体-简"/>
        <charset val="134"/>
      </rPr>
      <t>吸力治具</t>
    </r>
    <r>
      <rPr>
        <sz val="10"/>
        <rFont val="Arial Regular"/>
        <charset val="134"/>
      </rPr>
      <t xml:space="preserve">
 Universal Tester + AF Fixture</t>
    </r>
  </si>
  <si>
    <t>NPI 32pcs/Lot
MP 10pcs/Lot</t>
  </si>
  <si>
    <t>Shear force
R1/L1 ≥200N
R2/L2 ≥300N
R3/L3 ≥200N
R4/L4 ≥100N</t>
  </si>
  <si>
    <r>
      <rPr>
        <sz val="10"/>
        <rFont val="宋体-简"/>
        <charset val="134"/>
      </rPr>
      <t>万能试验机+剪切力治具</t>
    </r>
    <r>
      <rPr>
        <sz val="10"/>
        <rFont val="Arial"/>
        <charset val="134"/>
      </rPr>
      <t xml:space="preserve">
 Universal Tester+Shear force Fixture</t>
    </r>
  </si>
  <si>
    <t>Dyne test
OQC ≥32#</t>
  </si>
  <si>
    <r>
      <rPr>
        <sz val="10"/>
        <rFont val="宋体-简"/>
        <charset val="134"/>
      </rPr>
      <t>达因笔</t>
    </r>
    <r>
      <rPr>
        <sz val="10"/>
        <rFont val="Arial"/>
        <charset val="134"/>
      </rPr>
      <t xml:space="preserve">
Dyne pen</t>
    </r>
  </si>
  <si>
    <t>Visual</t>
  </si>
  <si>
    <t>Rel Requirement</t>
  </si>
  <si>
    <t>Sample Size / Frequency</t>
  </si>
  <si>
    <t>Rel title</t>
  </si>
  <si>
    <t>Rel document</t>
  </si>
  <si>
    <t>Rel revision date</t>
  </si>
  <si>
    <t>Rel options</t>
  </si>
  <si>
    <t>Applicability</t>
  </si>
  <si>
    <t>Failure criteria</t>
  </si>
  <si>
    <t>NPI</t>
  </si>
  <si>
    <t>MP</t>
  </si>
  <si>
    <t>Re-test Qty*</t>
  </si>
  <si>
    <t>PP Magnet-SST</t>
  </si>
  <si>
    <t>ASTM B117-11</t>
  </si>
  <si>
    <r>
      <rPr>
        <sz val="11"/>
        <rFont val="Arial"/>
        <charset val="134"/>
      </rPr>
      <t>5%NaCl,35±2°C</t>
    </r>
    <r>
      <rPr>
        <sz val="11"/>
        <rFont val="宋体-简"/>
        <charset val="134"/>
      </rPr>
      <t>，</t>
    </r>
    <r>
      <rPr>
        <sz val="11"/>
        <rFont val="Arial"/>
        <charset val="134"/>
      </rPr>
      <t>PH6.5-7.2,
24hrs</t>
    </r>
  </si>
  <si>
    <t>Plating</t>
  </si>
  <si>
    <t>No corrosion and pitting</t>
  </si>
  <si>
    <t>PP Magnet-Heat Quench Test</t>
  </si>
  <si>
    <t>Apple ERS 080-02981-B</t>
  </si>
  <si>
    <t>250°C,1h</t>
  </si>
  <si>
    <t>No break, crack, peel off, bubble</t>
  </si>
  <si>
    <t>PP Magnet-HS</t>
  </si>
  <si>
    <r>
      <rPr>
        <sz val="11"/>
        <rFont val="Arial"/>
        <charset val="134"/>
      </rPr>
      <t>72h 85</t>
    </r>
    <r>
      <rPr>
        <sz val="11"/>
        <rFont val="宋体-简"/>
        <charset val="134"/>
      </rPr>
      <t>℃</t>
    </r>
    <r>
      <rPr>
        <sz val="11"/>
        <rFont val="Arial"/>
        <charset val="134"/>
      </rPr>
      <t>/85% RH 72HR HS</t>
    </r>
  </si>
  <si>
    <t>&lt;5% Decrease in MM</t>
  </si>
  <si>
    <t>10pcs/Lot</t>
  </si>
  <si>
    <t>Shunt-SST</t>
  </si>
  <si>
    <t>ASSY-SST</t>
  </si>
  <si>
    <t>ASSY-MM Decay After HS</t>
  </si>
  <si>
    <t>PD environmental rel in Array OQC</t>
  </si>
  <si>
    <t>&lt;5% Decrease in AF</t>
  </si>
  <si>
    <t>ASSY-AF Decay After HS</t>
  </si>
  <si>
    <t>Q-Plan Template Instruction</t>
  </si>
  <si>
    <t>File Naming Rule as "Project number_Build name_Part Name_Document type__Vendor name_Date(YYYYMMDD)" (eg. J817_P1_HSG_Q-Plan_McEG_20240701)</t>
  </si>
  <si>
    <t>For revison sheet, need add APN for specific process whenever available.</t>
  </si>
  <si>
    <t>For CNC prcoess, need add process description (eg. CNC5 structure side finishing CNC).</t>
  </si>
  <si>
    <t>For IM process, need add quality control plan for K87 (Ano 0) as well.</t>
  </si>
  <si>
    <t>For CTQ category, need split into different categories: Critical to ID feature, Critical to FATP, Critical to HSG assembly, NUD (new/unique/difficult), Not CTQ</t>
  </si>
  <si>
    <t>For QC stations (eg.  AIM, Ano QC, FQC), need to treat as the same as process station in Q-plan and add its control plan in IPQC.</t>
  </si>
  <si>
    <t>For Rel control plan, Rel option stands for specific opition need to be implemented (eg. 504Hrs Heat Soak, 72Hrs Temperature Humidity Cycle, 300hrs Indoor Exposure)</t>
  </si>
  <si>
    <t>IQC Reaction Plan</t>
  </si>
  <si>
    <t>Online Quality Control Reaction Plan - Dimension</t>
  </si>
  <si>
    <t>Online Quality Control Reaction Plan - ORT</t>
  </si>
  <si>
    <t>Rel Test Reaction Plan</t>
  </si>
  <si>
    <t>Q-Plan Template Revisions</t>
  </si>
  <si>
    <t>Initial release</t>
  </si>
  <si>
    <t>Changed Q-plan logic, added reaction plan</t>
  </si>
  <si>
    <t>Small bug fix</t>
  </si>
  <si>
    <t>Split FAI and IPQC spec, updated reaction plan</t>
  </si>
  <si>
    <t>Remove "rel" from category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</si>
</sst>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  <numFmt numFmtId="177" formatCode="[$-409]dd/mmm/yy;@"/>
    <numFmt numFmtId="178" formatCode="[$-409]d/mmm;@"/>
  </numFmts>
  <fonts count="53">
    <font>
      <sz val="12"/>
      <color theme="1"/>
      <name val="等线"/>
      <charset val="134"/>
      <scheme val="minor"/>
    </font>
    <font>
      <b/>
      <sz val="12"/>
      <color theme="1"/>
      <name val="Arial"/>
      <charset val="134"/>
    </font>
    <font>
      <sz val="12"/>
      <color theme="1"/>
      <name val="Arial"/>
      <charset val="134"/>
    </font>
    <font>
      <b/>
      <sz val="12"/>
      <color theme="3" tint="0.249977111117893"/>
      <name val="Arial"/>
      <charset val="134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sz val="11"/>
      <name val="Arial"/>
      <charset val="134"/>
    </font>
    <font>
      <sz val="10"/>
      <color theme="1"/>
      <name val="Arial"/>
      <charset val="134"/>
    </font>
    <font>
      <sz val="10"/>
      <color rgb="FF0000FF"/>
      <name val="Arial"/>
      <charset val="134"/>
    </font>
    <font>
      <sz val="10"/>
      <name val="Arial"/>
      <charset val="134"/>
    </font>
    <font>
      <sz val="10"/>
      <color rgb="FF000000"/>
      <name val="Arial"/>
      <charset val="134"/>
    </font>
    <font>
      <sz val="11"/>
      <color theme="1"/>
      <name val="Arial Regular"/>
      <charset val="134"/>
    </font>
    <font>
      <sz val="11"/>
      <name val="Arial Regular"/>
      <charset val="134"/>
    </font>
    <font>
      <sz val="10"/>
      <name val="宋体-简"/>
      <charset val="134"/>
    </font>
    <font>
      <sz val="11"/>
      <color theme="1"/>
      <name val="宋体-简"/>
      <charset val="134"/>
    </font>
    <font>
      <sz val="11"/>
      <name val="宋体-简"/>
      <charset val="134"/>
    </font>
    <font>
      <sz val="11"/>
      <color rgb="FF0000FF"/>
      <name val="Arial"/>
      <charset val="134"/>
    </font>
    <font>
      <sz val="11"/>
      <color rgb="FF000000"/>
      <name val="Arial"/>
      <charset val="134"/>
    </font>
    <font>
      <sz val="11"/>
      <color rgb="FF0432FF"/>
      <name val="Arial"/>
      <charset val="134"/>
    </font>
    <font>
      <sz val="11"/>
      <name val="SimSun"/>
      <charset val="134"/>
    </font>
    <font>
      <sz val="11"/>
      <color rgb="FF0432FF"/>
      <name val="Arial Regular"/>
      <charset val="134"/>
    </font>
    <font>
      <sz val="11"/>
      <color rgb="FF0000FF"/>
      <name val="Arial Regular"/>
      <charset val="134"/>
    </font>
    <font>
      <sz val="11"/>
      <color theme="1"/>
      <name val="SimSun"/>
      <charset val="134"/>
    </font>
    <font>
      <sz val="11"/>
      <color rgb="FF000000"/>
      <name val="SimSun"/>
      <charset val="134"/>
    </font>
    <font>
      <sz val="11"/>
      <color rgb="FF000000"/>
      <name val="Arial Regular"/>
      <charset val="134"/>
    </font>
    <font>
      <sz val="12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name val="Arial"/>
      <charset val="134"/>
    </font>
    <font>
      <strike/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sz val="12"/>
      <name val="新細明體"/>
      <charset val="136"/>
    </font>
    <font>
      <sz val="10"/>
      <name val="Helv"/>
      <charset val="134"/>
    </font>
    <font>
      <sz val="10"/>
      <name val="Arial Regular"/>
      <charset val="134"/>
    </font>
    <font>
      <sz val="11"/>
      <color theme="1"/>
      <name val="PingFang SC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43" fontId="30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0" fillId="7" borderId="13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6" fillId="0" borderId="15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8" borderId="16" applyNumberFormat="0" applyAlignment="0" applyProtection="0">
      <alignment vertical="center"/>
    </xf>
    <xf numFmtId="0" fontId="38" fillId="9" borderId="17" applyNumberFormat="0" applyAlignment="0" applyProtection="0">
      <alignment vertical="center"/>
    </xf>
    <xf numFmtId="0" fontId="39" fillId="9" borderId="16" applyNumberFormat="0" applyAlignment="0" applyProtection="0">
      <alignment vertical="center"/>
    </xf>
    <xf numFmtId="0" fontId="40" fillId="10" borderId="18" applyNumberFormat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2" fillId="0" borderId="20" applyNumberFormat="0" applyFill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176" fontId="30" fillId="0" borderId="0"/>
    <xf numFmtId="176" fontId="48" fillId="0" borderId="0">
      <alignment vertical="center"/>
    </xf>
    <xf numFmtId="177" fontId="9" fillId="0" borderId="0">
      <alignment vertical="center"/>
    </xf>
    <xf numFmtId="176" fontId="30" fillId="0" borderId="0"/>
    <xf numFmtId="176" fontId="30" fillId="0" borderId="0"/>
    <xf numFmtId="178" fontId="30" fillId="0" borderId="0"/>
    <xf numFmtId="176" fontId="30" fillId="0" borderId="0"/>
    <xf numFmtId="176" fontId="30" fillId="0" borderId="0"/>
    <xf numFmtId="176" fontId="49" fillId="0" borderId="0"/>
    <xf numFmtId="176" fontId="49" fillId="0" borderId="0"/>
    <xf numFmtId="176" fontId="50" fillId="0" borderId="0"/>
  </cellStyleXfs>
  <cellXfs count="16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2" borderId="0" xfId="56" applyNumberFormat="1" applyFont="1" applyFill="1" applyAlignment="1">
      <alignment horizontal="center" vertical="center" wrapText="1"/>
    </xf>
    <xf numFmtId="0" fontId="4" fillId="0" borderId="0" xfId="56" applyNumberFormat="1" applyFont="1" applyAlignment="1">
      <alignment horizontal="center" vertical="center" wrapText="1"/>
    </xf>
    <xf numFmtId="0" fontId="4" fillId="2" borderId="0" xfId="52" applyNumberFormat="1" applyFont="1" applyFill="1" applyAlignment="1" applyProtection="1">
      <alignment vertical="center" wrapText="1"/>
      <protection locked="0"/>
    </xf>
    <xf numFmtId="0" fontId="4" fillId="2" borderId="0" xfId="56" applyNumberFormat="1" applyFont="1" applyFill="1" applyAlignment="1" applyProtection="1">
      <alignment horizontal="center" vertical="center" wrapText="1"/>
      <protection locked="0"/>
    </xf>
    <xf numFmtId="0" fontId="4" fillId="2" borderId="0" xfId="56" applyNumberFormat="1" applyFont="1" applyFill="1" applyAlignment="1" applyProtection="1">
      <alignment horizontal="center" vertical="top" wrapText="1"/>
      <protection locked="0"/>
    </xf>
    <xf numFmtId="0" fontId="5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3" borderId="2" xfId="56" applyNumberFormat="1" applyFont="1" applyFill="1" applyBorder="1" applyAlignment="1">
      <alignment horizontal="center" vertical="center" wrapText="1"/>
    </xf>
    <xf numFmtId="0" fontId="5" fillId="3" borderId="3" xfId="56" applyNumberFormat="1" applyFont="1" applyFill="1" applyBorder="1" applyAlignment="1">
      <alignment horizontal="center" vertical="center" wrapText="1"/>
    </xf>
    <xf numFmtId="0" fontId="4" fillId="3" borderId="1" xfId="56" applyNumberFormat="1" applyFont="1" applyFill="1" applyBorder="1" applyAlignment="1">
      <alignment horizontal="center" vertical="center" wrapText="1"/>
    </xf>
    <xf numFmtId="0" fontId="6" fillId="2" borderId="1" xfId="56" applyNumberFormat="1" applyFont="1" applyFill="1" applyBorder="1" applyAlignment="1" applyProtection="1">
      <alignment horizontal="left" vertical="center" wrapText="1"/>
      <protection locked="0"/>
    </xf>
    <xf numFmtId="0" fontId="6" fillId="2" borderId="1" xfId="56" applyNumberFormat="1" applyFont="1" applyFill="1" applyBorder="1" applyAlignment="1" applyProtection="1">
      <alignment horizontal="center" vertical="center" wrapText="1"/>
      <protection locked="0"/>
    </xf>
    <xf numFmtId="0" fontId="6" fillId="2" borderId="1" xfId="56" applyNumberFormat="1" applyFont="1" applyFill="1" applyBorder="1" applyAlignment="1" applyProtection="1">
      <alignment vertical="center" wrapText="1"/>
      <protection locked="0"/>
    </xf>
    <xf numFmtId="0" fontId="4" fillId="2" borderId="1" xfId="56" applyNumberFormat="1" applyFont="1" applyFill="1" applyBorder="1" applyAlignment="1" applyProtection="1">
      <alignment vertical="center" wrapText="1"/>
      <protection locked="0"/>
    </xf>
    <xf numFmtId="0" fontId="4" fillId="2" borderId="1" xfId="56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/>
    </xf>
    <xf numFmtId="0" fontId="4" fillId="2" borderId="0" xfId="56" applyNumberFormat="1" applyFont="1" applyFill="1" applyAlignment="1">
      <alignment horizontal="center" vertical="top" wrapText="1"/>
    </xf>
    <xf numFmtId="0" fontId="5" fillId="3" borderId="4" xfId="56" applyNumberFormat="1" applyFont="1" applyFill="1" applyBorder="1" applyAlignment="1">
      <alignment horizontal="center" vertical="center" wrapText="1"/>
    </xf>
    <xf numFmtId="0" fontId="6" fillId="2" borderId="1" xfId="50" applyNumberFormat="1" applyFont="1" applyFill="1" applyBorder="1" applyAlignment="1" applyProtection="1">
      <alignment horizontal="center" vertical="center" wrapText="1"/>
      <protection locked="0"/>
    </xf>
    <xf numFmtId="0" fontId="6" fillId="2" borderId="1" xfId="52" applyNumberFormat="1" applyFont="1" applyFill="1" applyBorder="1" applyAlignment="1" applyProtection="1">
      <alignment horizontal="center" vertical="center" wrapText="1"/>
      <protection locked="0"/>
    </xf>
    <xf numFmtId="0" fontId="4" fillId="2" borderId="1" xfId="52" applyNumberFormat="1" applyFont="1" applyFill="1" applyBorder="1" applyAlignment="1" applyProtection="1">
      <alignment vertical="center" wrapText="1"/>
      <protection locked="0"/>
    </xf>
    <xf numFmtId="0" fontId="4" fillId="2" borderId="1" xfId="50" applyNumberFormat="1" applyFont="1" applyFill="1" applyBorder="1" applyAlignment="1" applyProtection="1">
      <alignment horizontal="center" vertical="center" wrapText="1"/>
      <protection locked="0"/>
    </xf>
    <xf numFmtId="0" fontId="4" fillId="2" borderId="1" xfId="49" applyNumberFormat="1" applyFont="1" applyFill="1" applyBorder="1" applyAlignment="1" applyProtection="1">
      <alignment horizontal="center" vertical="center" wrapText="1"/>
      <protection locked="0"/>
    </xf>
    <xf numFmtId="0" fontId="4" fillId="0" borderId="0" xfId="56" applyNumberFormat="1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6" fillId="2" borderId="1" xfId="6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3" borderId="5" xfId="56" applyNumberFormat="1" applyFont="1" applyFill="1" applyBorder="1" applyAlignment="1">
      <alignment horizontal="center" vertical="center" wrapText="1"/>
    </xf>
    <xf numFmtId="0" fontId="4" fillId="3" borderId="5" xfId="56" applyNumberFormat="1" applyFont="1" applyFill="1" applyBorder="1" applyAlignment="1">
      <alignment horizontal="center" vertical="center" wrapText="1"/>
    </xf>
    <xf numFmtId="0" fontId="5" fillId="3" borderId="6" xfId="56" applyNumberFormat="1" applyFont="1" applyFill="1" applyBorder="1" applyAlignment="1">
      <alignment horizontal="center" vertical="center" wrapText="1"/>
    </xf>
    <xf numFmtId="0" fontId="4" fillId="3" borderId="6" xfId="56" applyNumberFormat="1" applyFont="1" applyFill="1" applyBorder="1" applyAlignment="1">
      <alignment horizontal="center" vertical="center" wrapText="1"/>
    </xf>
    <xf numFmtId="0" fontId="7" fillId="2" borderId="5" xfId="56" applyNumberFormat="1" applyFont="1" applyFill="1" applyBorder="1" applyAlignment="1" applyProtection="1">
      <alignment horizontal="center" vertical="center" wrapText="1"/>
      <protection locked="0"/>
    </xf>
    <xf numFmtId="0" fontId="8" fillId="2" borderId="5" xfId="56" applyNumberFormat="1" applyFont="1" applyFill="1" applyBorder="1" applyAlignment="1" applyProtection="1">
      <alignment horizontal="center" vertical="center" wrapText="1"/>
      <protection locked="0"/>
    </xf>
    <xf numFmtId="0" fontId="8" fillId="2" borderId="1" xfId="56" applyNumberFormat="1" applyFont="1" applyFill="1" applyBorder="1" applyAlignment="1" applyProtection="1">
      <alignment horizontal="center" vertical="center" wrapText="1"/>
      <protection locked="0"/>
    </xf>
    <xf numFmtId="0" fontId="9" fillId="0" borderId="1" xfId="56" applyNumberFormat="1" applyFont="1" applyFill="1" applyBorder="1" applyAlignment="1" applyProtection="1">
      <alignment horizontal="center" vertical="center" wrapText="1"/>
      <protection locked="0"/>
    </xf>
    <xf numFmtId="0" fontId="7" fillId="2" borderId="7" xfId="56" applyNumberFormat="1" applyFont="1" applyFill="1" applyBorder="1" applyAlignment="1" applyProtection="1">
      <alignment horizontal="center" vertical="center" wrapText="1"/>
      <protection locked="0"/>
    </xf>
    <xf numFmtId="0" fontId="8" fillId="2" borderId="7" xfId="56" applyNumberFormat="1" applyFont="1" applyFill="1" applyBorder="1" applyAlignment="1" applyProtection="1">
      <alignment horizontal="center" vertical="center" wrapText="1"/>
      <protection locked="0"/>
    </xf>
    <xf numFmtId="0" fontId="7" fillId="2" borderId="6" xfId="56" applyNumberFormat="1" applyFont="1" applyFill="1" applyBorder="1" applyAlignment="1" applyProtection="1">
      <alignment horizontal="center" vertical="center" wrapText="1"/>
      <protection locked="0"/>
    </xf>
    <xf numFmtId="0" fontId="8" fillId="2" borderId="6" xfId="56" applyNumberFormat="1" applyFont="1" applyFill="1" applyBorder="1" applyAlignment="1" applyProtection="1">
      <alignment horizontal="center" vertical="center" wrapText="1"/>
      <protection locked="0"/>
    </xf>
    <xf numFmtId="0" fontId="10" fillId="4" borderId="8" xfId="0" applyFont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5" fillId="3" borderId="2" xfId="57" applyNumberFormat="1" applyFont="1" applyFill="1" applyBorder="1" applyAlignment="1">
      <alignment horizontal="center" vertical="center" wrapText="1"/>
    </xf>
    <xf numFmtId="0" fontId="5" fillId="3" borderId="3" xfId="57" applyNumberFormat="1" applyFont="1" applyFill="1" applyBorder="1" applyAlignment="1">
      <alignment horizontal="center" vertical="center" wrapText="1"/>
    </xf>
    <xf numFmtId="0" fontId="5" fillId="3" borderId="4" xfId="57" applyNumberFormat="1" applyFont="1" applyFill="1" applyBorder="1" applyAlignment="1">
      <alignment horizontal="center" vertical="center" wrapText="1"/>
    </xf>
    <xf numFmtId="0" fontId="4" fillId="3" borderId="1" xfId="58" applyNumberFormat="1" applyFont="1" applyFill="1" applyBorder="1" applyAlignment="1">
      <alignment horizontal="center" vertical="center" wrapText="1"/>
    </xf>
    <xf numFmtId="0" fontId="4" fillId="3" borderId="6" xfId="58" applyNumberFormat="1" applyFont="1" applyFill="1" applyBorder="1" applyAlignment="1">
      <alignment horizontal="center" vertical="center" wrapText="1"/>
    </xf>
    <xf numFmtId="0" fontId="9" fillId="0" borderId="1" xfId="50" applyNumberFormat="1" applyFont="1" applyBorder="1" applyAlignment="1" applyProtection="1">
      <alignment horizontal="center" vertical="center" wrapText="1"/>
      <protection locked="0"/>
    </xf>
    <xf numFmtId="9" fontId="9" fillId="2" borderId="1" xfId="59" applyNumberFormat="1" applyFont="1" applyFill="1" applyBorder="1" applyAlignment="1" applyProtection="1">
      <alignment horizontal="center" vertical="center" wrapText="1"/>
      <protection locked="0"/>
    </xf>
    <xf numFmtId="49" fontId="9" fillId="0" borderId="1" xfId="56" applyNumberFormat="1" applyFont="1" applyFill="1" applyBorder="1" applyAlignment="1" applyProtection="1">
      <alignment horizontal="center" vertical="center" wrapText="1"/>
      <protection locked="0"/>
    </xf>
    <xf numFmtId="0" fontId="9" fillId="0" borderId="1" xfId="59" applyNumberFormat="1" applyFont="1" applyBorder="1" applyAlignment="1" applyProtection="1">
      <alignment horizontal="center" vertical="center" wrapText="1"/>
      <protection locked="0"/>
    </xf>
    <xf numFmtId="0" fontId="11" fillId="2" borderId="1" xfId="50" applyNumberFormat="1" applyFont="1" applyFill="1" applyBorder="1" applyAlignment="1" applyProtection="1">
      <alignment horizontal="center" vertical="center" wrapText="1"/>
      <protection locked="0"/>
    </xf>
    <xf numFmtId="0" fontId="12" fillId="0" borderId="1" xfId="56" applyNumberFormat="1" applyFont="1" applyFill="1" applyBorder="1" applyAlignment="1" applyProtection="1">
      <alignment horizontal="center" vertical="center" wrapText="1"/>
      <protection locked="0"/>
    </xf>
    <xf numFmtId="0" fontId="13" fillId="0" borderId="1" xfId="56" applyNumberFormat="1" applyFont="1" applyFill="1" applyBorder="1" applyAlignment="1" applyProtection="1">
      <alignment horizontal="center" vertical="center" wrapText="1"/>
      <protection locked="0"/>
    </xf>
    <xf numFmtId="0" fontId="10" fillId="4" borderId="8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 applyProtection="1">
      <alignment horizontal="center" vertical="center" wrapText="1"/>
      <protection locked="0"/>
    </xf>
    <xf numFmtId="0" fontId="6" fillId="2" borderId="0" xfId="52" applyNumberFormat="1" applyFont="1" applyFill="1" applyAlignment="1" applyProtection="1">
      <alignment vertical="center" wrapText="1"/>
      <protection locked="0"/>
    </xf>
    <xf numFmtId="0" fontId="4" fillId="5" borderId="1" xfId="56" applyNumberFormat="1" applyFont="1" applyFill="1" applyBorder="1" applyAlignment="1">
      <alignment horizontal="center" vertical="center" wrapText="1"/>
    </xf>
    <xf numFmtId="0" fontId="6" fillId="2" borderId="5" xfId="56" applyNumberFormat="1" applyFont="1" applyFill="1" applyBorder="1" applyAlignment="1" applyProtection="1">
      <alignment horizontal="center" vertical="center" wrapText="1"/>
      <protection locked="0"/>
    </xf>
    <xf numFmtId="0" fontId="6" fillId="2" borderId="7" xfId="56" applyNumberFormat="1" applyFont="1" applyFill="1" applyBorder="1" applyAlignment="1" applyProtection="1">
      <alignment horizontal="center" vertical="center" wrapText="1"/>
      <protection locked="0"/>
    </xf>
    <xf numFmtId="0" fontId="12" fillId="2" borderId="1" xfId="56" applyNumberFormat="1" applyFont="1" applyFill="1" applyBorder="1" applyAlignment="1" applyProtection="1">
      <alignment horizontal="center" vertical="center" wrapText="1"/>
      <protection locked="0"/>
    </xf>
    <xf numFmtId="0" fontId="6" fillId="2" borderId="6" xfId="56" applyNumberFormat="1" applyFont="1" applyFill="1" applyBorder="1" applyAlignment="1" applyProtection="1">
      <alignment horizontal="center" vertical="center" wrapText="1"/>
      <protection locked="0"/>
    </xf>
    <xf numFmtId="0" fontId="4" fillId="2" borderId="5" xfId="56" applyNumberFormat="1" applyFont="1" applyFill="1" applyBorder="1" applyAlignment="1" applyProtection="1">
      <alignment horizontal="center" vertical="center" wrapText="1"/>
      <protection locked="0"/>
    </xf>
    <xf numFmtId="0" fontId="4" fillId="2" borderId="7" xfId="56" applyNumberFormat="1" applyFont="1" applyFill="1" applyBorder="1" applyAlignment="1" applyProtection="1">
      <alignment horizontal="center" vertical="center" wrapText="1"/>
      <protection locked="0"/>
    </xf>
    <xf numFmtId="0" fontId="11" fillId="2" borderId="1" xfId="56" applyNumberFormat="1" applyFont="1" applyFill="1" applyBorder="1" applyAlignment="1" applyProtection="1">
      <alignment horizontal="center" vertical="center" wrapText="1"/>
      <protection locked="0"/>
    </xf>
    <xf numFmtId="0" fontId="14" fillId="2" borderId="1" xfId="56" applyNumberFormat="1" applyFont="1" applyFill="1" applyBorder="1" applyAlignment="1" applyProtection="1">
      <alignment horizontal="center" vertical="center" wrapText="1"/>
      <protection locked="0"/>
    </xf>
    <xf numFmtId="0" fontId="15" fillId="2" borderId="1" xfId="56" applyNumberFormat="1" applyFont="1" applyFill="1" applyBorder="1" applyAlignment="1" applyProtection="1">
      <alignment horizontal="center" vertical="center" wrapText="1"/>
      <protection locked="0"/>
    </xf>
    <xf numFmtId="0" fontId="4" fillId="2" borderId="6" xfId="56" applyNumberFormat="1" applyFont="1" applyFill="1" applyBorder="1" applyAlignment="1" applyProtection="1">
      <alignment horizontal="center" vertical="center" wrapText="1"/>
      <protection locked="0"/>
    </xf>
    <xf numFmtId="0" fontId="4" fillId="3" borderId="2" xfId="56" applyNumberFormat="1" applyFont="1" applyFill="1" applyBorder="1" applyAlignment="1">
      <alignment horizontal="center" vertical="center" wrapText="1"/>
    </xf>
    <xf numFmtId="0" fontId="4" fillId="3" borderId="3" xfId="56" applyNumberFormat="1" applyFont="1" applyFill="1" applyBorder="1" applyAlignment="1">
      <alignment horizontal="center" vertical="center" wrapText="1"/>
    </xf>
    <xf numFmtId="0" fontId="12" fillId="2" borderId="1" xfId="50" applyNumberFormat="1" applyFont="1" applyFill="1" applyBorder="1" applyAlignment="1" applyProtection="1">
      <alignment horizontal="center" vertical="center" wrapText="1"/>
      <protection locked="0"/>
    </xf>
    <xf numFmtId="0" fontId="14" fillId="2" borderId="1" xfId="50" applyNumberFormat="1" applyFont="1" applyFill="1" applyBorder="1" applyAlignment="1" applyProtection="1">
      <alignment horizontal="center" vertical="center" wrapText="1"/>
      <protection locked="0"/>
    </xf>
    <xf numFmtId="0" fontId="16" fillId="2" borderId="1" xfId="50" applyNumberFormat="1" applyFont="1" applyFill="1" applyBorder="1" applyAlignment="1" applyProtection="1">
      <alignment horizontal="center" vertical="center" wrapText="1"/>
      <protection locked="0"/>
    </xf>
    <xf numFmtId="0" fontId="15" fillId="0" borderId="1" xfId="56" applyNumberFormat="1" applyFont="1" applyFill="1" applyBorder="1" applyAlignment="1" applyProtection="1">
      <alignment horizontal="center" vertical="center" wrapText="1"/>
      <protection locked="0"/>
    </xf>
    <xf numFmtId="0" fontId="4" fillId="2" borderId="0" xfId="56" applyNumberFormat="1" applyFont="1" applyFill="1" applyAlignment="1">
      <alignment horizontal="right" vertical="center" wrapText="1"/>
    </xf>
    <xf numFmtId="0" fontId="4" fillId="3" borderId="4" xfId="56" applyNumberFormat="1" applyFont="1" applyFill="1" applyBorder="1" applyAlignment="1">
      <alignment horizontal="center" vertical="center" wrapText="1"/>
    </xf>
    <xf numFmtId="0" fontId="4" fillId="3" borderId="2" xfId="57" applyNumberFormat="1" applyFont="1" applyFill="1" applyBorder="1" applyAlignment="1">
      <alignment horizontal="center" vertical="center" wrapText="1"/>
    </xf>
    <xf numFmtId="0" fontId="4" fillId="3" borderId="4" xfId="57" applyNumberFormat="1" applyFont="1" applyFill="1" applyBorder="1" applyAlignment="1">
      <alignment horizontal="center" vertical="center" wrapText="1"/>
    </xf>
    <xf numFmtId="0" fontId="4" fillId="3" borderId="3" xfId="57" applyNumberFormat="1" applyFont="1" applyFill="1" applyBorder="1" applyAlignment="1">
      <alignment horizontal="center" vertical="center" wrapText="1"/>
    </xf>
    <xf numFmtId="0" fontId="4" fillId="3" borderId="5" xfId="58" applyNumberFormat="1" applyFont="1" applyFill="1" applyBorder="1" applyAlignment="1">
      <alignment horizontal="center" vertical="center" wrapText="1"/>
    </xf>
    <xf numFmtId="0" fontId="6" fillId="0" borderId="1" xfId="56" applyNumberFormat="1" applyFont="1" applyBorder="1" applyAlignment="1" applyProtection="1">
      <alignment horizontal="center" vertical="center" wrapText="1"/>
      <protection locked="0"/>
    </xf>
    <xf numFmtId="0" fontId="4" fillId="0" borderId="1" xfId="56" applyNumberFormat="1" applyFont="1" applyBorder="1" applyAlignment="1" applyProtection="1">
      <alignment horizontal="center" vertical="center" wrapText="1"/>
      <protection locked="0"/>
    </xf>
    <xf numFmtId="0" fontId="11" fillId="0" borderId="1" xfId="56" applyNumberFormat="1" applyFont="1" applyBorder="1" applyAlignment="1" applyProtection="1">
      <alignment horizontal="center" vertical="center" wrapText="1"/>
      <protection locked="0"/>
    </xf>
    <xf numFmtId="0" fontId="15" fillId="2" borderId="1" xfId="50" applyNumberFormat="1" applyFont="1" applyFill="1" applyBorder="1" applyAlignment="1" applyProtection="1">
      <alignment horizontal="center" vertical="center" wrapText="1"/>
      <protection locked="0"/>
    </xf>
    <xf numFmtId="0" fontId="14" fillId="0" borderId="1" xfId="56" applyNumberFormat="1" applyFont="1" applyBorder="1" applyAlignment="1" applyProtection="1">
      <alignment horizontal="center" vertical="center" wrapText="1"/>
      <protection locked="0"/>
    </xf>
    <xf numFmtId="9" fontId="6" fillId="2" borderId="1" xfId="59" applyNumberFormat="1" applyFont="1" applyFill="1" applyBorder="1" applyAlignment="1" applyProtection="1">
      <alignment horizontal="center" vertical="center" wrapText="1"/>
      <protection locked="0"/>
    </xf>
    <xf numFmtId="9" fontId="12" fillId="2" borderId="1" xfId="59" applyNumberFormat="1" applyFont="1" applyFill="1" applyBorder="1" applyAlignment="1" applyProtection="1">
      <alignment horizontal="center" vertical="center" wrapText="1"/>
      <protection locked="0"/>
    </xf>
    <xf numFmtId="9" fontId="4" fillId="2" borderId="1" xfId="59" applyNumberFormat="1" applyFont="1" applyFill="1" applyBorder="1" applyAlignment="1" applyProtection="1">
      <alignment horizontal="center" vertical="center" wrapText="1"/>
      <protection locked="0"/>
    </xf>
    <xf numFmtId="9" fontId="17" fillId="4" borderId="8" xfId="0" applyNumberFormat="1" applyFont="1" applyFill="1" applyBorder="1" applyAlignment="1" applyProtection="1">
      <alignment horizontal="center" vertical="center" wrapText="1"/>
      <protection locked="0"/>
    </xf>
    <xf numFmtId="0" fontId="18" fillId="2" borderId="1" xfId="52" applyNumberFormat="1" applyFont="1" applyFill="1" applyBorder="1" applyAlignment="1" applyProtection="1">
      <alignment horizontal="center" vertical="center" wrapText="1"/>
      <protection locked="0"/>
    </xf>
    <xf numFmtId="0" fontId="4" fillId="2" borderId="4" xfId="56" applyNumberFormat="1" applyFont="1" applyFill="1" applyBorder="1" applyAlignment="1" applyProtection="1">
      <alignment horizontal="center" vertical="center" wrapText="1"/>
      <protection locked="0"/>
    </xf>
    <xf numFmtId="0" fontId="6" fillId="2" borderId="4" xfId="56" applyNumberFormat="1" applyFont="1" applyFill="1" applyBorder="1" applyAlignment="1" applyProtection="1">
      <alignment horizontal="center" vertical="center" wrapText="1"/>
      <protection locked="0"/>
    </xf>
    <xf numFmtId="0" fontId="16" fillId="2" borderId="1" xfId="56" applyNumberFormat="1" applyFont="1" applyFill="1" applyBorder="1" applyAlignment="1" applyProtection="1">
      <alignment horizontal="center" vertical="center" wrapText="1"/>
      <protection locked="0"/>
    </xf>
    <xf numFmtId="0" fontId="4" fillId="2" borderId="9" xfId="56" applyNumberFormat="1" applyFont="1" applyFill="1" applyBorder="1" applyAlignment="1" applyProtection="1">
      <alignment horizontal="center" vertical="center" wrapText="1"/>
      <protection locked="0"/>
    </xf>
    <xf numFmtId="0" fontId="6" fillId="2" borderId="6" xfId="50" applyNumberFormat="1" applyFont="1" applyFill="1" applyBorder="1" applyAlignment="1" applyProtection="1">
      <alignment horizontal="center" vertical="center" wrapText="1"/>
      <protection locked="0"/>
    </xf>
    <xf numFmtId="0" fontId="15" fillId="0" borderId="1" xfId="56" applyNumberFormat="1" applyFont="1" applyBorder="1" applyAlignment="1" applyProtection="1">
      <alignment horizontal="center" vertical="center" wrapText="1"/>
      <protection locked="0"/>
    </xf>
    <xf numFmtId="49" fontId="19" fillId="0" borderId="10" xfId="0" applyNumberFormat="1" applyFont="1" applyFill="1" applyBorder="1" applyAlignment="1">
      <alignment horizontal="center" vertical="center" wrapText="1"/>
    </xf>
    <xf numFmtId="0" fontId="12" fillId="2" borderId="5" xfId="56" applyNumberFormat="1" applyFont="1" applyFill="1" applyBorder="1" applyAlignment="1" applyProtection="1">
      <alignment horizontal="center" vertical="center" wrapText="1"/>
      <protection locked="0"/>
    </xf>
    <xf numFmtId="0" fontId="15" fillId="2" borderId="5" xfId="56" applyNumberFormat="1" applyFont="1" applyFill="1" applyBorder="1" applyAlignment="1" applyProtection="1">
      <alignment horizontal="center" vertical="center" wrapText="1"/>
      <protection locked="0"/>
    </xf>
    <xf numFmtId="0" fontId="12" fillId="2" borderId="7" xfId="56" applyNumberFormat="1" applyFont="1" applyFill="1" applyBorder="1" applyAlignment="1" applyProtection="1">
      <alignment horizontal="center" vertical="center" wrapText="1"/>
      <protection locked="0"/>
    </xf>
    <xf numFmtId="0" fontId="12" fillId="2" borderId="6" xfId="56" applyNumberFormat="1" applyFont="1" applyFill="1" applyBorder="1" applyAlignment="1" applyProtection="1">
      <alignment horizontal="center" vertical="center" wrapText="1"/>
      <protection locked="0"/>
    </xf>
    <xf numFmtId="0" fontId="4" fillId="2" borderId="1" xfId="52" applyNumberFormat="1" applyFont="1" applyFill="1" applyBorder="1" applyAlignment="1" applyProtection="1">
      <alignment horizontal="center" vertical="center" wrapText="1"/>
      <protection locked="0"/>
    </xf>
    <xf numFmtId="0" fontId="14" fillId="2" borderId="5" xfId="56" applyNumberFormat="1" applyFont="1" applyFill="1" applyBorder="1" applyAlignment="1" applyProtection="1">
      <alignment horizontal="center" vertical="center" wrapText="1"/>
      <protection locked="0"/>
    </xf>
    <xf numFmtId="0" fontId="4" fillId="2" borderId="6" xfId="52" applyNumberFormat="1" applyFont="1" applyFill="1" applyBorder="1" applyAlignment="1" applyProtection="1">
      <alignment horizontal="center" vertical="center" wrapText="1"/>
      <protection locked="0"/>
    </xf>
    <xf numFmtId="0" fontId="18" fillId="2" borderId="5" xfId="52" applyNumberFormat="1" applyFont="1" applyFill="1" applyBorder="1" applyAlignment="1" applyProtection="1">
      <alignment horizontal="center" vertical="center" wrapText="1"/>
      <protection locked="0"/>
    </xf>
    <xf numFmtId="0" fontId="18" fillId="2" borderId="7" xfId="52" applyNumberFormat="1" applyFont="1" applyFill="1" applyBorder="1" applyAlignment="1" applyProtection="1">
      <alignment horizontal="center" vertical="center" wrapText="1"/>
      <protection locked="0"/>
    </xf>
    <xf numFmtId="0" fontId="18" fillId="2" borderId="6" xfId="52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>
      <alignment horizontal="center" vertical="center" wrapText="1"/>
    </xf>
    <xf numFmtId="0" fontId="11" fillId="2" borderId="5" xfId="56" applyNumberFormat="1" applyFont="1" applyFill="1" applyBorder="1" applyAlignment="1" applyProtection="1">
      <alignment horizontal="center" vertical="center" wrapText="1"/>
      <protection locked="0"/>
    </xf>
    <xf numFmtId="0" fontId="11" fillId="2" borderId="7" xfId="56" applyNumberFormat="1" applyFont="1" applyFill="1" applyBorder="1" applyAlignment="1" applyProtection="1">
      <alignment horizontal="center" vertical="center" wrapText="1"/>
      <protection locked="0"/>
    </xf>
    <xf numFmtId="0" fontId="11" fillId="2" borderId="6" xfId="56" applyNumberFormat="1" applyFont="1" applyFill="1" applyBorder="1" applyAlignment="1" applyProtection="1">
      <alignment horizontal="center" vertical="center" wrapText="1"/>
      <protection locked="0"/>
    </xf>
    <xf numFmtId="0" fontId="14" fillId="2" borderId="6" xfId="56" applyNumberFormat="1" applyFont="1" applyFill="1" applyBorder="1" applyAlignment="1" applyProtection="1">
      <alignment horizontal="center" vertical="center" wrapText="1"/>
      <protection locked="0"/>
    </xf>
    <xf numFmtId="0" fontId="11" fillId="2" borderId="4" xfId="56" applyNumberFormat="1" applyFont="1" applyFill="1" applyBorder="1" applyAlignment="1" applyProtection="1">
      <alignment horizontal="center" vertical="center" wrapText="1"/>
      <protection locked="0"/>
    </xf>
    <xf numFmtId="0" fontId="11" fillId="2" borderId="11" xfId="56" applyNumberFormat="1" applyFont="1" applyFill="1" applyBorder="1" applyAlignment="1" applyProtection="1">
      <alignment horizontal="center" vertical="center" wrapText="1"/>
      <protection locked="0"/>
    </xf>
    <xf numFmtId="0" fontId="11" fillId="2" borderId="9" xfId="56" applyNumberFormat="1" applyFont="1" applyFill="1" applyBorder="1" applyAlignment="1" applyProtection="1">
      <alignment horizontal="center" vertical="center" wrapText="1"/>
      <protection locked="0"/>
    </xf>
    <xf numFmtId="0" fontId="11" fillId="2" borderId="12" xfId="56" applyNumberFormat="1" applyFont="1" applyFill="1" applyBorder="1" applyAlignment="1" applyProtection="1">
      <alignment horizontal="center" vertical="center" wrapText="1"/>
      <protection locked="0"/>
    </xf>
    <xf numFmtId="0" fontId="14" fillId="2" borderId="4" xfId="56" applyNumberFormat="1" applyFont="1" applyFill="1" applyBorder="1" applyAlignment="1" applyProtection="1">
      <alignment horizontal="center" vertical="center" wrapText="1"/>
      <protection locked="0"/>
    </xf>
    <xf numFmtId="9" fontId="11" fillId="2" borderId="1" xfId="59" applyNumberFormat="1" applyFont="1" applyFill="1" applyBorder="1" applyAlignment="1" applyProtection="1">
      <alignment horizontal="center" vertical="center" wrapText="1"/>
      <protection locked="0"/>
    </xf>
    <xf numFmtId="0" fontId="20" fillId="2" borderId="5" xfId="56" applyNumberFormat="1" applyFont="1" applyFill="1" applyBorder="1" applyAlignment="1" applyProtection="1">
      <alignment horizontal="center" vertical="center" wrapText="1"/>
      <protection locked="0"/>
    </xf>
    <xf numFmtId="0" fontId="21" fillId="2" borderId="1" xfId="56" applyNumberFormat="1" applyFont="1" applyFill="1" applyBorder="1" applyAlignment="1" applyProtection="1">
      <alignment horizontal="center" vertical="center" wrapText="1"/>
      <protection locked="0"/>
    </xf>
    <xf numFmtId="0" fontId="20" fillId="2" borderId="7" xfId="56" applyNumberFormat="1" applyFont="1" applyFill="1" applyBorder="1" applyAlignment="1" applyProtection="1">
      <alignment horizontal="center" vertical="center" wrapText="1"/>
      <protection locked="0"/>
    </xf>
    <xf numFmtId="0" fontId="20" fillId="2" borderId="6" xfId="56" applyNumberFormat="1" applyFont="1" applyFill="1" applyBorder="1" applyAlignment="1" applyProtection="1">
      <alignment horizontal="center" vertical="center" wrapText="1"/>
      <protection locked="0"/>
    </xf>
    <xf numFmtId="0" fontId="22" fillId="2" borderId="1" xfId="56" applyNumberFormat="1" applyFont="1" applyFill="1" applyBorder="1" applyAlignment="1" applyProtection="1">
      <alignment horizontal="center" vertical="center" wrapText="1"/>
      <protection locked="0"/>
    </xf>
    <xf numFmtId="0" fontId="14" fillId="0" borderId="1" xfId="56" applyNumberFormat="1" applyFont="1" applyFill="1" applyBorder="1" applyAlignment="1" applyProtection="1">
      <alignment horizontal="center" vertical="center" wrapText="1"/>
      <protection locked="0"/>
    </xf>
    <xf numFmtId="0" fontId="11" fillId="0" borderId="1" xfId="56" applyNumberFormat="1" applyFont="1" applyFill="1" applyBorder="1" applyAlignment="1" applyProtection="1">
      <alignment horizontal="center" vertical="center" wrapText="1"/>
      <protection locked="0"/>
    </xf>
    <xf numFmtId="0" fontId="23" fillId="6" borderId="4" xfId="0" applyFont="1" applyFill="1" applyBorder="1" applyAlignment="1" applyProtection="1">
      <alignment horizontal="center" vertical="center" wrapText="1"/>
      <protection locked="0"/>
    </xf>
    <xf numFmtId="0" fontId="11" fillId="2" borderId="1" xfId="52" applyNumberFormat="1" applyFont="1" applyFill="1" applyBorder="1" applyAlignment="1" applyProtection="1">
      <alignment horizontal="center" vertical="center" wrapText="1"/>
      <protection locked="0"/>
    </xf>
    <xf numFmtId="0" fontId="12" fillId="0" borderId="1" xfId="56" applyNumberFormat="1" applyFont="1" applyBorder="1" applyAlignment="1" applyProtection="1">
      <alignment horizontal="center" vertical="center" wrapText="1"/>
      <protection locked="0"/>
    </xf>
    <xf numFmtId="0" fontId="24" fillId="4" borderId="8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26" fillId="0" borderId="1" xfId="6" applyFont="1" applyBorder="1" applyAlignment="1">
      <alignment horizontal="center" vertical="center"/>
    </xf>
    <xf numFmtId="0" fontId="27" fillId="0" borderId="1" xfId="6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28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4" fontId="16" fillId="0" borderId="1" xfId="0" applyNumberFormat="1" applyFont="1" applyBorder="1" applyAlignment="1">
      <alignment horizontal="center" vertical="center"/>
    </xf>
    <xf numFmtId="0" fontId="28" fillId="3" borderId="1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</cellXfs>
  <cellStyles count="6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常规 2 2" xfId="50"/>
    <cellStyle name="常规 21" xfId="51"/>
    <cellStyle name="常规 5" xfId="52"/>
    <cellStyle name="常规 5 2" xfId="53"/>
    <cellStyle name="常规 58" xfId="54"/>
    <cellStyle name="常规 58 2" xfId="55"/>
    <cellStyle name="常规 6" xfId="56"/>
    <cellStyle name="常规_buffalo QC Flow Chart (Control Plan) 3" xfId="57"/>
    <cellStyle name="常规_buffalo QC Flow Chart (Control Plan) 4 3" xfId="58"/>
    <cellStyle name="样式 1 4" xfId="59"/>
  </cellStyles>
  <tableStyles count="0" defaultTableStyle="TableStyleMedium2" defaultPivotStyle="PivotStyleLight16"/>
  <colors>
    <mruColors>
      <color rgb="00C0E6F5"/>
      <color rgb="00A9D5BC"/>
      <color rgb="00A9CADF"/>
      <color rgb="0073FB79"/>
      <color rgb="0076D6FF"/>
      <color rgb="0073FEFF"/>
      <color rgb="007FB1D1"/>
      <color rgb="000432FF"/>
      <color rgb="00000000"/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6.png"/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4" Type="http://schemas.openxmlformats.org/officeDocument/2006/relationships/image" Target="../media/image10.png"/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94615</xdr:colOff>
      <xdr:row>18</xdr:row>
      <xdr:rowOff>91440</xdr:rowOff>
    </xdr:from>
    <xdr:to>
      <xdr:col>5</xdr:col>
      <xdr:colOff>1596390</xdr:colOff>
      <xdr:row>18</xdr:row>
      <xdr:rowOff>343535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39095" y="8244840"/>
          <a:ext cx="1501775" cy="252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260985</xdr:colOff>
      <xdr:row>22</xdr:row>
      <xdr:rowOff>106680</xdr:rowOff>
    </xdr:from>
    <xdr:to>
      <xdr:col>5</xdr:col>
      <xdr:colOff>1526540</xdr:colOff>
      <xdr:row>22</xdr:row>
      <xdr:rowOff>358775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705465" y="9987280"/>
          <a:ext cx="1265555" cy="252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161925</xdr:colOff>
      <xdr:row>44</xdr:row>
      <xdr:rowOff>74295</xdr:rowOff>
    </xdr:from>
    <xdr:to>
      <xdr:col>5</xdr:col>
      <xdr:colOff>1663700</xdr:colOff>
      <xdr:row>44</xdr:row>
      <xdr:rowOff>326390</xdr:rowOff>
    </xdr:to>
    <xdr:pic>
      <xdr:nvPicPr>
        <xdr:cNvPr id="6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606405" y="19454495"/>
          <a:ext cx="1501775" cy="252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161925</xdr:colOff>
      <xdr:row>45</xdr:row>
      <xdr:rowOff>74295</xdr:rowOff>
    </xdr:from>
    <xdr:to>
      <xdr:col>5</xdr:col>
      <xdr:colOff>1663700</xdr:colOff>
      <xdr:row>45</xdr:row>
      <xdr:rowOff>326390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606405" y="19886295"/>
          <a:ext cx="1501775" cy="252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260985</xdr:colOff>
      <xdr:row>49</xdr:row>
      <xdr:rowOff>106680</xdr:rowOff>
    </xdr:from>
    <xdr:to>
      <xdr:col>5</xdr:col>
      <xdr:colOff>1526540</xdr:colOff>
      <xdr:row>49</xdr:row>
      <xdr:rowOff>358775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705465" y="21645880"/>
          <a:ext cx="1265555" cy="252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94615</xdr:colOff>
      <xdr:row>71</xdr:row>
      <xdr:rowOff>91440</xdr:rowOff>
    </xdr:from>
    <xdr:to>
      <xdr:col>5</xdr:col>
      <xdr:colOff>1596390</xdr:colOff>
      <xdr:row>71</xdr:row>
      <xdr:rowOff>343535</xdr:rowOff>
    </xdr:to>
    <xdr:pic>
      <xdr:nvPicPr>
        <xdr:cNvPr id="15" name="图片 1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39095" y="31130240"/>
          <a:ext cx="1501775" cy="252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260985</xdr:colOff>
      <xdr:row>75</xdr:row>
      <xdr:rowOff>106680</xdr:rowOff>
    </xdr:from>
    <xdr:to>
      <xdr:col>5</xdr:col>
      <xdr:colOff>1526540</xdr:colOff>
      <xdr:row>75</xdr:row>
      <xdr:rowOff>358775</xdr:rowOff>
    </xdr:to>
    <xdr:pic>
      <xdr:nvPicPr>
        <xdr:cNvPr id="16" name="图片 1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705465" y="32872680"/>
          <a:ext cx="1265555" cy="252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94615</xdr:colOff>
      <xdr:row>97</xdr:row>
      <xdr:rowOff>91440</xdr:rowOff>
    </xdr:from>
    <xdr:to>
      <xdr:col>5</xdr:col>
      <xdr:colOff>1596390</xdr:colOff>
      <xdr:row>97</xdr:row>
      <xdr:rowOff>343535</xdr:rowOff>
    </xdr:to>
    <xdr:pic>
      <xdr:nvPicPr>
        <xdr:cNvPr id="27" name="图片 2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39095" y="42357040"/>
          <a:ext cx="1501775" cy="252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260985</xdr:colOff>
      <xdr:row>102</xdr:row>
      <xdr:rowOff>106680</xdr:rowOff>
    </xdr:from>
    <xdr:to>
      <xdr:col>5</xdr:col>
      <xdr:colOff>1526540</xdr:colOff>
      <xdr:row>102</xdr:row>
      <xdr:rowOff>358775</xdr:rowOff>
    </xdr:to>
    <xdr:pic>
      <xdr:nvPicPr>
        <xdr:cNvPr id="28" name="图片 2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705465" y="44531280"/>
          <a:ext cx="1265555" cy="2520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356870</xdr:colOff>
      <xdr:row>30</xdr:row>
      <xdr:rowOff>64770</xdr:rowOff>
    </xdr:from>
    <xdr:to>
      <xdr:col>4</xdr:col>
      <xdr:colOff>1459230</xdr:colOff>
      <xdr:row>30</xdr:row>
      <xdr:rowOff>316865</xdr:rowOff>
    </xdr:to>
    <xdr:pic>
      <xdr:nvPicPr>
        <xdr:cNvPr id="14" name="图片 1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416290" y="13679170"/>
          <a:ext cx="1102360" cy="252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314960</xdr:colOff>
      <xdr:row>37</xdr:row>
      <xdr:rowOff>73025</xdr:rowOff>
    </xdr:from>
    <xdr:to>
      <xdr:col>4</xdr:col>
      <xdr:colOff>1417320</xdr:colOff>
      <xdr:row>37</xdr:row>
      <xdr:rowOff>795655</xdr:rowOff>
    </xdr:to>
    <xdr:pic>
      <xdr:nvPicPr>
        <xdr:cNvPr id="6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374380" y="18399125"/>
          <a:ext cx="1102360" cy="722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321945</xdr:colOff>
      <xdr:row>37</xdr:row>
      <xdr:rowOff>56515</xdr:rowOff>
    </xdr:from>
    <xdr:to>
      <xdr:col>6</xdr:col>
      <xdr:colOff>1424305</xdr:colOff>
      <xdr:row>37</xdr:row>
      <xdr:rowOff>779145</xdr:rowOff>
    </xdr:to>
    <xdr:pic>
      <xdr:nvPicPr>
        <xdr:cNvPr id="7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861165" y="18382615"/>
          <a:ext cx="1102360" cy="722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311150</xdr:colOff>
      <xdr:row>37</xdr:row>
      <xdr:rowOff>40005</xdr:rowOff>
    </xdr:from>
    <xdr:to>
      <xdr:col>9</xdr:col>
      <xdr:colOff>1413510</xdr:colOff>
      <xdr:row>37</xdr:row>
      <xdr:rowOff>762635</xdr:rowOff>
    </xdr:to>
    <xdr:pic>
      <xdr:nvPicPr>
        <xdr:cNvPr id="8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070070" y="18366105"/>
          <a:ext cx="1102360" cy="722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307975</xdr:colOff>
      <xdr:row>37</xdr:row>
      <xdr:rowOff>23495</xdr:rowOff>
    </xdr:from>
    <xdr:to>
      <xdr:col>11</xdr:col>
      <xdr:colOff>1410335</xdr:colOff>
      <xdr:row>37</xdr:row>
      <xdr:rowOff>746125</xdr:rowOff>
    </xdr:to>
    <xdr:pic>
      <xdr:nvPicPr>
        <xdr:cNvPr id="9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546695" y="18349595"/>
          <a:ext cx="1102360" cy="722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340995</xdr:colOff>
      <xdr:row>32</xdr:row>
      <xdr:rowOff>83820</xdr:rowOff>
    </xdr:from>
    <xdr:to>
      <xdr:col>4</xdr:col>
      <xdr:colOff>1443990</xdr:colOff>
      <xdr:row>32</xdr:row>
      <xdr:rowOff>806450</xdr:rowOff>
    </xdr:to>
    <xdr:pic>
      <xdr:nvPicPr>
        <xdr:cNvPr id="10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400415" y="14993620"/>
          <a:ext cx="1102995" cy="722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336550</xdr:colOff>
      <xdr:row>32</xdr:row>
      <xdr:rowOff>83820</xdr:rowOff>
    </xdr:from>
    <xdr:to>
      <xdr:col>6</xdr:col>
      <xdr:colOff>1439545</xdr:colOff>
      <xdr:row>32</xdr:row>
      <xdr:rowOff>806450</xdr:rowOff>
    </xdr:to>
    <xdr:pic>
      <xdr:nvPicPr>
        <xdr:cNvPr id="11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875770" y="14993620"/>
          <a:ext cx="1102995" cy="722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339725</xdr:colOff>
      <xdr:row>32</xdr:row>
      <xdr:rowOff>66040</xdr:rowOff>
    </xdr:from>
    <xdr:to>
      <xdr:col>9</xdr:col>
      <xdr:colOff>1441450</xdr:colOff>
      <xdr:row>32</xdr:row>
      <xdr:rowOff>786130</xdr:rowOff>
    </xdr:to>
    <xdr:pic>
      <xdr:nvPicPr>
        <xdr:cNvPr id="12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098645" y="14975840"/>
          <a:ext cx="1101725" cy="720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295275</xdr:colOff>
      <xdr:row>32</xdr:row>
      <xdr:rowOff>83820</xdr:rowOff>
    </xdr:from>
    <xdr:to>
      <xdr:col>11</xdr:col>
      <xdr:colOff>1398270</xdr:colOff>
      <xdr:row>32</xdr:row>
      <xdr:rowOff>806450</xdr:rowOff>
    </xdr:to>
    <xdr:pic>
      <xdr:nvPicPr>
        <xdr:cNvPr id="1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533995" y="14993620"/>
          <a:ext cx="1102995" cy="722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71755</xdr:colOff>
      <xdr:row>27</xdr:row>
      <xdr:rowOff>65405</xdr:rowOff>
    </xdr:from>
    <xdr:to>
      <xdr:col>4</xdr:col>
      <xdr:colOff>1682750</xdr:colOff>
      <xdr:row>27</xdr:row>
      <xdr:rowOff>353695</xdr:rowOff>
    </xdr:to>
    <xdr:pic>
      <xdr:nvPicPr>
        <xdr:cNvPr id="16" name="图片 1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131175" y="12384405"/>
          <a:ext cx="1610995" cy="288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71755</xdr:colOff>
      <xdr:row>28</xdr:row>
      <xdr:rowOff>69850</xdr:rowOff>
    </xdr:from>
    <xdr:to>
      <xdr:col>4</xdr:col>
      <xdr:colOff>1682750</xdr:colOff>
      <xdr:row>28</xdr:row>
      <xdr:rowOff>358140</xdr:rowOff>
    </xdr:to>
    <xdr:pic>
      <xdr:nvPicPr>
        <xdr:cNvPr id="17" name="图片 1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131175" y="12820650"/>
          <a:ext cx="1610995" cy="288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71755</xdr:colOff>
      <xdr:row>29</xdr:row>
      <xdr:rowOff>74295</xdr:rowOff>
    </xdr:from>
    <xdr:to>
      <xdr:col>4</xdr:col>
      <xdr:colOff>1682750</xdr:colOff>
      <xdr:row>29</xdr:row>
      <xdr:rowOff>362585</xdr:rowOff>
    </xdr:to>
    <xdr:pic>
      <xdr:nvPicPr>
        <xdr:cNvPr id="18" name="图片 1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131175" y="13256895"/>
          <a:ext cx="1610995" cy="288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129540</xdr:colOff>
      <xdr:row>26</xdr:row>
      <xdr:rowOff>114935</xdr:rowOff>
    </xdr:from>
    <xdr:to>
      <xdr:col>4</xdr:col>
      <xdr:colOff>1689735</xdr:colOff>
      <xdr:row>26</xdr:row>
      <xdr:rowOff>367030</xdr:rowOff>
    </xdr:to>
    <xdr:pic>
      <xdr:nvPicPr>
        <xdr:cNvPr id="2" name="图片 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188960" y="12002135"/>
          <a:ext cx="1560195" cy="2520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534670</xdr:colOff>
      <xdr:row>16</xdr:row>
      <xdr:rowOff>86360</xdr:rowOff>
    </xdr:from>
    <xdr:to>
      <xdr:col>4</xdr:col>
      <xdr:colOff>1644650</xdr:colOff>
      <xdr:row>16</xdr:row>
      <xdr:rowOff>813435</xdr:rowOff>
    </xdr:to>
    <xdr:pic>
      <xdr:nvPicPr>
        <xdr:cNvPr id="2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047355" y="5902960"/>
          <a:ext cx="1109980" cy="7270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433293</xdr:colOff>
      <xdr:row>11</xdr:row>
      <xdr:rowOff>268942</xdr:rowOff>
    </xdr:from>
    <xdr:to>
      <xdr:col>3</xdr:col>
      <xdr:colOff>6843059</xdr:colOff>
      <xdr:row>31</xdr:row>
      <xdr:rowOff>240619</xdr:rowOff>
    </xdr:to>
    <xdr:pic>
      <xdr:nvPicPr>
        <xdr:cNvPr id="7" name="Picture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2170" y="3286125"/>
          <a:ext cx="8365490" cy="5559425"/>
        </a:xfrm>
        <a:prstGeom prst="rect">
          <a:avLst/>
        </a:prstGeom>
      </xdr:spPr>
    </xdr:pic>
    <xdr:clientData/>
  </xdr:twoCellAnchor>
  <xdr:twoCellAnchor editAs="oneCell">
    <xdr:from>
      <xdr:col>1</xdr:col>
      <xdr:colOff>335748</xdr:colOff>
      <xdr:row>82</xdr:row>
      <xdr:rowOff>175172</xdr:rowOff>
    </xdr:from>
    <xdr:to>
      <xdr:col>3</xdr:col>
      <xdr:colOff>6875518</xdr:colOff>
      <xdr:row>104</xdr:row>
      <xdr:rowOff>213905</xdr:rowOff>
    </xdr:to>
    <xdr:pic>
      <xdr:nvPicPr>
        <xdr:cNvPr id="2" name="Picture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54380" y="23029545"/>
          <a:ext cx="8495665" cy="6185535"/>
        </a:xfrm>
        <a:prstGeom prst="rect">
          <a:avLst/>
        </a:prstGeom>
      </xdr:spPr>
    </xdr:pic>
    <xdr:clientData/>
  </xdr:twoCellAnchor>
  <xdr:twoCellAnchor editAs="oneCell">
    <xdr:from>
      <xdr:col>0</xdr:col>
      <xdr:colOff>393095</xdr:colOff>
      <xdr:row>60</xdr:row>
      <xdr:rowOff>30238</xdr:rowOff>
    </xdr:from>
    <xdr:to>
      <xdr:col>4</xdr:col>
      <xdr:colOff>576562</xdr:colOff>
      <xdr:row>79</xdr:row>
      <xdr:rowOff>136071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93065" y="16737965"/>
          <a:ext cx="10050780" cy="5414645"/>
        </a:xfrm>
        <a:prstGeom prst="rect">
          <a:avLst/>
        </a:prstGeom>
      </xdr:spPr>
    </xdr:pic>
    <xdr:clientData/>
  </xdr:twoCellAnchor>
  <xdr:twoCellAnchor editAs="oneCell">
    <xdr:from>
      <xdr:col>2</xdr:col>
      <xdr:colOff>211668</xdr:colOff>
      <xdr:row>35</xdr:row>
      <xdr:rowOff>226784</xdr:rowOff>
    </xdr:from>
    <xdr:to>
      <xdr:col>3</xdr:col>
      <xdr:colOff>6244167</xdr:colOff>
      <xdr:row>55</xdr:row>
      <xdr:rowOff>234256</xdr:rowOff>
    </xdr:to>
    <xdr:pic>
      <xdr:nvPicPr>
        <xdr:cNvPr id="6" name="Picture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56055" y="9949815"/>
          <a:ext cx="7162800" cy="55949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"/>
  <sheetViews>
    <sheetView showGridLines="0" tabSelected="1" zoomScale="84" zoomScaleNormal="84" workbookViewId="0">
      <selection activeCell="E11" sqref="E11"/>
    </sheetView>
  </sheetViews>
  <sheetFormatPr defaultColWidth="11" defaultRowHeight="17.6"/>
  <cols>
    <col min="1" max="1" width="34.2666666666667" style="30" customWidth="1"/>
    <col min="2" max="2" width="25.8333333333333" style="30" customWidth="1"/>
    <col min="3" max="5" width="9.83333333333333" style="30" customWidth="1"/>
    <col min="6" max="6" width="11.3333333333333" style="30" customWidth="1"/>
    <col min="7" max="8" width="9.83333333333333" style="30" customWidth="1"/>
    <col min="9" max="9" width="75.8333333333333" style="30" customWidth="1"/>
    <col min="10" max="11" width="20.8333333333333" style="30" customWidth="1"/>
    <col min="12" max="16384" width="10.8333333333333" style="30"/>
  </cols>
  <sheetData>
    <row r="1" ht="22" customHeight="1" spans="1:6">
      <c r="A1" s="17" t="s">
        <v>0</v>
      </c>
      <c r="B1" s="17" t="s">
        <v>1</v>
      </c>
      <c r="C1" s="18"/>
      <c r="D1" s="18"/>
      <c r="E1" s="18"/>
      <c r="F1" s="18"/>
    </row>
    <row r="2" ht="22" customHeight="1" spans="1:6">
      <c r="A2" s="146" t="s">
        <v>2</v>
      </c>
      <c r="B2" s="146" t="s">
        <v>3</v>
      </c>
      <c r="C2" s="18"/>
      <c r="D2" s="18"/>
      <c r="E2" s="18"/>
      <c r="F2" s="18"/>
    </row>
    <row r="3" ht="22" customHeight="1" spans="1:6">
      <c r="A3" s="17" t="s">
        <v>4</v>
      </c>
      <c r="B3" s="17" t="s">
        <v>5</v>
      </c>
      <c r="C3" s="18"/>
      <c r="D3" s="18"/>
      <c r="E3" s="18"/>
      <c r="F3" s="18"/>
    </row>
    <row r="4" ht="22" customHeight="1" spans="1:6">
      <c r="A4" s="147" t="s">
        <v>6</v>
      </c>
      <c r="B4" s="147" t="s">
        <v>7</v>
      </c>
      <c r="C4" s="18"/>
      <c r="D4" s="18"/>
      <c r="E4" s="18"/>
      <c r="F4" s="18"/>
    </row>
    <row r="5" ht="22" customHeight="1" spans="1:6">
      <c r="A5" s="17" t="s">
        <v>8</v>
      </c>
      <c r="B5" s="17" t="s">
        <v>9</v>
      </c>
      <c r="C5" s="18"/>
      <c r="D5" s="18"/>
      <c r="E5" s="18"/>
      <c r="F5" s="18"/>
    </row>
    <row r="6" ht="84" spans="1:6">
      <c r="A6" s="148" t="s">
        <v>10</v>
      </c>
      <c r="B6" s="149" t="s">
        <v>11</v>
      </c>
      <c r="C6" s="18"/>
      <c r="D6" s="18"/>
      <c r="E6" s="18"/>
      <c r="F6" s="20"/>
    </row>
    <row r="7" ht="68" spans="1:2">
      <c r="A7" s="148" t="s">
        <v>12</v>
      </c>
      <c r="B7" s="150" t="s">
        <v>13</v>
      </c>
    </row>
    <row r="8" ht="68" spans="1:6">
      <c r="A8" s="148" t="s">
        <v>12</v>
      </c>
      <c r="B8" s="150" t="s">
        <v>14</v>
      </c>
      <c r="C8" s="18"/>
      <c r="D8" s="18"/>
      <c r="E8" s="18"/>
      <c r="F8" s="18"/>
    </row>
    <row r="9" ht="22" customHeight="1" spans="1:6">
      <c r="A9" s="151" t="s">
        <v>15</v>
      </c>
      <c r="B9" s="150" t="s">
        <v>16</v>
      </c>
      <c r="C9" s="18"/>
      <c r="D9" s="18"/>
      <c r="E9" s="18"/>
      <c r="F9" s="18"/>
    </row>
    <row r="10" ht="22" customHeight="1" spans="1:2">
      <c r="A10" s="151" t="s">
        <v>15</v>
      </c>
      <c r="B10" s="149" t="s">
        <v>17</v>
      </c>
    </row>
    <row r="11" ht="101" spans="1:2">
      <c r="A11" s="148" t="s">
        <v>18</v>
      </c>
      <c r="B11" s="150" t="s">
        <v>19</v>
      </c>
    </row>
    <row r="12" ht="22" customHeight="1" spans="1:1">
      <c r="A12" s="20"/>
    </row>
    <row r="13" ht="22" customHeight="1" spans="1:11">
      <c r="A13" s="152" t="s">
        <v>20</v>
      </c>
      <c r="B13" s="152" t="s">
        <v>21</v>
      </c>
      <c r="C13" s="17" t="s">
        <v>22</v>
      </c>
      <c r="D13" s="17"/>
      <c r="E13" s="17"/>
      <c r="F13" s="17"/>
      <c r="G13" s="17"/>
      <c r="H13" s="17"/>
      <c r="I13" s="159" t="s">
        <v>23</v>
      </c>
      <c r="J13" s="152" t="s">
        <v>24</v>
      </c>
      <c r="K13" s="152" t="s">
        <v>25</v>
      </c>
    </row>
    <row r="14" ht="34" spans="1:11">
      <c r="A14" s="152"/>
      <c r="B14" s="152"/>
      <c r="C14" s="153" t="s">
        <v>11</v>
      </c>
      <c r="D14" s="153" t="s">
        <v>13</v>
      </c>
      <c r="E14" s="153" t="s">
        <v>14</v>
      </c>
      <c r="F14" s="153" t="s">
        <v>16</v>
      </c>
      <c r="G14" s="153" t="s">
        <v>17</v>
      </c>
      <c r="H14" s="153" t="s">
        <v>19</v>
      </c>
      <c r="I14" s="159"/>
      <c r="J14" s="152"/>
      <c r="K14" s="152"/>
    </row>
    <row r="15" ht="22" customHeight="1" spans="1:11">
      <c r="A15" s="147">
        <v>1</v>
      </c>
      <c r="B15" s="154">
        <v>45712</v>
      </c>
      <c r="C15" s="147" t="s">
        <v>26</v>
      </c>
      <c r="D15" s="147" t="s">
        <v>26</v>
      </c>
      <c r="E15" s="147" t="s">
        <v>26</v>
      </c>
      <c r="F15" s="147" t="s">
        <v>26</v>
      </c>
      <c r="G15" s="147" t="s">
        <v>26</v>
      </c>
      <c r="H15" s="147" t="s">
        <v>26</v>
      </c>
      <c r="I15" s="155" t="s">
        <v>27</v>
      </c>
      <c r="J15" s="155" t="s">
        <v>28</v>
      </c>
      <c r="K15" s="155" t="s">
        <v>29</v>
      </c>
    </row>
    <row r="16" s="145" customFormat="1" ht="22" customHeight="1" spans="1:11">
      <c r="A16" s="155">
        <v>2</v>
      </c>
      <c r="B16" s="156">
        <v>45777</v>
      </c>
      <c r="C16" s="155" t="s">
        <v>26</v>
      </c>
      <c r="D16" s="155" t="s">
        <v>26</v>
      </c>
      <c r="E16" s="155" t="s">
        <v>26</v>
      </c>
      <c r="F16" s="155" t="s">
        <v>26</v>
      </c>
      <c r="G16" s="155" t="s">
        <v>26</v>
      </c>
      <c r="H16" s="155" t="s">
        <v>26</v>
      </c>
      <c r="I16" s="155" t="s">
        <v>30</v>
      </c>
      <c r="J16" s="155" t="s">
        <v>28</v>
      </c>
      <c r="K16" s="155" t="s">
        <v>31</v>
      </c>
    </row>
    <row r="17" s="145" customFormat="1" ht="22" customHeight="1" spans="1:11">
      <c r="A17" s="155">
        <v>3</v>
      </c>
      <c r="B17" s="156">
        <v>45826</v>
      </c>
      <c r="C17" s="155" t="s">
        <v>26</v>
      </c>
      <c r="D17" s="155" t="s">
        <v>26</v>
      </c>
      <c r="E17" s="155" t="s">
        <v>26</v>
      </c>
      <c r="F17" s="155" t="s">
        <v>26</v>
      </c>
      <c r="G17" s="155" t="s">
        <v>26</v>
      </c>
      <c r="H17" s="155" t="s">
        <v>26</v>
      </c>
      <c r="I17" s="155" t="s">
        <v>32</v>
      </c>
      <c r="J17" s="155" t="s">
        <v>28</v>
      </c>
      <c r="K17" s="155" t="s">
        <v>31</v>
      </c>
    </row>
    <row r="18" s="145" customFormat="1" ht="22" customHeight="1" spans="1:11">
      <c r="A18" s="155">
        <v>4</v>
      </c>
      <c r="B18" s="156">
        <v>45834</v>
      </c>
      <c r="C18" s="155" t="s">
        <v>26</v>
      </c>
      <c r="D18" s="155" t="s">
        <v>26</v>
      </c>
      <c r="E18" s="155" t="s">
        <v>26</v>
      </c>
      <c r="F18" s="155" t="s">
        <v>26</v>
      </c>
      <c r="G18" s="155" t="s">
        <v>26</v>
      </c>
      <c r="H18" s="155" t="s">
        <v>26</v>
      </c>
      <c r="I18" s="155" t="s">
        <v>33</v>
      </c>
      <c r="J18" s="155" t="s">
        <v>28</v>
      </c>
      <c r="K18" s="155" t="s">
        <v>31</v>
      </c>
    </row>
    <row r="19" ht="22" customHeight="1" spans="1:11">
      <c r="A19" s="155">
        <v>5</v>
      </c>
      <c r="B19" s="156">
        <v>45854</v>
      </c>
      <c r="C19" s="155" t="s">
        <v>26</v>
      </c>
      <c r="D19" s="155" t="s">
        <v>26</v>
      </c>
      <c r="E19" s="155" t="s">
        <v>26</v>
      </c>
      <c r="F19" s="155" t="s">
        <v>26</v>
      </c>
      <c r="G19" s="155" t="s">
        <v>26</v>
      </c>
      <c r="H19" s="155" t="s">
        <v>26</v>
      </c>
      <c r="I19" s="155" t="s">
        <v>34</v>
      </c>
      <c r="J19" s="155" t="s">
        <v>28</v>
      </c>
      <c r="K19" s="155" t="s">
        <v>31</v>
      </c>
    </row>
    <row r="20" ht="22" customHeight="1" spans="1:11">
      <c r="A20" s="157">
        <v>6</v>
      </c>
      <c r="B20" s="158">
        <v>45917</v>
      </c>
      <c r="C20" s="157" t="s">
        <v>26</v>
      </c>
      <c r="D20" s="157" t="s">
        <v>26</v>
      </c>
      <c r="E20" s="157" t="s">
        <v>26</v>
      </c>
      <c r="F20" s="157" t="s">
        <v>26</v>
      </c>
      <c r="G20" s="157" t="s">
        <v>26</v>
      </c>
      <c r="H20" s="157" t="s">
        <v>26</v>
      </c>
      <c r="I20" s="157" t="s">
        <v>35</v>
      </c>
      <c r="J20" s="157" t="s">
        <v>28</v>
      </c>
      <c r="K20" s="157" t="s">
        <v>31</v>
      </c>
    </row>
    <row r="21" ht="22" customHeight="1" spans="1:11">
      <c r="A21" s="147"/>
      <c r="B21" s="154"/>
      <c r="C21" s="147"/>
      <c r="D21" s="147"/>
      <c r="E21" s="147"/>
      <c r="F21" s="147"/>
      <c r="G21" s="147"/>
      <c r="H21" s="147"/>
      <c r="I21" s="147"/>
      <c r="J21" s="147"/>
      <c r="K21" s="147"/>
    </row>
    <row r="22" ht="22" customHeight="1" spans="1:11">
      <c r="A22" s="147"/>
      <c r="B22" s="154"/>
      <c r="C22" s="147"/>
      <c r="D22" s="147"/>
      <c r="E22" s="147"/>
      <c r="F22" s="147"/>
      <c r="G22" s="147"/>
      <c r="H22" s="147"/>
      <c r="I22" s="147"/>
      <c r="J22" s="147"/>
      <c r="K22" s="147"/>
    </row>
    <row r="23" ht="22" customHeight="1" spans="1:11">
      <c r="A23" s="147"/>
      <c r="B23" s="154"/>
      <c r="C23" s="147"/>
      <c r="D23" s="147"/>
      <c r="E23" s="147"/>
      <c r="F23" s="147"/>
      <c r="G23" s="147"/>
      <c r="H23" s="147"/>
      <c r="I23" s="147"/>
      <c r="J23" s="147"/>
      <c r="K23" s="147"/>
    </row>
    <row r="30" spans="9:9">
      <c r="I30" s="160"/>
    </row>
  </sheetData>
  <mergeCells count="6">
    <mergeCell ref="C13:H13"/>
    <mergeCell ref="A13:A14"/>
    <mergeCell ref="B13:B14"/>
    <mergeCell ref="I13:I14"/>
    <mergeCell ref="J13:J14"/>
    <mergeCell ref="K13:K14"/>
  </mergeCells>
  <dataValidations count="1">
    <dataValidation type="list" showInputMessage="1" showErrorMessage="1" sqref="C18:H18 C19:H19 C20:H20 C15:H17 C21:H23">
      <formula1>"Yes, -"</formula1>
    </dataValidation>
  </dataValidations>
  <hyperlinks>
    <hyperlink ref="B6" location="IQC!A1" display="IQC"/>
    <hyperlink ref="B7" location="Machining!A1" display="Machining"/>
    <hyperlink ref="B8" location="'Surface Treatment'!A1" display="Surface Treatment"/>
    <hyperlink ref="B9" location="Assembing!A1" display="Assembing"/>
    <hyperlink ref="B10" location="OQC!A1" display="OQC"/>
    <hyperlink ref="B11" location="Rel!A1" display="Rel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"/>
  <sheetViews>
    <sheetView showGridLines="0" zoomScale="65" zoomScaleNormal="65" zoomScaleSheetLayoutView="55" showRuler="0" workbookViewId="0">
      <pane ySplit="7" topLeftCell="A8" activePane="bottomLeft" state="frozen"/>
      <selection/>
      <selection pane="bottomLeft" activeCell="B18" sqref="B18:B22"/>
    </sheetView>
  </sheetViews>
  <sheetFormatPr defaultColWidth="8.83333333333333" defaultRowHeight="22" customHeight="1" outlineLevelCol="7"/>
  <cols>
    <col min="1" max="1" width="35.425" style="15" customWidth="1"/>
    <col min="2" max="4" width="25.8333333333333" style="15" customWidth="1"/>
    <col min="5" max="5" width="32.475" style="16" customWidth="1"/>
    <col min="6" max="8" width="25.8333333333333" style="15" customWidth="1"/>
    <col min="9" max="16384" width="8.83333333333333" style="15"/>
  </cols>
  <sheetData>
    <row r="1" s="12" customFormat="1" customHeight="1" spans="1:8">
      <c r="A1" s="17" t="s">
        <v>4</v>
      </c>
      <c r="B1" s="17" t="s">
        <v>5</v>
      </c>
      <c r="C1" s="18"/>
      <c r="D1" s="18"/>
      <c r="E1" s="18"/>
      <c r="F1" s="18"/>
      <c r="G1" s="18"/>
      <c r="H1" s="18"/>
    </row>
    <row r="2" s="12" customFormat="1" customHeight="1" spans="1:8">
      <c r="A2" s="19" t="str">
        <f>IF(Revision!A4="","",Revision!A4)</f>
        <v>B747 BUD</v>
      </c>
      <c r="B2" s="19" t="str">
        <f>IF(Revision!B4="","",Revision!B4)</f>
        <v>Ramp</v>
      </c>
      <c r="C2" s="20"/>
      <c r="D2" s="18"/>
      <c r="E2" s="18"/>
      <c r="F2" s="18"/>
      <c r="G2" s="18"/>
      <c r="H2" s="18"/>
    </row>
    <row r="3" s="12" customFormat="1" customHeight="1" spans="1:8">
      <c r="A3" s="17" t="s">
        <v>8</v>
      </c>
      <c r="B3" s="17" t="s">
        <v>9</v>
      </c>
      <c r="C3" s="18"/>
      <c r="D3" s="18"/>
      <c r="E3" s="18"/>
      <c r="F3" s="18"/>
      <c r="G3" s="18"/>
      <c r="H3" s="18"/>
    </row>
    <row r="4" s="12" customFormat="1" ht="103" customHeight="1" spans="1:8">
      <c r="A4" s="123" t="str">
        <f>Revision!A6</f>
        <v>160-05811-B(Mirror 160-05815-B)
160-05812-B(Mirror 160-05816-B)
160-05813-B(Mirror 160-05817-B)
160-05814-B(Mirror 160-05816-B)
806-55638-A(Mirror 806-55645-A)</v>
      </c>
      <c r="B4" s="19" t="str">
        <f>Revision!B6</f>
        <v>IQC</v>
      </c>
      <c r="C4" s="20"/>
      <c r="D4" s="18"/>
      <c r="E4" s="30"/>
      <c r="F4" s="30"/>
      <c r="G4" s="30"/>
      <c r="H4" s="30"/>
    </row>
    <row r="5" s="12" customFormat="1" ht="7" customHeight="1" spans="5:5">
      <c r="E5" s="31"/>
    </row>
    <row r="6" s="13" customFormat="1" ht="37" customHeight="1" spans="1:8">
      <c r="A6" s="42" t="s">
        <v>36</v>
      </c>
      <c r="B6" s="42" t="s">
        <v>8</v>
      </c>
      <c r="C6" s="42" t="s">
        <v>20</v>
      </c>
      <c r="D6" s="24" t="s">
        <v>37</v>
      </c>
      <c r="E6" s="42" t="s">
        <v>38</v>
      </c>
      <c r="F6" s="58" t="s">
        <v>39</v>
      </c>
      <c r="G6" s="59"/>
      <c r="H6" s="60"/>
    </row>
    <row r="7" s="13" customFormat="1" customHeight="1" spans="1:8">
      <c r="A7" s="44"/>
      <c r="B7" s="44"/>
      <c r="C7" s="44"/>
      <c r="D7" s="24"/>
      <c r="E7" s="44"/>
      <c r="F7" s="61" t="s">
        <v>40</v>
      </c>
      <c r="G7" s="62" t="s">
        <v>41</v>
      </c>
      <c r="H7" s="62" t="s">
        <v>42</v>
      </c>
    </row>
    <row r="8" s="14" customFormat="1" ht="34" customHeight="1" spans="1:8">
      <c r="A8" s="124" t="s">
        <v>43</v>
      </c>
      <c r="B8" s="134" t="s">
        <v>44</v>
      </c>
      <c r="C8" s="135">
        <v>6</v>
      </c>
      <c r="D8" s="80" t="s">
        <v>45</v>
      </c>
      <c r="E8" s="100" t="s">
        <v>46</v>
      </c>
      <c r="F8" s="100" t="s">
        <v>47</v>
      </c>
      <c r="G8" s="98" t="s">
        <v>48</v>
      </c>
      <c r="H8" s="133" t="s">
        <v>49</v>
      </c>
    </row>
    <row r="9" s="14" customFormat="1" ht="34" customHeight="1" spans="1:8">
      <c r="A9" s="125"/>
      <c r="B9" s="136"/>
      <c r="C9" s="135">
        <v>6</v>
      </c>
      <c r="D9" s="80" t="s">
        <v>45</v>
      </c>
      <c r="E9" s="138" t="s">
        <v>50</v>
      </c>
      <c r="F9" s="139" t="s">
        <v>47</v>
      </c>
      <c r="G9" s="140" t="s">
        <v>48</v>
      </c>
      <c r="H9" s="102" t="s">
        <v>51</v>
      </c>
    </row>
    <row r="10" s="14" customFormat="1" ht="34" customHeight="1" spans="1:8">
      <c r="A10" s="125"/>
      <c r="B10" s="136"/>
      <c r="C10" s="135">
        <v>6</v>
      </c>
      <c r="D10" s="80" t="s">
        <v>45</v>
      </c>
      <c r="E10" s="100" t="s">
        <v>52</v>
      </c>
      <c r="F10" s="100" t="s">
        <v>47</v>
      </c>
      <c r="G10" s="98" t="s">
        <v>48</v>
      </c>
      <c r="H10" s="133" t="s">
        <v>49</v>
      </c>
    </row>
    <row r="11" s="14" customFormat="1" ht="34" customHeight="1" spans="1:8">
      <c r="A11" s="125"/>
      <c r="B11" s="136"/>
      <c r="C11" s="135">
        <v>6</v>
      </c>
      <c r="D11" s="80" t="s">
        <v>53</v>
      </c>
      <c r="E11" s="100" t="s">
        <v>54</v>
      </c>
      <c r="F11" s="100" t="s">
        <v>55</v>
      </c>
      <c r="G11" s="98" t="s">
        <v>48</v>
      </c>
      <c r="H11" s="133" t="s">
        <v>49</v>
      </c>
    </row>
    <row r="12" s="14" customFormat="1" ht="34" customHeight="1" spans="1:8">
      <c r="A12" s="126"/>
      <c r="B12" s="137"/>
      <c r="C12" s="135">
        <v>6</v>
      </c>
      <c r="D12" s="80" t="s">
        <v>53</v>
      </c>
      <c r="E12" s="141" t="s">
        <v>56</v>
      </c>
      <c r="F12" s="139" t="s">
        <v>57</v>
      </c>
      <c r="G12" s="140" t="s">
        <v>48</v>
      </c>
      <c r="H12" s="102" t="s">
        <v>51</v>
      </c>
    </row>
    <row r="13" s="14" customFormat="1" ht="34" customHeight="1" spans="1:8">
      <c r="A13" s="124" t="s">
        <v>58</v>
      </c>
      <c r="B13" s="134" t="s">
        <v>59</v>
      </c>
      <c r="C13" s="135">
        <v>6</v>
      </c>
      <c r="D13" s="80" t="s">
        <v>45</v>
      </c>
      <c r="E13" s="100" t="s">
        <v>46</v>
      </c>
      <c r="F13" s="100" t="s">
        <v>47</v>
      </c>
      <c r="G13" s="98" t="s">
        <v>48</v>
      </c>
      <c r="H13" s="133" t="s">
        <v>49</v>
      </c>
    </row>
    <row r="14" s="14" customFormat="1" ht="34" customHeight="1" spans="1:8">
      <c r="A14" s="125"/>
      <c r="B14" s="136"/>
      <c r="C14" s="135">
        <v>6</v>
      </c>
      <c r="D14" s="80" t="s">
        <v>45</v>
      </c>
      <c r="E14" s="138" t="s">
        <v>50</v>
      </c>
      <c r="F14" s="139" t="s">
        <v>47</v>
      </c>
      <c r="G14" s="140" t="s">
        <v>48</v>
      </c>
      <c r="H14" s="102" t="s">
        <v>51</v>
      </c>
    </row>
    <row r="15" s="14" customFormat="1" ht="34" customHeight="1" spans="1:8">
      <c r="A15" s="125"/>
      <c r="B15" s="136"/>
      <c r="C15" s="135">
        <v>6</v>
      </c>
      <c r="D15" s="80" t="s">
        <v>45</v>
      </c>
      <c r="E15" s="100" t="s">
        <v>52</v>
      </c>
      <c r="F15" s="100" t="s">
        <v>47</v>
      </c>
      <c r="G15" s="98" t="s">
        <v>48</v>
      </c>
      <c r="H15" s="133" t="s">
        <v>49</v>
      </c>
    </row>
    <row r="16" s="14" customFormat="1" ht="34" customHeight="1" spans="1:8">
      <c r="A16" s="125"/>
      <c r="B16" s="136"/>
      <c r="C16" s="135">
        <v>6</v>
      </c>
      <c r="D16" s="80" t="s">
        <v>53</v>
      </c>
      <c r="E16" s="100" t="s">
        <v>54</v>
      </c>
      <c r="F16" s="100" t="s">
        <v>55</v>
      </c>
      <c r="G16" s="98" t="s">
        <v>48</v>
      </c>
      <c r="H16" s="133" t="s">
        <v>49</v>
      </c>
    </row>
    <row r="17" s="14" customFormat="1" ht="34" customHeight="1" spans="1:8">
      <c r="A17" s="126"/>
      <c r="B17" s="137"/>
      <c r="C17" s="135">
        <v>6</v>
      </c>
      <c r="D17" s="80" t="s">
        <v>53</v>
      </c>
      <c r="E17" s="141" t="s">
        <v>56</v>
      </c>
      <c r="F17" s="139" t="s">
        <v>57</v>
      </c>
      <c r="G17" s="140" t="s">
        <v>48</v>
      </c>
      <c r="H17" s="102" t="s">
        <v>51</v>
      </c>
    </row>
    <row r="18" s="14" customFormat="1" ht="34" customHeight="1" spans="1:8">
      <c r="A18" s="124" t="s">
        <v>60</v>
      </c>
      <c r="B18" s="134" t="s">
        <v>61</v>
      </c>
      <c r="C18" s="135">
        <v>6</v>
      </c>
      <c r="D18" s="80" t="s">
        <v>45</v>
      </c>
      <c r="E18" s="100" t="s">
        <v>46</v>
      </c>
      <c r="F18" s="100" t="s">
        <v>47</v>
      </c>
      <c r="G18" s="98" t="s">
        <v>48</v>
      </c>
      <c r="H18" s="142" t="s">
        <v>49</v>
      </c>
    </row>
    <row r="19" s="14" customFormat="1" ht="34" customHeight="1" spans="1:8">
      <c r="A19" s="125"/>
      <c r="B19" s="136"/>
      <c r="C19" s="135">
        <v>6</v>
      </c>
      <c r="D19" s="80" t="s">
        <v>45</v>
      </c>
      <c r="E19" s="138" t="s">
        <v>50</v>
      </c>
      <c r="F19" s="100" t="s">
        <v>47</v>
      </c>
      <c r="G19" s="98" t="s">
        <v>48</v>
      </c>
      <c r="H19" s="142" t="s">
        <v>49</v>
      </c>
    </row>
    <row r="20" s="14" customFormat="1" ht="34" customHeight="1" spans="1:8">
      <c r="A20" s="125"/>
      <c r="B20" s="136"/>
      <c r="C20" s="135">
        <v>6</v>
      </c>
      <c r="D20" s="80" t="s">
        <v>45</v>
      </c>
      <c r="E20" s="100" t="s">
        <v>52</v>
      </c>
      <c r="F20" s="100" t="s">
        <v>47</v>
      </c>
      <c r="G20" s="98" t="s">
        <v>48</v>
      </c>
      <c r="H20" s="142" t="s">
        <v>49</v>
      </c>
    </row>
    <row r="21" s="14" customFormat="1" ht="34" customHeight="1" spans="1:8">
      <c r="A21" s="125"/>
      <c r="B21" s="136"/>
      <c r="C21" s="135">
        <v>6</v>
      </c>
      <c r="D21" s="80" t="s">
        <v>53</v>
      </c>
      <c r="E21" s="100" t="s">
        <v>54</v>
      </c>
      <c r="F21" s="100" t="s">
        <v>55</v>
      </c>
      <c r="G21" s="98" t="s">
        <v>48</v>
      </c>
      <c r="H21" s="142" t="s">
        <v>49</v>
      </c>
    </row>
    <row r="22" s="14" customFormat="1" ht="34" customHeight="1" spans="1:8">
      <c r="A22" s="126"/>
      <c r="B22" s="137"/>
      <c r="C22" s="135">
        <v>6</v>
      </c>
      <c r="D22" s="80" t="s">
        <v>53</v>
      </c>
      <c r="E22" s="100" t="s">
        <v>62</v>
      </c>
      <c r="F22" s="100" t="s">
        <v>57</v>
      </c>
      <c r="G22" s="98" t="s">
        <v>48</v>
      </c>
      <c r="H22" s="142" t="s">
        <v>49</v>
      </c>
    </row>
    <row r="23" s="14" customFormat="1" ht="34" customHeight="1" spans="1:8">
      <c r="A23" s="124" t="s">
        <v>63</v>
      </c>
      <c r="B23" s="134" t="s">
        <v>64</v>
      </c>
      <c r="C23" s="135">
        <v>6</v>
      </c>
      <c r="D23" s="80" t="s">
        <v>45</v>
      </c>
      <c r="E23" s="100" t="s">
        <v>46</v>
      </c>
      <c r="F23" s="100" t="s">
        <v>47</v>
      </c>
      <c r="G23" s="98" t="s">
        <v>48</v>
      </c>
      <c r="H23" s="142" t="s">
        <v>49</v>
      </c>
    </row>
    <row r="24" s="14" customFormat="1" ht="34" customHeight="1" spans="1:8">
      <c r="A24" s="125"/>
      <c r="B24" s="136"/>
      <c r="C24" s="135">
        <v>6</v>
      </c>
      <c r="D24" s="80" t="s">
        <v>45</v>
      </c>
      <c r="E24" s="138" t="s">
        <v>50</v>
      </c>
      <c r="F24" s="100" t="s">
        <v>47</v>
      </c>
      <c r="G24" s="98" t="s">
        <v>48</v>
      </c>
      <c r="H24" s="142" t="s">
        <v>49</v>
      </c>
    </row>
    <row r="25" s="14" customFormat="1" ht="34" customHeight="1" spans="1:8">
      <c r="A25" s="125"/>
      <c r="B25" s="136"/>
      <c r="C25" s="135">
        <v>6</v>
      </c>
      <c r="D25" s="80" t="s">
        <v>45</v>
      </c>
      <c r="E25" s="100" t="s">
        <v>52</v>
      </c>
      <c r="F25" s="100" t="s">
        <v>47</v>
      </c>
      <c r="G25" s="98" t="s">
        <v>48</v>
      </c>
      <c r="H25" s="142" t="s">
        <v>49</v>
      </c>
    </row>
    <row r="26" s="14" customFormat="1" ht="34" customHeight="1" spans="1:8">
      <c r="A26" s="125"/>
      <c r="B26" s="136"/>
      <c r="C26" s="135">
        <v>6</v>
      </c>
      <c r="D26" s="80" t="s">
        <v>53</v>
      </c>
      <c r="E26" s="100" t="s">
        <v>54</v>
      </c>
      <c r="F26" s="100" t="s">
        <v>55</v>
      </c>
      <c r="G26" s="98" t="s">
        <v>48</v>
      </c>
      <c r="H26" s="142" t="s">
        <v>49</v>
      </c>
    </row>
    <row r="27" s="14" customFormat="1" ht="34" customHeight="1" spans="1:8">
      <c r="A27" s="126"/>
      <c r="B27" s="137"/>
      <c r="C27" s="135">
        <v>6</v>
      </c>
      <c r="D27" s="80" t="s">
        <v>53</v>
      </c>
      <c r="E27" s="100" t="s">
        <v>62</v>
      </c>
      <c r="F27" s="100" t="s">
        <v>57</v>
      </c>
      <c r="G27" s="98" t="s">
        <v>48</v>
      </c>
      <c r="H27" s="142" t="s">
        <v>49</v>
      </c>
    </row>
    <row r="28" s="14" customFormat="1" ht="34" customHeight="1" spans="1:8">
      <c r="A28" s="125" t="s">
        <v>65</v>
      </c>
      <c r="B28" s="136" t="s">
        <v>66</v>
      </c>
      <c r="C28" s="135">
        <v>6</v>
      </c>
      <c r="D28" s="76" t="s">
        <v>67</v>
      </c>
      <c r="E28" s="143" t="s">
        <v>68</v>
      </c>
      <c r="F28" s="143" t="s">
        <v>69</v>
      </c>
      <c r="G28" s="68" t="s">
        <v>70</v>
      </c>
      <c r="H28" s="102" t="s">
        <v>51</v>
      </c>
    </row>
    <row r="29" s="14" customFormat="1" ht="34" customHeight="1" spans="1:8">
      <c r="A29" s="125"/>
      <c r="B29" s="136"/>
      <c r="C29" s="135">
        <v>6</v>
      </c>
      <c r="D29" s="76" t="s">
        <v>67</v>
      </c>
      <c r="E29" s="143" t="s">
        <v>71</v>
      </c>
      <c r="F29" s="143" t="s">
        <v>72</v>
      </c>
      <c r="G29" s="143" t="s">
        <v>73</v>
      </c>
      <c r="H29" s="102" t="s">
        <v>51</v>
      </c>
    </row>
    <row r="30" s="14" customFormat="1" ht="34" customHeight="1" spans="1:8">
      <c r="A30" s="125"/>
      <c r="B30" s="136"/>
      <c r="C30" s="135">
        <v>6</v>
      </c>
      <c r="D30" s="80" t="s">
        <v>67</v>
      </c>
      <c r="E30" s="98" t="s">
        <v>74</v>
      </c>
      <c r="F30" s="68" t="s">
        <v>75</v>
      </c>
      <c r="G30" s="68" t="s">
        <v>73</v>
      </c>
      <c r="H30" s="102" t="s">
        <v>76</v>
      </c>
    </row>
    <row r="31" s="14" customFormat="1" ht="34" customHeight="1" spans="1:8">
      <c r="A31" s="125"/>
      <c r="B31" s="136"/>
      <c r="C31" s="135">
        <v>6</v>
      </c>
      <c r="D31" s="80" t="s">
        <v>67</v>
      </c>
      <c r="E31" s="98" t="s">
        <v>77</v>
      </c>
      <c r="F31" s="98" t="s">
        <v>75</v>
      </c>
      <c r="G31" s="68" t="s">
        <v>73</v>
      </c>
      <c r="H31" s="102" t="s">
        <v>76</v>
      </c>
    </row>
    <row r="32" s="14" customFormat="1" ht="34" customHeight="1" spans="1:8">
      <c r="A32" s="125"/>
      <c r="B32" s="136"/>
      <c r="C32" s="135">
        <v>6</v>
      </c>
      <c r="D32" s="80" t="s">
        <v>67</v>
      </c>
      <c r="E32" s="98" t="s">
        <v>78</v>
      </c>
      <c r="F32" s="98" t="s">
        <v>75</v>
      </c>
      <c r="G32" s="68" t="s">
        <v>73</v>
      </c>
      <c r="H32" s="102" t="s">
        <v>76</v>
      </c>
    </row>
    <row r="33" s="14" customFormat="1" ht="34" customHeight="1" spans="1:8">
      <c r="A33" s="125"/>
      <c r="B33" s="136"/>
      <c r="C33" s="135">
        <v>6</v>
      </c>
      <c r="D33" s="80" t="s">
        <v>67</v>
      </c>
      <c r="E33" s="98" t="s">
        <v>79</v>
      </c>
      <c r="F33" s="98" t="s">
        <v>75</v>
      </c>
      <c r="G33" s="68" t="s">
        <v>73</v>
      </c>
      <c r="H33" s="102" t="s">
        <v>76</v>
      </c>
    </row>
    <row r="34" s="14" customFormat="1" ht="34" customHeight="1" spans="1:8">
      <c r="A34" s="125"/>
      <c r="B34" s="136"/>
      <c r="C34" s="135">
        <v>6</v>
      </c>
      <c r="D34" s="80" t="s">
        <v>67</v>
      </c>
      <c r="E34" s="98" t="s">
        <v>80</v>
      </c>
      <c r="F34" s="98" t="s">
        <v>81</v>
      </c>
      <c r="G34" s="68" t="s">
        <v>73</v>
      </c>
      <c r="H34" s="102" t="s">
        <v>76</v>
      </c>
    </row>
    <row r="35" s="14" customFormat="1" ht="34" customHeight="1" spans="1:8">
      <c r="A35" s="125"/>
      <c r="B35" s="136"/>
      <c r="C35" s="135">
        <v>6</v>
      </c>
      <c r="D35" s="80" t="s">
        <v>67</v>
      </c>
      <c r="E35" s="98" t="s">
        <v>82</v>
      </c>
      <c r="F35" s="100" t="s">
        <v>83</v>
      </c>
      <c r="G35" s="140" t="s">
        <v>84</v>
      </c>
      <c r="H35" s="102" t="s">
        <v>85</v>
      </c>
    </row>
    <row r="36" s="14" customFormat="1" ht="34" customHeight="1" spans="1:8">
      <c r="A36" s="125"/>
      <c r="B36" s="136"/>
      <c r="C36" s="135">
        <v>6</v>
      </c>
      <c r="D36" s="80" t="s">
        <v>53</v>
      </c>
      <c r="E36" s="140" t="s">
        <v>86</v>
      </c>
      <c r="F36" s="139" t="s">
        <v>87</v>
      </c>
      <c r="G36" s="140" t="s">
        <v>84</v>
      </c>
      <c r="H36" s="102" t="s">
        <v>51</v>
      </c>
    </row>
    <row r="37" s="14" customFormat="1" ht="34" customHeight="1" spans="1:8">
      <c r="A37" s="126"/>
      <c r="B37" s="137"/>
      <c r="C37" s="135">
        <v>6</v>
      </c>
      <c r="D37" s="80" t="s">
        <v>88</v>
      </c>
      <c r="E37" s="144" t="s">
        <v>89</v>
      </c>
      <c r="F37" s="98" t="s">
        <v>90</v>
      </c>
      <c r="G37" s="68" t="s">
        <v>91</v>
      </c>
      <c r="H37" s="68" t="s">
        <v>91</v>
      </c>
    </row>
  </sheetData>
  <sheetProtection sort="0" autoFilter="0" pivotTables="0"/>
  <mergeCells count="16">
    <mergeCell ref="F6:H6"/>
    <mergeCell ref="A6:A7"/>
    <mergeCell ref="A8:A12"/>
    <mergeCell ref="A13:A17"/>
    <mergeCell ref="A18:A22"/>
    <mergeCell ref="A23:A27"/>
    <mergeCell ref="A28:A37"/>
    <mergeCell ref="B6:B7"/>
    <mergeCell ref="B8:B12"/>
    <mergeCell ref="B13:B17"/>
    <mergeCell ref="B18:B22"/>
    <mergeCell ref="B23:B27"/>
    <mergeCell ref="B28:B37"/>
    <mergeCell ref="C6:C7"/>
    <mergeCell ref="D6:D7"/>
    <mergeCell ref="E6:E7"/>
  </mergeCells>
  <dataValidations count="2">
    <dataValidation type="list" allowBlank="1" showInputMessage="1" showErrorMessage="1" sqref="H9 H12 H14 H17 H28:H36">
      <formula1>"0收1退(Ac=0),CPK≥1.33,Yield&gt;99.5%,No Alert(65%)"</formula1>
    </dataValidation>
    <dataValidation type="list" allowBlank="1" showInputMessage="1" showErrorMessage="1" sqref="D8:D37">
      <formula1>"Dim, Cos, Function, ORT, Rel"</formula1>
    </dataValidation>
  </dataValidations>
  <pageMargins left="0" right="0" top="0" bottom="0" header="0" footer="0"/>
  <pageSetup paperSize="1" scale="53" orientation="landscape"/>
  <headerFooter/>
  <rowBreaks count="1" manualBreakCount="1">
    <brk id="2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9"/>
  <sheetViews>
    <sheetView showGridLines="0" zoomScale="78" zoomScaleNormal="78" zoomScaleSheetLayoutView="55" showRuler="0" workbookViewId="0">
      <pane ySplit="7" topLeftCell="A8" activePane="bottomLeft" state="frozen"/>
      <selection/>
      <selection pane="bottomLeft" activeCell="B11" sqref="B11"/>
    </sheetView>
  </sheetViews>
  <sheetFormatPr defaultColWidth="8.83333333333333" defaultRowHeight="22" customHeight="1"/>
  <cols>
    <col min="1" max="1" width="20.7166666666667" style="15" customWidth="1"/>
    <col min="2" max="2" width="31.875" style="15" customWidth="1"/>
    <col min="3" max="3" width="25.8333333333333" style="15" customWidth="1"/>
    <col min="4" max="6" width="22.8333333333333" style="15" customWidth="1" outlineLevel="1"/>
    <col min="7" max="9" width="22.8333333333333" style="16" customWidth="1"/>
    <col min="10" max="15" width="22.8333333333333" style="15" customWidth="1"/>
    <col min="16" max="16384" width="8.83333333333333" style="15"/>
  </cols>
  <sheetData>
    <row r="1" s="12" customFormat="1" customHeight="1" spans="2:13">
      <c r="B1" s="17" t="s">
        <v>4</v>
      </c>
      <c r="C1" s="17" t="s">
        <v>5</v>
      </c>
      <c r="G1" s="20"/>
      <c r="H1" s="20"/>
      <c r="I1" s="20"/>
      <c r="J1" s="20"/>
      <c r="K1" s="20"/>
      <c r="L1" s="20"/>
      <c r="M1" s="20"/>
    </row>
    <row r="2" s="12" customFormat="1" customHeight="1" spans="2:13">
      <c r="B2" s="19" t="str">
        <f>IF(Revision!A4="","",Revision!A4)</f>
        <v>B747 BUD</v>
      </c>
      <c r="C2" s="19" t="str">
        <f>IF(Revision!B4="","",Revision!B4)</f>
        <v>Ramp</v>
      </c>
      <c r="G2" s="20"/>
      <c r="H2" s="20"/>
      <c r="I2" s="20"/>
      <c r="J2" s="20"/>
      <c r="K2" s="20"/>
      <c r="L2" s="20"/>
      <c r="M2" s="20"/>
    </row>
    <row r="3" s="12" customFormat="1" customHeight="1" spans="2:13">
      <c r="B3" s="17" t="s">
        <v>8</v>
      </c>
      <c r="C3" s="17" t="s">
        <v>9</v>
      </c>
      <c r="G3" s="20"/>
      <c r="H3" s="20"/>
      <c r="I3" s="20"/>
      <c r="J3" s="20"/>
      <c r="K3" s="20"/>
      <c r="L3" s="20"/>
      <c r="M3" s="20"/>
    </row>
    <row r="4" s="12" customFormat="1" ht="68" spans="2:15">
      <c r="B4" s="123" t="str">
        <f>Revision!A7</f>
        <v>160-05811-B(Mirror 160-05815-B)
160-05812-B(Mirror 160-05816-B)
160-05813-B(Mirror 160-05817-B)
160-05814-B(Mirror 160-05816-B)</v>
      </c>
      <c r="C4" s="19" t="str">
        <f>Revision!B7</f>
        <v>Machining</v>
      </c>
      <c r="G4" s="20"/>
      <c r="H4" s="20"/>
      <c r="I4" s="20"/>
      <c r="J4" s="20"/>
      <c r="K4" s="90"/>
      <c r="L4" s="90"/>
      <c r="M4" s="90"/>
      <c r="N4" s="90"/>
      <c r="O4" s="90"/>
    </row>
    <row r="5" s="12" customFormat="1" ht="7" customHeight="1" spans="7:9">
      <c r="G5" s="31"/>
      <c r="H5" s="31"/>
      <c r="I5" s="31"/>
    </row>
    <row r="6" s="13" customFormat="1" ht="37" customHeight="1" spans="1:15">
      <c r="A6" s="24" t="s">
        <v>8</v>
      </c>
      <c r="B6" s="24" t="s">
        <v>92</v>
      </c>
      <c r="C6" s="43" t="s">
        <v>93</v>
      </c>
      <c r="D6" s="73" t="s">
        <v>94</v>
      </c>
      <c r="E6" s="73"/>
      <c r="F6" s="73"/>
      <c r="G6" s="84" t="s">
        <v>95</v>
      </c>
      <c r="H6" s="85"/>
      <c r="I6" s="85"/>
      <c r="J6" s="91"/>
      <c r="K6" s="58" t="s">
        <v>96</v>
      </c>
      <c r="L6" s="93"/>
      <c r="M6" s="94" t="s">
        <v>97</v>
      </c>
      <c r="N6" s="94"/>
      <c r="O6" s="93"/>
    </row>
    <row r="7" s="13" customFormat="1" customHeight="1" spans="1:15">
      <c r="A7" s="24"/>
      <c r="B7" s="24"/>
      <c r="C7" s="45"/>
      <c r="D7" s="73" t="s">
        <v>98</v>
      </c>
      <c r="E7" s="73" t="s">
        <v>99</v>
      </c>
      <c r="F7" s="73" t="s">
        <v>100</v>
      </c>
      <c r="G7" s="24" t="s">
        <v>101</v>
      </c>
      <c r="H7" s="24" t="s">
        <v>100</v>
      </c>
      <c r="I7" s="24" t="s">
        <v>9</v>
      </c>
      <c r="J7" s="24" t="s">
        <v>102</v>
      </c>
      <c r="K7" s="95" t="s">
        <v>103</v>
      </c>
      <c r="L7" s="61" t="s">
        <v>40</v>
      </c>
      <c r="M7" s="61" t="s">
        <v>104</v>
      </c>
      <c r="N7" s="61" t="s">
        <v>40</v>
      </c>
      <c r="O7" s="62" t="s">
        <v>105</v>
      </c>
    </row>
    <row r="8" s="14" customFormat="1" ht="34" customHeight="1" spans="1:15">
      <c r="A8" s="105" t="s">
        <v>106</v>
      </c>
      <c r="B8" s="80" t="s">
        <v>107</v>
      </c>
      <c r="C8" s="80" t="s">
        <v>67</v>
      </c>
      <c r="D8" s="80" t="s">
        <v>108</v>
      </c>
      <c r="E8" s="80" t="s">
        <v>108</v>
      </c>
      <c r="F8" s="80" t="s">
        <v>108</v>
      </c>
      <c r="G8" s="67" t="s">
        <v>108</v>
      </c>
      <c r="H8" s="67" t="s">
        <v>109</v>
      </c>
      <c r="I8" s="87" t="s">
        <v>110</v>
      </c>
      <c r="J8" s="67" t="s">
        <v>111</v>
      </c>
      <c r="K8" s="67" t="s">
        <v>112</v>
      </c>
      <c r="L8" s="98" t="s">
        <v>81</v>
      </c>
      <c r="M8" s="67" t="s">
        <v>112</v>
      </c>
      <c r="N8" s="98" t="s">
        <v>81</v>
      </c>
      <c r="O8" s="133" t="s">
        <v>113</v>
      </c>
    </row>
    <row r="9" s="14" customFormat="1" ht="34" customHeight="1" spans="1:15">
      <c r="A9" s="105"/>
      <c r="B9" s="80" t="s">
        <v>114</v>
      </c>
      <c r="C9" s="80" t="s">
        <v>67</v>
      </c>
      <c r="D9" s="80" t="s">
        <v>108</v>
      </c>
      <c r="E9" s="80" t="s">
        <v>108</v>
      </c>
      <c r="F9" s="80" t="s">
        <v>108</v>
      </c>
      <c r="G9" s="67" t="s">
        <v>108</v>
      </c>
      <c r="H9" s="67" t="s">
        <v>115</v>
      </c>
      <c r="I9" s="87" t="s">
        <v>110</v>
      </c>
      <c r="J9" s="67" t="s">
        <v>111</v>
      </c>
      <c r="K9" s="67" t="s">
        <v>116</v>
      </c>
      <c r="L9" s="98" t="s">
        <v>81</v>
      </c>
      <c r="M9" s="67" t="s">
        <v>116</v>
      </c>
      <c r="N9" s="98" t="s">
        <v>81</v>
      </c>
      <c r="O9" s="133" t="s">
        <v>113</v>
      </c>
    </row>
    <row r="10" s="14" customFormat="1" ht="34" customHeight="1" spans="1:15">
      <c r="A10" s="105"/>
      <c r="B10" s="80" t="s">
        <v>117</v>
      </c>
      <c r="C10" s="80" t="s">
        <v>67</v>
      </c>
      <c r="D10" s="80" t="s">
        <v>108</v>
      </c>
      <c r="E10" s="80" t="s">
        <v>108</v>
      </c>
      <c r="F10" s="80" t="s">
        <v>108</v>
      </c>
      <c r="G10" s="80" t="s">
        <v>108</v>
      </c>
      <c r="H10" s="67" t="s">
        <v>118</v>
      </c>
      <c r="I10" s="87" t="s">
        <v>119</v>
      </c>
      <c r="J10" s="67" t="s">
        <v>111</v>
      </c>
      <c r="K10" s="67" t="s">
        <v>120</v>
      </c>
      <c r="L10" s="98" t="s">
        <v>81</v>
      </c>
      <c r="M10" s="67" t="s">
        <v>120</v>
      </c>
      <c r="N10" s="98" t="s">
        <v>81</v>
      </c>
      <c r="O10" s="133" t="s">
        <v>113</v>
      </c>
    </row>
    <row r="11" s="14" customFormat="1" ht="34" customHeight="1" spans="1:15">
      <c r="A11" s="105"/>
      <c r="B11" s="80" t="s">
        <v>121</v>
      </c>
      <c r="C11" s="80" t="s">
        <v>67</v>
      </c>
      <c r="D11" s="80" t="s">
        <v>108</v>
      </c>
      <c r="E11" s="80" t="s">
        <v>108</v>
      </c>
      <c r="F11" s="80" t="s">
        <v>108</v>
      </c>
      <c r="G11" s="80" t="s">
        <v>108</v>
      </c>
      <c r="H11" s="67" t="s">
        <v>122</v>
      </c>
      <c r="I11" s="87" t="s">
        <v>119</v>
      </c>
      <c r="J11" s="67" t="s">
        <v>111</v>
      </c>
      <c r="K11" s="67" t="s">
        <v>123</v>
      </c>
      <c r="L11" s="98" t="s">
        <v>81</v>
      </c>
      <c r="M11" s="67" t="s">
        <v>123</v>
      </c>
      <c r="N11" s="98" t="s">
        <v>81</v>
      </c>
      <c r="O11" s="133" t="s">
        <v>113</v>
      </c>
    </row>
    <row r="12" s="14" customFormat="1" ht="34" customHeight="1" spans="1:15">
      <c r="A12" s="105"/>
      <c r="B12" s="124" t="s">
        <v>124</v>
      </c>
      <c r="C12" s="80" t="s">
        <v>67</v>
      </c>
      <c r="D12" s="80" t="s">
        <v>108</v>
      </c>
      <c r="E12" s="80" t="s">
        <v>108</v>
      </c>
      <c r="F12" s="80" t="s">
        <v>108</v>
      </c>
      <c r="G12" s="80" t="s">
        <v>108</v>
      </c>
      <c r="H12" s="67" t="s">
        <v>125</v>
      </c>
      <c r="I12" s="80" t="s">
        <v>126</v>
      </c>
      <c r="J12" s="67" t="s">
        <v>111</v>
      </c>
      <c r="K12" s="67" t="s">
        <v>127</v>
      </c>
      <c r="L12" s="98" t="s">
        <v>128</v>
      </c>
      <c r="M12" s="67" t="s">
        <v>127</v>
      </c>
      <c r="N12" s="98" t="s">
        <v>128</v>
      </c>
      <c r="O12" s="133" t="s">
        <v>113</v>
      </c>
    </row>
    <row r="13" s="14" customFormat="1" ht="34" customHeight="1" spans="1:15">
      <c r="A13" s="105"/>
      <c r="B13" s="125"/>
      <c r="C13" s="80" t="s">
        <v>67</v>
      </c>
      <c r="D13" s="80" t="s">
        <v>108</v>
      </c>
      <c r="E13" s="80" t="s">
        <v>108</v>
      </c>
      <c r="F13" s="80" t="s">
        <v>108</v>
      </c>
      <c r="G13" s="80" t="s">
        <v>108</v>
      </c>
      <c r="H13" s="67" t="s">
        <v>129</v>
      </c>
      <c r="I13" s="80" t="s">
        <v>126</v>
      </c>
      <c r="J13" s="67" t="s">
        <v>111</v>
      </c>
      <c r="K13" s="67" t="s">
        <v>130</v>
      </c>
      <c r="L13" s="98" t="s">
        <v>128</v>
      </c>
      <c r="M13" s="67" t="s">
        <v>130</v>
      </c>
      <c r="N13" s="98" t="s">
        <v>128</v>
      </c>
      <c r="O13" s="133" t="s">
        <v>113</v>
      </c>
    </row>
    <row r="14" s="14" customFormat="1" ht="34" customHeight="1" spans="1:15">
      <c r="A14" s="105"/>
      <c r="B14" s="126"/>
      <c r="C14" s="80" t="s">
        <v>67</v>
      </c>
      <c r="D14" s="80" t="s">
        <v>108</v>
      </c>
      <c r="E14" s="80" t="s">
        <v>108</v>
      </c>
      <c r="F14" s="80" t="s">
        <v>108</v>
      </c>
      <c r="G14" s="80" t="s">
        <v>108</v>
      </c>
      <c r="H14" s="67" t="s">
        <v>131</v>
      </c>
      <c r="I14" s="81" t="s">
        <v>132</v>
      </c>
      <c r="J14" s="67" t="s">
        <v>111</v>
      </c>
      <c r="K14" s="67" t="s">
        <v>133</v>
      </c>
      <c r="L14" s="98" t="s">
        <v>128</v>
      </c>
      <c r="M14" s="67" t="s">
        <v>133</v>
      </c>
      <c r="N14" s="98" t="s">
        <v>128</v>
      </c>
      <c r="O14" s="133" t="s">
        <v>113</v>
      </c>
    </row>
    <row r="15" s="14" customFormat="1" ht="34" customHeight="1" spans="1:15">
      <c r="A15" s="105"/>
      <c r="B15" s="80" t="s">
        <v>134</v>
      </c>
      <c r="C15" s="80" t="s">
        <v>67</v>
      </c>
      <c r="D15" s="80" t="s">
        <v>108</v>
      </c>
      <c r="E15" s="80" t="s">
        <v>108</v>
      </c>
      <c r="F15" s="80" t="s">
        <v>108</v>
      </c>
      <c r="G15" s="80" t="s">
        <v>108</v>
      </c>
      <c r="H15" s="67" t="s">
        <v>135</v>
      </c>
      <c r="I15" s="87" t="s">
        <v>136</v>
      </c>
      <c r="J15" s="67" t="s">
        <v>111</v>
      </c>
      <c r="K15" s="67" t="s">
        <v>137</v>
      </c>
      <c r="L15" s="98" t="s">
        <v>81</v>
      </c>
      <c r="M15" s="67" t="s">
        <v>137</v>
      </c>
      <c r="N15" s="98" t="s">
        <v>81</v>
      </c>
      <c r="O15" s="133" t="s">
        <v>113</v>
      </c>
    </row>
    <row r="16" s="14" customFormat="1" ht="34" customHeight="1" spans="1:15">
      <c r="A16" s="105"/>
      <c r="B16" s="80" t="s">
        <v>138</v>
      </c>
      <c r="C16" s="80" t="s">
        <v>67</v>
      </c>
      <c r="D16" s="80" t="s">
        <v>108</v>
      </c>
      <c r="E16" s="80" t="s">
        <v>108</v>
      </c>
      <c r="F16" s="80" t="s">
        <v>108</v>
      </c>
      <c r="G16" s="80" t="s">
        <v>108</v>
      </c>
      <c r="H16" s="67" t="s">
        <v>139</v>
      </c>
      <c r="I16" s="87" t="s">
        <v>136</v>
      </c>
      <c r="J16" s="67" t="s">
        <v>111</v>
      </c>
      <c r="K16" s="67" t="s">
        <v>140</v>
      </c>
      <c r="L16" s="98" t="s">
        <v>81</v>
      </c>
      <c r="M16" s="67" t="s">
        <v>140</v>
      </c>
      <c r="N16" s="98" t="s">
        <v>81</v>
      </c>
      <c r="O16" s="133" t="s">
        <v>113</v>
      </c>
    </row>
    <row r="17" s="14" customFormat="1" ht="34" customHeight="1" spans="1:15">
      <c r="A17" s="105"/>
      <c r="B17" s="81" t="s">
        <v>141</v>
      </c>
      <c r="C17" s="80" t="s">
        <v>67</v>
      </c>
      <c r="D17" s="80" t="s">
        <v>108</v>
      </c>
      <c r="E17" s="80" t="s">
        <v>108</v>
      </c>
      <c r="F17" s="80" t="s">
        <v>108</v>
      </c>
      <c r="G17" s="80" t="s">
        <v>108</v>
      </c>
      <c r="H17" s="67" t="s">
        <v>142</v>
      </c>
      <c r="I17" s="87" t="s">
        <v>143</v>
      </c>
      <c r="J17" s="67" t="s">
        <v>111</v>
      </c>
      <c r="K17" s="67" t="s">
        <v>144</v>
      </c>
      <c r="L17" s="98" t="s">
        <v>145</v>
      </c>
      <c r="M17" s="67" t="s">
        <v>144</v>
      </c>
      <c r="N17" s="98" t="s">
        <v>145</v>
      </c>
      <c r="O17" s="133" t="s">
        <v>113</v>
      </c>
    </row>
    <row r="18" s="14" customFormat="1" ht="34" customHeight="1" spans="1:15">
      <c r="A18" s="105" t="s">
        <v>146</v>
      </c>
      <c r="B18" s="80" t="s">
        <v>107</v>
      </c>
      <c r="C18" s="80" t="s">
        <v>67</v>
      </c>
      <c r="D18" s="80" t="s">
        <v>108</v>
      </c>
      <c r="E18" s="80" t="s">
        <v>108</v>
      </c>
      <c r="F18" s="80" t="s">
        <v>108</v>
      </c>
      <c r="G18" s="67" t="s">
        <v>108</v>
      </c>
      <c r="H18" s="67" t="s">
        <v>147</v>
      </c>
      <c r="I18" s="67" t="s">
        <v>148</v>
      </c>
      <c r="J18" s="67" t="s">
        <v>111</v>
      </c>
      <c r="K18" s="67" t="s">
        <v>149</v>
      </c>
      <c r="L18" s="98" t="s">
        <v>81</v>
      </c>
      <c r="M18" s="67" t="s">
        <v>149</v>
      </c>
      <c r="N18" s="98" t="s">
        <v>81</v>
      </c>
      <c r="O18" s="133" t="s">
        <v>113</v>
      </c>
    </row>
    <row r="19" s="14" customFormat="1" ht="34" spans="1:15">
      <c r="A19" s="105"/>
      <c r="B19" s="80" t="s">
        <v>114</v>
      </c>
      <c r="C19" s="80" t="s">
        <v>67</v>
      </c>
      <c r="D19" s="80" t="s">
        <v>108</v>
      </c>
      <c r="E19" s="80" t="s">
        <v>108</v>
      </c>
      <c r="F19" s="80" t="s">
        <v>108</v>
      </c>
      <c r="G19" s="67" t="s">
        <v>108</v>
      </c>
      <c r="H19" s="67" t="s">
        <v>150</v>
      </c>
      <c r="I19" s="67" t="s">
        <v>148</v>
      </c>
      <c r="J19" s="67" t="s">
        <v>111</v>
      </c>
      <c r="K19" s="67" t="s">
        <v>151</v>
      </c>
      <c r="L19" s="98" t="s">
        <v>81</v>
      </c>
      <c r="M19" s="67" t="s">
        <v>151</v>
      </c>
      <c r="N19" s="98" t="s">
        <v>81</v>
      </c>
      <c r="O19" s="133" t="s">
        <v>113</v>
      </c>
    </row>
    <row r="20" s="14" customFormat="1" ht="34" spans="1:15">
      <c r="A20" s="105"/>
      <c r="B20" s="80" t="s">
        <v>117</v>
      </c>
      <c r="C20" s="80" t="s">
        <v>67</v>
      </c>
      <c r="D20" s="80" t="s">
        <v>108</v>
      </c>
      <c r="E20" s="80" t="s">
        <v>108</v>
      </c>
      <c r="F20" s="80" t="s">
        <v>108</v>
      </c>
      <c r="G20" s="80" t="s">
        <v>108</v>
      </c>
      <c r="H20" s="67" t="s">
        <v>152</v>
      </c>
      <c r="I20" s="87" t="s">
        <v>119</v>
      </c>
      <c r="J20" s="67" t="s">
        <v>111</v>
      </c>
      <c r="K20" s="67" t="s">
        <v>153</v>
      </c>
      <c r="L20" s="98" t="s">
        <v>81</v>
      </c>
      <c r="M20" s="67" t="s">
        <v>153</v>
      </c>
      <c r="N20" s="98" t="s">
        <v>81</v>
      </c>
      <c r="O20" s="133" t="s">
        <v>113</v>
      </c>
    </row>
    <row r="21" s="14" customFormat="1" ht="34" spans="1:15">
      <c r="A21" s="105"/>
      <c r="B21" s="80" t="s">
        <v>121</v>
      </c>
      <c r="C21" s="80" t="s">
        <v>67</v>
      </c>
      <c r="D21" s="80" t="s">
        <v>108</v>
      </c>
      <c r="E21" s="80" t="s">
        <v>108</v>
      </c>
      <c r="F21" s="80" t="s">
        <v>108</v>
      </c>
      <c r="G21" s="80" t="s">
        <v>108</v>
      </c>
      <c r="H21" s="67" t="s">
        <v>154</v>
      </c>
      <c r="I21" s="87" t="s">
        <v>119</v>
      </c>
      <c r="J21" s="67" t="s">
        <v>111</v>
      </c>
      <c r="K21" s="67" t="s">
        <v>155</v>
      </c>
      <c r="L21" s="98" t="s">
        <v>81</v>
      </c>
      <c r="M21" s="67" t="s">
        <v>155</v>
      </c>
      <c r="N21" s="98" t="s">
        <v>81</v>
      </c>
      <c r="O21" s="133" t="s">
        <v>113</v>
      </c>
    </row>
    <row r="22" s="14" customFormat="1" ht="34" spans="1:15">
      <c r="A22" s="105"/>
      <c r="B22" s="124" t="s">
        <v>124</v>
      </c>
      <c r="C22" s="80" t="s">
        <v>67</v>
      </c>
      <c r="D22" s="80" t="s">
        <v>108</v>
      </c>
      <c r="E22" s="80" t="s">
        <v>108</v>
      </c>
      <c r="F22" s="80" t="s">
        <v>108</v>
      </c>
      <c r="G22" s="80" t="s">
        <v>108</v>
      </c>
      <c r="H22" s="67" t="s">
        <v>125</v>
      </c>
      <c r="I22" s="80" t="s">
        <v>126</v>
      </c>
      <c r="J22" s="67" t="s">
        <v>111</v>
      </c>
      <c r="K22" s="67" t="s">
        <v>127</v>
      </c>
      <c r="L22" s="98" t="s">
        <v>128</v>
      </c>
      <c r="M22" s="67" t="s">
        <v>127</v>
      </c>
      <c r="N22" s="98" t="s">
        <v>128</v>
      </c>
      <c r="O22" s="133" t="s">
        <v>113</v>
      </c>
    </row>
    <row r="23" s="14" customFormat="1" ht="34" spans="1:15">
      <c r="A23" s="105"/>
      <c r="B23" s="125"/>
      <c r="C23" s="80" t="s">
        <v>67</v>
      </c>
      <c r="D23" s="80"/>
      <c r="E23" s="80"/>
      <c r="F23" s="80"/>
      <c r="G23" s="80"/>
      <c r="H23" s="67" t="s">
        <v>156</v>
      </c>
      <c r="I23" s="80" t="s">
        <v>126</v>
      </c>
      <c r="J23" s="67" t="s">
        <v>111</v>
      </c>
      <c r="K23" s="67" t="s">
        <v>157</v>
      </c>
      <c r="L23" s="98" t="s">
        <v>128</v>
      </c>
      <c r="M23" s="67" t="s">
        <v>157</v>
      </c>
      <c r="N23" s="98" t="s">
        <v>128</v>
      </c>
      <c r="O23" s="133" t="s">
        <v>113</v>
      </c>
    </row>
    <row r="24" s="14" customFormat="1" ht="34" spans="1:15">
      <c r="A24" s="105"/>
      <c r="B24" s="126"/>
      <c r="C24" s="80" t="s">
        <v>67</v>
      </c>
      <c r="D24" s="80" t="s">
        <v>108</v>
      </c>
      <c r="E24" s="80" t="s">
        <v>108</v>
      </c>
      <c r="F24" s="80" t="s">
        <v>108</v>
      </c>
      <c r="G24" s="80" t="s">
        <v>108</v>
      </c>
      <c r="H24" s="67" t="s">
        <v>131</v>
      </c>
      <c r="I24" s="81" t="s">
        <v>132</v>
      </c>
      <c r="J24" s="67" t="s">
        <v>111</v>
      </c>
      <c r="K24" s="67" t="s">
        <v>133</v>
      </c>
      <c r="L24" s="98" t="s">
        <v>128</v>
      </c>
      <c r="M24" s="67" t="s">
        <v>133</v>
      </c>
      <c r="N24" s="98" t="s">
        <v>128</v>
      </c>
      <c r="O24" s="133" t="s">
        <v>113</v>
      </c>
    </row>
    <row r="25" s="14" customFormat="1" ht="34" spans="1:15">
      <c r="A25" s="105"/>
      <c r="B25" s="80" t="s">
        <v>158</v>
      </c>
      <c r="C25" s="80" t="s">
        <v>67</v>
      </c>
      <c r="D25" s="80" t="s">
        <v>108</v>
      </c>
      <c r="E25" s="80" t="s">
        <v>108</v>
      </c>
      <c r="F25" s="80" t="s">
        <v>108</v>
      </c>
      <c r="G25" s="80" t="s">
        <v>108</v>
      </c>
      <c r="H25" s="67" t="s">
        <v>159</v>
      </c>
      <c r="I25" s="87" t="s">
        <v>136</v>
      </c>
      <c r="J25" s="67" t="s">
        <v>111</v>
      </c>
      <c r="K25" s="67" t="s">
        <v>160</v>
      </c>
      <c r="L25" s="98" t="s">
        <v>81</v>
      </c>
      <c r="M25" s="67" t="s">
        <v>160</v>
      </c>
      <c r="N25" s="98" t="s">
        <v>81</v>
      </c>
      <c r="O25" s="133" t="s">
        <v>113</v>
      </c>
    </row>
    <row r="26" s="14" customFormat="1" ht="34" customHeight="1" spans="1:15">
      <c r="A26" s="105"/>
      <c r="B26" s="80" t="s">
        <v>138</v>
      </c>
      <c r="C26" s="80" t="s">
        <v>67</v>
      </c>
      <c r="D26" s="80" t="s">
        <v>108</v>
      </c>
      <c r="E26" s="80" t="s">
        <v>108</v>
      </c>
      <c r="F26" s="80" t="s">
        <v>108</v>
      </c>
      <c r="G26" s="80" t="s">
        <v>108</v>
      </c>
      <c r="H26" s="67" t="s">
        <v>161</v>
      </c>
      <c r="I26" s="87" t="s">
        <v>136</v>
      </c>
      <c r="J26" s="67" t="s">
        <v>111</v>
      </c>
      <c r="K26" s="67" t="s">
        <v>162</v>
      </c>
      <c r="L26" s="98" t="s">
        <v>81</v>
      </c>
      <c r="M26" s="67" t="s">
        <v>162</v>
      </c>
      <c r="N26" s="98" t="s">
        <v>81</v>
      </c>
      <c r="O26" s="133" t="s">
        <v>113</v>
      </c>
    </row>
    <row r="27" s="14" customFormat="1" ht="34" customHeight="1" spans="1:15">
      <c r="A27" s="105"/>
      <c r="B27" s="118" t="s">
        <v>141</v>
      </c>
      <c r="C27" s="80" t="s">
        <v>67</v>
      </c>
      <c r="D27" s="80" t="s">
        <v>108</v>
      </c>
      <c r="E27" s="80" t="s">
        <v>108</v>
      </c>
      <c r="F27" s="80" t="s">
        <v>108</v>
      </c>
      <c r="G27" s="80" t="s">
        <v>108</v>
      </c>
      <c r="H27" s="67" t="s">
        <v>142</v>
      </c>
      <c r="I27" s="87" t="s">
        <v>163</v>
      </c>
      <c r="J27" s="67" t="s">
        <v>111</v>
      </c>
      <c r="K27" s="67" t="s">
        <v>144</v>
      </c>
      <c r="L27" s="98" t="s">
        <v>145</v>
      </c>
      <c r="M27" s="67" t="s">
        <v>144</v>
      </c>
      <c r="N27" s="98" t="s">
        <v>145</v>
      </c>
      <c r="O27" s="133" t="s">
        <v>113</v>
      </c>
    </row>
    <row r="28" s="14" customFormat="1" ht="34" spans="1:15">
      <c r="A28" s="105"/>
      <c r="B28" s="127"/>
      <c r="C28" s="80" t="s">
        <v>67</v>
      </c>
      <c r="D28" s="80" t="s">
        <v>108</v>
      </c>
      <c r="E28" s="80" t="s">
        <v>108</v>
      </c>
      <c r="F28" s="80" t="s">
        <v>108</v>
      </c>
      <c r="G28" s="80" t="s">
        <v>108</v>
      </c>
      <c r="H28" s="67" t="s">
        <v>142</v>
      </c>
      <c r="I28" s="87" t="s">
        <v>164</v>
      </c>
      <c r="J28" s="67" t="s">
        <v>111</v>
      </c>
      <c r="K28" s="67" t="s">
        <v>144</v>
      </c>
      <c r="L28" s="98" t="s">
        <v>145</v>
      </c>
      <c r="M28" s="67" t="s">
        <v>144</v>
      </c>
      <c r="N28" s="98" t="s">
        <v>145</v>
      </c>
      <c r="O28" s="133" t="s">
        <v>113</v>
      </c>
    </row>
    <row r="29" s="14" customFormat="1" ht="34" customHeight="1" spans="1:15">
      <c r="A29" s="105" t="s">
        <v>165</v>
      </c>
      <c r="B29" s="80" t="s">
        <v>107</v>
      </c>
      <c r="C29" s="80" t="s">
        <v>67</v>
      </c>
      <c r="D29" s="80" t="s">
        <v>108</v>
      </c>
      <c r="E29" s="80" t="s">
        <v>108</v>
      </c>
      <c r="F29" s="80" t="s">
        <v>108</v>
      </c>
      <c r="G29" s="67" t="s">
        <v>108</v>
      </c>
      <c r="H29" s="67" t="s">
        <v>166</v>
      </c>
      <c r="I29" s="67" t="s">
        <v>148</v>
      </c>
      <c r="J29" s="67" t="s">
        <v>111</v>
      </c>
      <c r="K29" s="67" t="s">
        <v>167</v>
      </c>
      <c r="L29" s="98" t="s">
        <v>81</v>
      </c>
      <c r="M29" s="67" t="s">
        <v>167</v>
      </c>
      <c r="N29" s="98" t="s">
        <v>81</v>
      </c>
      <c r="O29" s="133" t="s">
        <v>113</v>
      </c>
    </row>
    <row r="30" s="14" customFormat="1" ht="34" customHeight="1" spans="1:15">
      <c r="A30" s="105"/>
      <c r="B30" s="80" t="s">
        <v>114</v>
      </c>
      <c r="C30" s="80" t="s">
        <v>67</v>
      </c>
      <c r="D30" s="80" t="s">
        <v>108</v>
      </c>
      <c r="E30" s="80" t="s">
        <v>108</v>
      </c>
      <c r="F30" s="80" t="s">
        <v>108</v>
      </c>
      <c r="G30" s="67" t="s">
        <v>108</v>
      </c>
      <c r="H30" s="67" t="s">
        <v>168</v>
      </c>
      <c r="I30" s="67" t="s">
        <v>148</v>
      </c>
      <c r="J30" s="67" t="s">
        <v>111</v>
      </c>
      <c r="K30" s="67" t="s">
        <v>169</v>
      </c>
      <c r="L30" s="98" t="s">
        <v>81</v>
      </c>
      <c r="M30" s="67" t="s">
        <v>169</v>
      </c>
      <c r="N30" s="98" t="s">
        <v>81</v>
      </c>
      <c r="O30" s="133" t="s">
        <v>113</v>
      </c>
    </row>
    <row r="31" s="14" customFormat="1" ht="34" customHeight="1" spans="1:15">
      <c r="A31" s="105"/>
      <c r="B31" s="80" t="s">
        <v>117</v>
      </c>
      <c r="C31" s="80" t="s">
        <v>67</v>
      </c>
      <c r="D31" s="80" t="s">
        <v>108</v>
      </c>
      <c r="E31" s="80" t="s">
        <v>108</v>
      </c>
      <c r="F31" s="80" t="s">
        <v>108</v>
      </c>
      <c r="G31" s="80" t="s">
        <v>108</v>
      </c>
      <c r="H31" s="67" t="s">
        <v>170</v>
      </c>
      <c r="I31" s="87" t="s">
        <v>119</v>
      </c>
      <c r="J31" s="67" t="s">
        <v>111</v>
      </c>
      <c r="K31" s="67" t="s">
        <v>171</v>
      </c>
      <c r="L31" s="98" t="s">
        <v>81</v>
      </c>
      <c r="M31" s="67" t="s">
        <v>171</v>
      </c>
      <c r="N31" s="98" t="s">
        <v>81</v>
      </c>
      <c r="O31" s="133" t="s">
        <v>113</v>
      </c>
    </row>
    <row r="32" s="14" customFormat="1" ht="34" customHeight="1" spans="1:15">
      <c r="A32" s="105"/>
      <c r="B32" s="80" t="s">
        <v>121</v>
      </c>
      <c r="C32" s="80" t="s">
        <v>67</v>
      </c>
      <c r="D32" s="80" t="s">
        <v>108</v>
      </c>
      <c r="E32" s="80" t="s">
        <v>108</v>
      </c>
      <c r="F32" s="80" t="s">
        <v>108</v>
      </c>
      <c r="G32" s="80" t="s">
        <v>108</v>
      </c>
      <c r="H32" s="67" t="s">
        <v>172</v>
      </c>
      <c r="I32" s="87" t="s">
        <v>119</v>
      </c>
      <c r="J32" s="67" t="s">
        <v>111</v>
      </c>
      <c r="K32" s="67" t="s">
        <v>173</v>
      </c>
      <c r="L32" s="98" t="s">
        <v>81</v>
      </c>
      <c r="M32" s="67" t="s">
        <v>173</v>
      </c>
      <c r="N32" s="98" t="s">
        <v>81</v>
      </c>
      <c r="O32" s="133" t="s">
        <v>113</v>
      </c>
    </row>
    <row r="33" s="14" customFormat="1" ht="34" customHeight="1" spans="1:15">
      <c r="A33" s="105"/>
      <c r="B33" s="124" t="s">
        <v>124</v>
      </c>
      <c r="C33" s="80" t="s">
        <v>67</v>
      </c>
      <c r="D33" s="80" t="s">
        <v>108</v>
      </c>
      <c r="E33" s="80" t="s">
        <v>108</v>
      </c>
      <c r="F33" s="80" t="s">
        <v>108</v>
      </c>
      <c r="G33" s="80" t="s">
        <v>108</v>
      </c>
      <c r="H33" s="67" t="s">
        <v>125</v>
      </c>
      <c r="I33" s="80" t="s">
        <v>126</v>
      </c>
      <c r="J33" s="67" t="s">
        <v>111</v>
      </c>
      <c r="K33" s="67" t="s">
        <v>127</v>
      </c>
      <c r="L33" s="98" t="s">
        <v>128</v>
      </c>
      <c r="M33" s="67" t="s">
        <v>127</v>
      </c>
      <c r="N33" s="98" t="s">
        <v>128</v>
      </c>
      <c r="O33" s="133" t="s">
        <v>113</v>
      </c>
    </row>
    <row r="34" s="14" customFormat="1" ht="34" customHeight="1" spans="1:15">
      <c r="A34" s="105"/>
      <c r="B34" s="125"/>
      <c r="C34" s="80" t="s">
        <v>67</v>
      </c>
      <c r="D34" s="80" t="s">
        <v>108</v>
      </c>
      <c r="E34" s="80" t="s">
        <v>108</v>
      </c>
      <c r="F34" s="80" t="s">
        <v>108</v>
      </c>
      <c r="G34" s="80" t="s">
        <v>108</v>
      </c>
      <c r="H34" s="67" t="s">
        <v>174</v>
      </c>
      <c r="I34" s="80" t="s">
        <v>126</v>
      </c>
      <c r="J34" s="67" t="s">
        <v>111</v>
      </c>
      <c r="K34" s="67" t="s">
        <v>175</v>
      </c>
      <c r="L34" s="98" t="s">
        <v>128</v>
      </c>
      <c r="M34" s="67" t="s">
        <v>175</v>
      </c>
      <c r="N34" s="98" t="s">
        <v>128</v>
      </c>
      <c r="O34" s="133" t="s">
        <v>113</v>
      </c>
    </row>
    <row r="35" s="14" customFormat="1" ht="34" customHeight="1" spans="1:15">
      <c r="A35" s="105"/>
      <c r="B35" s="126"/>
      <c r="C35" s="80" t="s">
        <v>67</v>
      </c>
      <c r="D35" s="80" t="s">
        <v>108</v>
      </c>
      <c r="E35" s="80" t="s">
        <v>108</v>
      </c>
      <c r="F35" s="80" t="s">
        <v>108</v>
      </c>
      <c r="G35" s="80" t="s">
        <v>108</v>
      </c>
      <c r="H35" s="67" t="s">
        <v>131</v>
      </c>
      <c r="I35" s="81" t="s">
        <v>132</v>
      </c>
      <c r="J35" s="67" t="s">
        <v>111</v>
      </c>
      <c r="K35" s="67" t="s">
        <v>133</v>
      </c>
      <c r="L35" s="98" t="s">
        <v>128</v>
      </c>
      <c r="M35" s="67" t="s">
        <v>133</v>
      </c>
      <c r="N35" s="98" t="s">
        <v>128</v>
      </c>
      <c r="O35" s="133" t="s">
        <v>113</v>
      </c>
    </row>
    <row r="36" s="14" customFormat="1" ht="34" customHeight="1" spans="1:15">
      <c r="A36" s="105"/>
      <c r="B36" s="80" t="s">
        <v>158</v>
      </c>
      <c r="C36" s="80" t="s">
        <v>67</v>
      </c>
      <c r="D36" s="80" t="s">
        <v>108</v>
      </c>
      <c r="E36" s="80" t="s">
        <v>108</v>
      </c>
      <c r="F36" s="80" t="s">
        <v>108</v>
      </c>
      <c r="G36" s="80" t="s">
        <v>108</v>
      </c>
      <c r="H36" s="67" t="s">
        <v>159</v>
      </c>
      <c r="I36" s="87" t="s">
        <v>136</v>
      </c>
      <c r="J36" s="67" t="s">
        <v>111</v>
      </c>
      <c r="K36" s="67" t="s">
        <v>160</v>
      </c>
      <c r="L36" s="98" t="s">
        <v>81</v>
      </c>
      <c r="M36" s="67" t="s">
        <v>160</v>
      </c>
      <c r="N36" s="98" t="s">
        <v>81</v>
      </c>
      <c r="O36" s="133" t="s">
        <v>113</v>
      </c>
    </row>
    <row r="37" s="14" customFormat="1" ht="34" customHeight="1" spans="1:15">
      <c r="A37" s="105"/>
      <c r="B37" s="80" t="s">
        <v>138</v>
      </c>
      <c r="C37" s="80" t="s">
        <v>67</v>
      </c>
      <c r="D37" s="80" t="s">
        <v>108</v>
      </c>
      <c r="E37" s="80" t="s">
        <v>108</v>
      </c>
      <c r="F37" s="80" t="s">
        <v>108</v>
      </c>
      <c r="G37" s="80" t="s">
        <v>108</v>
      </c>
      <c r="H37" s="67" t="s">
        <v>176</v>
      </c>
      <c r="I37" s="87" t="s">
        <v>136</v>
      </c>
      <c r="J37" s="67" t="s">
        <v>111</v>
      </c>
      <c r="K37" s="67" t="s">
        <v>177</v>
      </c>
      <c r="L37" s="98" t="s">
        <v>81</v>
      </c>
      <c r="M37" s="67" t="s">
        <v>177</v>
      </c>
      <c r="N37" s="98" t="s">
        <v>81</v>
      </c>
      <c r="O37" s="133" t="s">
        <v>113</v>
      </c>
    </row>
    <row r="38" s="14" customFormat="1" ht="34" customHeight="1" spans="1:15">
      <c r="A38" s="105"/>
      <c r="B38" s="81" t="s">
        <v>141</v>
      </c>
      <c r="C38" s="80" t="s">
        <v>67</v>
      </c>
      <c r="D38" s="80" t="s">
        <v>108</v>
      </c>
      <c r="E38" s="80" t="s">
        <v>108</v>
      </c>
      <c r="F38" s="80" t="s">
        <v>108</v>
      </c>
      <c r="G38" s="80" t="s">
        <v>108</v>
      </c>
      <c r="H38" s="67" t="s">
        <v>142</v>
      </c>
      <c r="I38" s="87" t="s">
        <v>143</v>
      </c>
      <c r="J38" s="67" t="s">
        <v>111</v>
      </c>
      <c r="K38" s="67" t="s">
        <v>144</v>
      </c>
      <c r="L38" s="98" t="s">
        <v>145</v>
      </c>
      <c r="M38" s="67" t="s">
        <v>144</v>
      </c>
      <c r="N38" s="98" t="s">
        <v>145</v>
      </c>
      <c r="O38" s="133" t="s">
        <v>113</v>
      </c>
    </row>
    <row r="39" s="14" customFormat="1" ht="34" customHeight="1" spans="1:15">
      <c r="A39" s="105" t="s">
        <v>178</v>
      </c>
      <c r="B39" s="128" t="s">
        <v>107</v>
      </c>
      <c r="C39" s="80" t="s">
        <v>67</v>
      </c>
      <c r="D39" s="80" t="s">
        <v>108</v>
      </c>
      <c r="E39" s="80" t="s">
        <v>108</v>
      </c>
      <c r="F39" s="80" t="s">
        <v>108</v>
      </c>
      <c r="G39" s="67" t="s">
        <v>108</v>
      </c>
      <c r="H39" s="67" t="s">
        <v>179</v>
      </c>
      <c r="I39" s="67" t="s">
        <v>148</v>
      </c>
      <c r="J39" s="67" t="s">
        <v>111</v>
      </c>
      <c r="K39" s="67" t="s">
        <v>180</v>
      </c>
      <c r="L39" s="98" t="s">
        <v>81</v>
      </c>
      <c r="M39" s="67" t="s">
        <v>180</v>
      </c>
      <c r="N39" s="98" t="s">
        <v>81</v>
      </c>
      <c r="O39" s="133" t="s">
        <v>113</v>
      </c>
    </row>
    <row r="40" s="14" customFormat="1" ht="34" customHeight="1" spans="1:15">
      <c r="A40" s="105"/>
      <c r="B40" s="128" t="s">
        <v>114</v>
      </c>
      <c r="C40" s="80" t="s">
        <v>67</v>
      </c>
      <c r="D40" s="80" t="s">
        <v>108</v>
      </c>
      <c r="E40" s="80" t="s">
        <v>108</v>
      </c>
      <c r="F40" s="80" t="s">
        <v>108</v>
      </c>
      <c r="G40" s="67" t="s">
        <v>108</v>
      </c>
      <c r="H40" s="67" t="s">
        <v>181</v>
      </c>
      <c r="I40" s="67" t="s">
        <v>148</v>
      </c>
      <c r="J40" s="67" t="s">
        <v>111</v>
      </c>
      <c r="K40" s="67" t="s">
        <v>182</v>
      </c>
      <c r="L40" s="98" t="s">
        <v>81</v>
      </c>
      <c r="M40" s="67" t="s">
        <v>182</v>
      </c>
      <c r="N40" s="98" t="s">
        <v>81</v>
      </c>
      <c r="O40" s="133" t="s">
        <v>113</v>
      </c>
    </row>
    <row r="41" s="14" customFormat="1" ht="34" customHeight="1" spans="1:15">
      <c r="A41" s="105"/>
      <c r="B41" s="128" t="s">
        <v>117</v>
      </c>
      <c r="C41" s="80" t="s">
        <v>67</v>
      </c>
      <c r="D41" s="80" t="s">
        <v>108</v>
      </c>
      <c r="E41" s="80" t="s">
        <v>108</v>
      </c>
      <c r="F41" s="80" t="s">
        <v>108</v>
      </c>
      <c r="G41" s="80" t="s">
        <v>108</v>
      </c>
      <c r="H41" s="67" t="s">
        <v>183</v>
      </c>
      <c r="I41" s="87" t="s">
        <v>119</v>
      </c>
      <c r="J41" s="67" t="s">
        <v>111</v>
      </c>
      <c r="K41" s="67" t="s">
        <v>184</v>
      </c>
      <c r="L41" s="98" t="s">
        <v>81</v>
      </c>
      <c r="M41" s="67" t="s">
        <v>184</v>
      </c>
      <c r="N41" s="98" t="s">
        <v>81</v>
      </c>
      <c r="O41" s="133" t="s">
        <v>113</v>
      </c>
    </row>
    <row r="42" s="14" customFormat="1" ht="34" customHeight="1" spans="1:15">
      <c r="A42" s="105"/>
      <c r="B42" s="128" t="s">
        <v>121</v>
      </c>
      <c r="C42" s="80" t="s">
        <v>67</v>
      </c>
      <c r="D42" s="80" t="s">
        <v>108</v>
      </c>
      <c r="E42" s="80" t="s">
        <v>108</v>
      </c>
      <c r="F42" s="80" t="s">
        <v>108</v>
      </c>
      <c r="G42" s="80" t="s">
        <v>108</v>
      </c>
      <c r="H42" s="67" t="s">
        <v>172</v>
      </c>
      <c r="I42" s="87" t="s">
        <v>119</v>
      </c>
      <c r="J42" s="67" t="s">
        <v>111</v>
      </c>
      <c r="K42" s="67" t="s">
        <v>173</v>
      </c>
      <c r="L42" s="98" t="s">
        <v>81</v>
      </c>
      <c r="M42" s="67" t="s">
        <v>173</v>
      </c>
      <c r="N42" s="98" t="s">
        <v>81</v>
      </c>
      <c r="O42" s="133" t="s">
        <v>113</v>
      </c>
    </row>
    <row r="43" s="14" customFormat="1" ht="34" customHeight="1" spans="1:15">
      <c r="A43" s="105"/>
      <c r="B43" s="129" t="s">
        <v>124</v>
      </c>
      <c r="C43" s="80" t="s">
        <v>67</v>
      </c>
      <c r="D43" s="80" t="s">
        <v>108</v>
      </c>
      <c r="E43" s="80" t="s">
        <v>108</v>
      </c>
      <c r="F43" s="80" t="s">
        <v>108</v>
      </c>
      <c r="G43" s="80" t="s">
        <v>108</v>
      </c>
      <c r="H43" s="67" t="s">
        <v>125</v>
      </c>
      <c r="I43" s="80" t="s">
        <v>126</v>
      </c>
      <c r="J43" s="67" t="s">
        <v>111</v>
      </c>
      <c r="K43" s="67" t="s">
        <v>127</v>
      </c>
      <c r="L43" s="98" t="s">
        <v>128</v>
      </c>
      <c r="M43" s="67" t="s">
        <v>127</v>
      </c>
      <c r="N43" s="98" t="s">
        <v>128</v>
      </c>
      <c r="O43" s="133" t="s">
        <v>113</v>
      </c>
    </row>
    <row r="44" s="14" customFormat="1" ht="34" customHeight="1" spans="1:15">
      <c r="A44" s="105"/>
      <c r="B44" s="130"/>
      <c r="C44" s="80" t="s">
        <v>67</v>
      </c>
      <c r="D44" s="80" t="s">
        <v>108</v>
      </c>
      <c r="E44" s="80" t="s">
        <v>108</v>
      </c>
      <c r="F44" s="80" t="s">
        <v>108</v>
      </c>
      <c r="G44" s="80" t="s">
        <v>108</v>
      </c>
      <c r="H44" s="67" t="s">
        <v>174</v>
      </c>
      <c r="I44" s="80" t="s">
        <v>126</v>
      </c>
      <c r="J44" s="67" t="s">
        <v>111</v>
      </c>
      <c r="K44" s="67" t="s">
        <v>175</v>
      </c>
      <c r="L44" s="98" t="s">
        <v>128</v>
      </c>
      <c r="M44" s="67" t="s">
        <v>175</v>
      </c>
      <c r="N44" s="98" t="s">
        <v>128</v>
      </c>
      <c r="O44" s="133" t="s">
        <v>113</v>
      </c>
    </row>
    <row r="45" ht="34" customHeight="1" spans="1:15">
      <c r="A45" s="105"/>
      <c r="B45" s="131"/>
      <c r="C45" s="80" t="s">
        <v>67</v>
      </c>
      <c r="D45" s="80" t="s">
        <v>108</v>
      </c>
      <c r="E45" s="80" t="s">
        <v>108</v>
      </c>
      <c r="F45" s="80" t="s">
        <v>108</v>
      </c>
      <c r="G45" s="80" t="s">
        <v>108</v>
      </c>
      <c r="H45" s="67" t="s">
        <v>131</v>
      </c>
      <c r="I45" s="81" t="s">
        <v>132</v>
      </c>
      <c r="J45" s="67" t="s">
        <v>111</v>
      </c>
      <c r="K45" s="67" t="s">
        <v>133</v>
      </c>
      <c r="L45" s="98" t="s">
        <v>128</v>
      </c>
      <c r="M45" s="67" t="s">
        <v>133</v>
      </c>
      <c r="N45" s="98" t="s">
        <v>128</v>
      </c>
      <c r="O45" s="133" t="s">
        <v>113</v>
      </c>
    </row>
    <row r="46" ht="34" customHeight="1" spans="1:15">
      <c r="A46" s="105"/>
      <c r="B46" s="128" t="s">
        <v>158</v>
      </c>
      <c r="C46" s="80" t="s">
        <v>67</v>
      </c>
      <c r="D46" s="80" t="s">
        <v>108</v>
      </c>
      <c r="E46" s="80" t="s">
        <v>108</v>
      </c>
      <c r="F46" s="80" t="s">
        <v>108</v>
      </c>
      <c r="G46" s="80" t="s">
        <v>108</v>
      </c>
      <c r="H46" s="67" t="s">
        <v>183</v>
      </c>
      <c r="I46" s="87" t="s">
        <v>136</v>
      </c>
      <c r="J46" s="67" t="s">
        <v>111</v>
      </c>
      <c r="K46" s="67" t="s">
        <v>185</v>
      </c>
      <c r="L46" s="98" t="s">
        <v>81</v>
      </c>
      <c r="M46" s="67" t="s">
        <v>185</v>
      </c>
      <c r="N46" s="98" t="s">
        <v>81</v>
      </c>
      <c r="O46" s="133" t="s">
        <v>113</v>
      </c>
    </row>
    <row r="47" ht="34" customHeight="1" spans="1:15">
      <c r="A47" s="105"/>
      <c r="B47" s="128" t="s">
        <v>138</v>
      </c>
      <c r="C47" s="80" t="s">
        <v>67</v>
      </c>
      <c r="D47" s="80" t="s">
        <v>108</v>
      </c>
      <c r="E47" s="80" t="s">
        <v>108</v>
      </c>
      <c r="F47" s="80" t="s">
        <v>108</v>
      </c>
      <c r="G47" s="80" t="s">
        <v>108</v>
      </c>
      <c r="H47" s="67" t="s">
        <v>186</v>
      </c>
      <c r="I47" s="87" t="s">
        <v>136</v>
      </c>
      <c r="J47" s="67" t="s">
        <v>111</v>
      </c>
      <c r="K47" s="67" t="s">
        <v>187</v>
      </c>
      <c r="L47" s="98" t="s">
        <v>81</v>
      </c>
      <c r="M47" s="67" t="s">
        <v>187</v>
      </c>
      <c r="N47" s="98" t="s">
        <v>81</v>
      </c>
      <c r="O47" s="133" t="s">
        <v>113</v>
      </c>
    </row>
    <row r="48" ht="34" customHeight="1" spans="1:15">
      <c r="A48" s="105"/>
      <c r="B48" s="132" t="s">
        <v>141</v>
      </c>
      <c r="C48" s="80" t="s">
        <v>67</v>
      </c>
      <c r="D48" s="80" t="s">
        <v>108</v>
      </c>
      <c r="E48" s="80" t="s">
        <v>108</v>
      </c>
      <c r="F48" s="80" t="s">
        <v>108</v>
      </c>
      <c r="G48" s="80" t="s">
        <v>108</v>
      </c>
      <c r="H48" s="67" t="s">
        <v>188</v>
      </c>
      <c r="I48" s="87" t="s">
        <v>136</v>
      </c>
      <c r="J48" s="67" t="s">
        <v>111</v>
      </c>
      <c r="K48" s="67" t="s">
        <v>189</v>
      </c>
      <c r="L48" s="98" t="s">
        <v>128</v>
      </c>
      <c r="M48" s="67" t="s">
        <v>189</v>
      </c>
      <c r="N48" s="98" t="s">
        <v>128</v>
      </c>
      <c r="O48" s="133" t="s">
        <v>113</v>
      </c>
    </row>
    <row r="49" ht="34" customHeight="1" spans="1:15">
      <c r="A49" s="105"/>
      <c r="B49" s="132" t="s">
        <v>190</v>
      </c>
      <c r="C49" s="80" t="s">
        <v>67</v>
      </c>
      <c r="D49" s="80" t="s">
        <v>108</v>
      </c>
      <c r="E49" s="80" t="s">
        <v>108</v>
      </c>
      <c r="F49" s="80" t="s">
        <v>108</v>
      </c>
      <c r="G49" s="80" t="s">
        <v>108</v>
      </c>
      <c r="H49" s="67" t="s">
        <v>142</v>
      </c>
      <c r="I49" s="87" t="s">
        <v>143</v>
      </c>
      <c r="J49" s="67" t="s">
        <v>111</v>
      </c>
      <c r="K49" s="67" t="s">
        <v>144</v>
      </c>
      <c r="L49" s="98" t="s">
        <v>145</v>
      </c>
      <c r="M49" s="67" t="s">
        <v>144</v>
      </c>
      <c r="N49" s="98" t="s">
        <v>145</v>
      </c>
      <c r="O49" s="133" t="s">
        <v>113</v>
      </c>
    </row>
  </sheetData>
  <sheetProtection formatColumns="0" sort="0" autoFilter="0" pivotTables="0"/>
  <mergeCells count="17">
    <mergeCell ref="K4:O4"/>
    <mergeCell ref="D6:F6"/>
    <mergeCell ref="G6:J6"/>
    <mergeCell ref="K6:L6"/>
    <mergeCell ref="M6:O6"/>
    <mergeCell ref="A6:A7"/>
    <mergeCell ref="A8:A17"/>
    <mergeCell ref="A18:A28"/>
    <mergeCell ref="A29:A38"/>
    <mergeCell ref="A39:A49"/>
    <mergeCell ref="B6:B7"/>
    <mergeCell ref="B12:B14"/>
    <mergeCell ref="B22:B24"/>
    <mergeCell ref="B27:B28"/>
    <mergeCell ref="B33:B35"/>
    <mergeCell ref="B43:B45"/>
    <mergeCell ref="C6:C7"/>
  </mergeCells>
  <dataValidations count="2">
    <dataValidation type="list" allowBlank="1" showInputMessage="1" showErrorMessage="1" sqref="C8:C49">
      <formula1>"Dim, Cos, Function, ORT"</formula1>
    </dataValidation>
    <dataValidation type="list" allowBlank="1" showInputMessage="1" showErrorMessage="1" sqref="J8:J49">
      <formula1>"Critical to ID feature, Critical to FATP, Critical to HSG assembly, NUD (new/unique/difficult), Not CTQ"</formula1>
    </dataValidation>
  </dataValidations>
  <pageMargins left="0" right="0" top="0" bottom="0" header="0" footer="0"/>
  <pageSetup paperSize="1" scale="53" orientation="landscape"/>
  <headerFooter/>
  <rowBreaks count="1" manualBreakCount="1">
    <brk id="3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2"/>
  <sheetViews>
    <sheetView showGridLines="0" zoomScale="59" zoomScaleNormal="59" zoomScaleSheetLayoutView="55" showRuler="0" workbookViewId="0">
      <pane ySplit="7" topLeftCell="A103" activePane="bottomLeft" state="frozen"/>
      <selection/>
      <selection pane="bottomLeft" activeCell="B9" sqref="B9:B15"/>
    </sheetView>
  </sheetViews>
  <sheetFormatPr defaultColWidth="8.83333333333333" defaultRowHeight="22" customHeight="1"/>
  <cols>
    <col min="1" max="1" width="34.275" style="15" customWidth="1"/>
    <col min="2" max="2" width="31.2916666666667" style="15" customWidth="1"/>
    <col min="3" max="3" width="25.8333333333333" style="15" customWidth="1"/>
    <col min="4" max="6" width="22.8333333333333" style="15" customWidth="1" outlineLevel="1"/>
    <col min="7" max="9" width="22.8333333333333" style="16" customWidth="1"/>
    <col min="10" max="15" width="22.8333333333333" style="15" customWidth="1"/>
    <col min="16" max="16384" width="8.83333333333333" style="15"/>
  </cols>
  <sheetData>
    <row r="1" s="12" customFormat="1" customHeight="1" spans="2:13">
      <c r="B1" s="17" t="s">
        <v>4</v>
      </c>
      <c r="C1" s="17" t="s">
        <v>5</v>
      </c>
      <c r="G1" s="20"/>
      <c r="H1" s="20"/>
      <c r="I1" s="20"/>
      <c r="J1" s="20"/>
      <c r="K1" s="20"/>
      <c r="L1" s="20"/>
      <c r="M1" s="20"/>
    </row>
    <row r="2" s="12" customFormat="1" customHeight="1" spans="2:13">
      <c r="B2" s="19" t="str">
        <f>IF(Revision!A4="","",Revision!A4)</f>
        <v>B747 BUD</v>
      </c>
      <c r="C2" s="19" t="str">
        <f>IF(Revision!B4="","",Revision!B4)</f>
        <v>Ramp</v>
      </c>
      <c r="G2" s="20"/>
      <c r="H2" s="20"/>
      <c r="I2" s="20"/>
      <c r="J2" s="20"/>
      <c r="K2" s="20"/>
      <c r="L2" s="20"/>
      <c r="M2" s="20"/>
    </row>
    <row r="3" s="12" customFormat="1" customHeight="1" spans="2:13">
      <c r="B3" s="17" t="s">
        <v>8</v>
      </c>
      <c r="C3" s="17" t="s">
        <v>9</v>
      </c>
      <c r="G3" s="20"/>
      <c r="H3" s="20"/>
      <c r="I3" s="20"/>
      <c r="J3" s="20"/>
      <c r="K3" s="20"/>
      <c r="L3" s="20"/>
      <c r="M3" s="20"/>
    </row>
    <row r="4" s="12" customFormat="1" ht="68" spans="2:15">
      <c r="B4" s="21" t="str">
        <f>Revision!A8</f>
        <v>160-05811-B(Mirror 160-05815-B)
160-05812-B(Mirror 160-05816-B)
160-05813-B(Mirror 160-05817-B)
160-05814-B(Mirror 160-05816-B)</v>
      </c>
      <c r="C4" s="19" t="str">
        <f>Revision!B8</f>
        <v>Surface Treatment</v>
      </c>
      <c r="G4" s="20"/>
      <c r="H4" s="20"/>
      <c r="I4" s="20"/>
      <c r="J4" s="20"/>
      <c r="K4" s="90"/>
      <c r="L4" s="90"/>
      <c r="M4" s="90"/>
      <c r="N4" s="90"/>
      <c r="O4" s="90"/>
    </row>
    <row r="5" s="12" customFormat="1" ht="7" customHeight="1" spans="7:9">
      <c r="G5" s="31"/>
      <c r="H5" s="31"/>
      <c r="I5" s="31"/>
    </row>
    <row r="6" s="13" customFormat="1" ht="37" customHeight="1" spans="1:15">
      <c r="A6" s="24" t="s">
        <v>8</v>
      </c>
      <c r="B6" s="24" t="s">
        <v>92</v>
      </c>
      <c r="C6" s="43" t="s">
        <v>93</v>
      </c>
      <c r="D6" s="73" t="s">
        <v>94</v>
      </c>
      <c r="E6" s="73"/>
      <c r="F6" s="73"/>
      <c r="G6" s="84" t="s">
        <v>95</v>
      </c>
      <c r="H6" s="85"/>
      <c r="I6" s="85"/>
      <c r="J6" s="91"/>
      <c r="K6" s="92" t="s">
        <v>96</v>
      </c>
      <c r="L6" s="93"/>
      <c r="M6" s="94" t="s">
        <v>97</v>
      </c>
      <c r="N6" s="94"/>
      <c r="O6" s="93"/>
    </row>
    <row r="7" s="13" customFormat="1" customHeight="1" spans="1:15">
      <c r="A7" s="24"/>
      <c r="B7" s="24"/>
      <c r="C7" s="45"/>
      <c r="D7" s="73" t="s">
        <v>98</v>
      </c>
      <c r="E7" s="73" t="s">
        <v>99</v>
      </c>
      <c r="F7" s="73" t="s">
        <v>100</v>
      </c>
      <c r="G7" s="24" t="s">
        <v>101</v>
      </c>
      <c r="H7" s="24" t="s">
        <v>100</v>
      </c>
      <c r="I7" s="24" t="s">
        <v>9</v>
      </c>
      <c r="J7" s="24" t="s">
        <v>102</v>
      </c>
      <c r="K7" s="95" t="s">
        <v>103</v>
      </c>
      <c r="L7" s="61" t="s">
        <v>40</v>
      </c>
      <c r="M7" s="61" t="s">
        <v>104</v>
      </c>
      <c r="N7" s="61" t="s">
        <v>40</v>
      </c>
      <c r="O7" s="62" t="s">
        <v>105</v>
      </c>
    </row>
    <row r="8" s="14" customFormat="1" ht="68" spans="1:15">
      <c r="A8" s="105" t="s">
        <v>12</v>
      </c>
      <c r="B8" s="81" t="s">
        <v>191</v>
      </c>
      <c r="C8" s="29" t="s">
        <v>88</v>
      </c>
      <c r="D8" s="29" t="s">
        <v>108</v>
      </c>
      <c r="E8" s="29" t="s">
        <v>108</v>
      </c>
      <c r="F8" s="26" t="s">
        <v>108</v>
      </c>
      <c r="G8" s="33" t="s">
        <v>108</v>
      </c>
      <c r="H8" s="33" t="s">
        <v>192</v>
      </c>
      <c r="I8" s="99" t="s">
        <v>193</v>
      </c>
      <c r="J8" s="33" t="s">
        <v>111</v>
      </c>
      <c r="K8" s="96" t="s">
        <v>194</v>
      </c>
      <c r="L8" s="111" t="s">
        <v>195</v>
      </c>
      <c r="M8" s="96" t="s">
        <v>194</v>
      </c>
      <c r="N8" s="103" t="s">
        <v>196</v>
      </c>
      <c r="O8" s="103" t="s">
        <v>197</v>
      </c>
    </row>
    <row r="9" s="14" customFormat="1" ht="68" spans="1:15">
      <c r="A9" s="105" t="s">
        <v>12</v>
      </c>
      <c r="B9" s="29" t="s">
        <v>198</v>
      </c>
      <c r="C9" s="106" t="s">
        <v>67</v>
      </c>
      <c r="D9" s="29" t="s">
        <v>108</v>
      </c>
      <c r="E9" s="29" t="s">
        <v>108</v>
      </c>
      <c r="F9" s="76" t="s">
        <v>199</v>
      </c>
      <c r="G9" s="33" t="s">
        <v>108</v>
      </c>
      <c r="H9" s="76" t="s">
        <v>199</v>
      </c>
      <c r="I9" s="82" t="s">
        <v>200</v>
      </c>
      <c r="J9" s="33" t="s">
        <v>111</v>
      </c>
      <c r="K9" s="76" t="s">
        <v>199</v>
      </c>
      <c r="L9" s="96" t="s">
        <v>201</v>
      </c>
      <c r="M9" s="76" t="s">
        <v>199</v>
      </c>
      <c r="N9" s="103" t="s">
        <v>202</v>
      </c>
      <c r="O9" s="103" t="s">
        <v>203</v>
      </c>
    </row>
    <row r="10" s="14" customFormat="1" ht="34" spans="1:15">
      <c r="A10" s="105"/>
      <c r="B10" s="29"/>
      <c r="C10" s="106" t="s">
        <v>67</v>
      </c>
      <c r="D10" s="29" t="s">
        <v>108</v>
      </c>
      <c r="E10" s="29" t="s">
        <v>108</v>
      </c>
      <c r="F10" s="26" t="s">
        <v>108</v>
      </c>
      <c r="G10" s="26" t="s">
        <v>108</v>
      </c>
      <c r="H10" s="33" t="s">
        <v>204</v>
      </c>
      <c r="I10" s="99" t="s">
        <v>205</v>
      </c>
      <c r="J10" s="33" t="s">
        <v>111</v>
      </c>
      <c r="K10" s="33" t="s">
        <v>204</v>
      </c>
      <c r="L10" s="111" t="s">
        <v>206</v>
      </c>
      <c r="M10" s="33" t="s">
        <v>204</v>
      </c>
      <c r="N10" s="103" t="s">
        <v>207</v>
      </c>
      <c r="O10" s="103" t="s">
        <v>203</v>
      </c>
    </row>
    <row r="11" s="14" customFormat="1" ht="34" spans="1:15">
      <c r="A11" s="105"/>
      <c r="B11" s="29"/>
      <c r="C11" s="107" t="s">
        <v>67</v>
      </c>
      <c r="D11" s="26" t="s">
        <v>108</v>
      </c>
      <c r="E11" s="26" t="s">
        <v>108</v>
      </c>
      <c r="F11" s="26" t="s">
        <v>108</v>
      </c>
      <c r="G11" s="26" t="s">
        <v>108</v>
      </c>
      <c r="H11" s="86" t="s">
        <v>208</v>
      </c>
      <c r="I11" s="99" t="s">
        <v>209</v>
      </c>
      <c r="J11" s="33" t="s">
        <v>111</v>
      </c>
      <c r="K11" s="86" t="s">
        <v>208</v>
      </c>
      <c r="L11" s="111" t="s">
        <v>210</v>
      </c>
      <c r="M11" s="86" t="s">
        <v>208</v>
      </c>
      <c r="N11" s="111" t="s">
        <v>210</v>
      </c>
      <c r="O11" s="101" t="s">
        <v>211</v>
      </c>
    </row>
    <row r="12" s="14" customFormat="1" ht="34" customHeight="1" spans="1:15">
      <c r="A12" s="105"/>
      <c r="B12" s="29"/>
      <c r="C12" s="107" t="s">
        <v>67</v>
      </c>
      <c r="D12" s="26" t="s">
        <v>108</v>
      </c>
      <c r="E12" s="26" t="s">
        <v>108</v>
      </c>
      <c r="F12" s="26" t="s">
        <v>108</v>
      </c>
      <c r="G12" s="26" t="s">
        <v>108</v>
      </c>
      <c r="H12" s="86" t="s">
        <v>208</v>
      </c>
      <c r="I12" s="99" t="s">
        <v>212</v>
      </c>
      <c r="J12" s="33" t="s">
        <v>111</v>
      </c>
      <c r="K12" s="86" t="s">
        <v>208</v>
      </c>
      <c r="L12" s="112" t="s">
        <v>213</v>
      </c>
      <c r="M12" s="86" t="s">
        <v>208</v>
      </c>
      <c r="N12" s="112" t="s">
        <v>213</v>
      </c>
      <c r="O12" s="101" t="s">
        <v>203</v>
      </c>
    </row>
    <row r="13" s="14" customFormat="1" ht="34" spans="1:15">
      <c r="A13" s="105"/>
      <c r="B13" s="29"/>
      <c r="C13" s="107" t="s">
        <v>53</v>
      </c>
      <c r="D13" s="26" t="s">
        <v>108</v>
      </c>
      <c r="E13" s="26" t="s">
        <v>108</v>
      </c>
      <c r="F13" s="26" t="s">
        <v>108</v>
      </c>
      <c r="G13" s="33" t="s">
        <v>108</v>
      </c>
      <c r="H13" s="33" t="s">
        <v>214</v>
      </c>
      <c r="I13" s="99" t="s">
        <v>215</v>
      </c>
      <c r="J13" s="33" t="s">
        <v>111</v>
      </c>
      <c r="K13" s="96" t="s">
        <v>214</v>
      </c>
      <c r="L13" s="111" t="s">
        <v>216</v>
      </c>
      <c r="M13" s="96" t="s">
        <v>214</v>
      </c>
      <c r="N13" s="103" t="s">
        <v>217</v>
      </c>
      <c r="O13" s="103" t="s">
        <v>203</v>
      </c>
    </row>
    <row r="14" s="14" customFormat="1" ht="34" spans="1:15">
      <c r="A14" s="105"/>
      <c r="B14" s="29"/>
      <c r="C14" s="106" t="s">
        <v>53</v>
      </c>
      <c r="D14" s="29" t="s">
        <v>108</v>
      </c>
      <c r="E14" s="29" t="s">
        <v>108</v>
      </c>
      <c r="F14" s="26" t="s">
        <v>108</v>
      </c>
      <c r="G14" s="26" t="s">
        <v>108</v>
      </c>
      <c r="H14" s="33" t="s">
        <v>218</v>
      </c>
      <c r="I14" s="99" t="s">
        <v>219</v>
      </c>
      <c r="J14" s="33" t="s">
        <v>111</v>
      </c>
      <c r="K14" s="33" t="s">
        <v>218</v>
      </c>
      <c r="L14" s="111" t="s">
        <v>220</v>
      </c>
      <c r="M14" s="33" t="s">
        <v>218</v>
      </c>
      <c r="N14" s="117" t="s">
        <v>221</v>
      </c>
      <c r="O14" s="103" t="s">
        <v>203</v>
      </c>
    </row>
    <row r="15" s="14" customFormat="1" ht="34" spans="1:15">
      <c r="A15" s="105"/>
      <c r="B15" s="29"/>
      <c r="C15" s="106" t="s">
        <v>88</v>
      </c>
      <c r="D15" s="29" t="s">
        <v>108</v>
      </c>
      <c r="E15" s="29" t="s">
        <v>108</v>
      </c>
      <c r="F15" s="26" t="s">
        <v>89</v>
      </c>
      <c r="G15" s="33" t="s">
        <v>108</v>
      </c>
      <c r="H15" s="26" t="s">
        <v>89</v>
      </c>
      <c r="I15" s="82" t="s">
        <v>222</v>
      </c>
      <c r="J15" s="33" t="s">
        <v>111</v>
      </c>
      <c r="K15" s="26" t="s">
        <v>89</v>
      </c>
      <c r="L15" s="111" t="s">
        <v>223</v>
      </c>
      <c r="M15" s="96" t="s">
        <v>89</v>
      </c>
      <c r="N15" s="117" t="s">
        <v>224</v>
      </c>
      <c r="O15" s="117" t="s">
        <v>225</v>
      </c>
    </row>
    <row r="16" s="14" customFormat="1" ht="34" customHeight="1" spans="1:15">
      <c r="A16" s="105" t="s">
        <v>226</v>
      </c>
      <c r="B16" s="106" t="s">
        <v>227</v>
      </c>
      <c r="C16" s="29" t="s">
        <v>67</v>
      </c>
      <c r="D16" s="29" t="s">
        <v>228</v>
      </c>
      <c r="E16" s="29">
        <v>1</v>
      </c>
      <c r="F16" s="26" t="s">
        <v>229</v>
      </c>
      <c r="G16" s="110" t="s">
        <v>230</v>
      </c>
      <c r="H16" s="26" t="s">
        <v>231</v>
      </c>
      <c r="I16" s="82" t="s">
        <v>232</v>
      </c>
      <c r="J16" s="33" t="s">
        <v>111</v>
      </c>
      <c r="K16" s="26" t="s">
        <v>231</v>
      </c>
      <c r="L16" s="96" t="s">
        <v>81</v>
      </c>
      <c r="M16" s="26" t="s">
        <v>231</v>
      </c>
      <c r="N16" s="97" t="s">
        <v>81</v>
      </c>
      <c r="O16" s="117" t="s">
        <v>73</v>
      </c>
    </row>
    <row r="17" s="14" customFormat="1" ht="34" customHeight="1" spans="1:15">
      <c r="A17" s="105"/>
      <c r="B17" s="106"/>
      <c r="C17" s="29" t="s">
        <v>67</v>
      </c>
      <c r="D17" s="83" t="s">
        <v>233</v>
      </c>
      <c r="E17" s="29">
        <v>2</v>
      </c>
      <c r="F17" s="26" t="s">
        <v>234</v>
      </c>
      <c r="G17" s="110" t="s">
        <v>235</v>
      </c>
      <c r="H17" s="26" t="s">
        <v>236</v>
      </c>
      <c r="I17" s="82" t="s">
        <v>110</v>
      </c>
      <c r="J17" s="33" t="s">
        <v>111</v>
      </c>
      <c r="K17" s="26" t="s">
        <v>236</v>
      </c>
      <c r="L17" s="96" t="s">
        <v>75</v>
      </c>
      <c r="M17" s="26" t="s">
        <v>236</v>
      </c>
      <c r="N17" s="97" t="s">
        <v>75</v>
      </c>
      <c r="O17" s="117" t="s">
        <v>73</v>
      </c>
    </row>
    <row r="18" s="14" customFormat="1" ht="34" customHeight="1" spans="1:15">
      <c r="A18" s="105"/>
      <c r="B18" s="106"/>
      <c r="C18" s="29" t="s">
        <v>67</v>
      </c>
      <c r="D18" s="29" t="s">
        <v>237</v>
      </c>
      <c r="E18" s="29">
        <v>3</v>
      </c>
      <c r="F18" s="26" t="s">
        <v>238</v>
      </c>
      <c r="G18" s="33" t="s">
        <v>239</v>
      </c>
      <c r="H18" s="26" t="s">
        <v>238</v>
      </c>
      <c r="I18" s="82" t="s">
        <v>119</v>
      </c>
      <c r="J18" s="33" t="s">
        <v>111</v>
      </c>
      <c r="K18" s="26" t="s">
        <v>238</v>
      </c>
      <c r="L18" s="96" t="s">
        <v>75</v>
      </c>
      <c r="M18" s="26" t="s">
        <v>238</v>
      </c>
      <c r="N18" s="97" t="s">
        <v>75</v>
      </c>
      <c r="O18" s="117" t="s">
        <v>73</v>
      </c>
    </row>
    <row r="19" s="14" customFormat="1" ht="34" customHeight="1" spans="1:15">
      <c r="A19" s="105"/>
      <c r="B19" s="106"/>
      <c r="C19" s="29" t="s">
        <v>67</v>
      </c>
      <c r="D19" s="29" t="s">
        <v>240</v>
      </c>
      <c r="E19" s="29">
        <v>4</v>
      </c>
      <c r="F19" s="26"/>
      <c r="G19" s="33" t="s">
        <v>241</v>
      </c>
      <c r="H19" s="26" t="s">
        <v>242</v>
      </c>
      <c r="I19" s="82" t="s">
        <v>243</v>
      </c>
      <c r="J19" s="33" t="s">
        <v>111</v>
      </c>
      <c r="K19" s="26" t="s">
        <v>242</v>
      </c>
      <c r="L19" s="96" t="s">
        <v>145</v>
      </c>
      <c r="M19" s="26" t="s">
        <v>242</v>
      </c>
      <c r="N19" s="97" t="s">
        <v>145</v>
      </c>
      <c r="O19" s="117" t="s">
        <v>73</v>
      </c>
    </row>
    <row r="20" s="14" customFormat="1" ht="34" customHeight="1" spans="1:15">
      <c r="A20" s="105"/>
      <c r="B20" s="106"/>
      <c r="C20" s="29" t="s">
        <v>67</v>
      </c>
      <c r="D20" s="29" t="s">
        <v>244</v>
      </c>
      <c r="E20" s="29">
        <v>5</v>
      </c>
      <c r="F20" s="26" t="s">
        <v>245</v>
      </c>
      <c r="G20" s="33" t="s">
        <v>246</v>
      </c>
      <c r="H20" s="26" t="s">
        <v>247</v>
      </c>
      <c r="I20" s="82" t="s">
        <v>248</v>
      </c>
      <c r="J20" s="33" t="s">
        <v>111</v>
      </c>
      <c r="K20" s="26" t="s">
        <v>247</v>
      </c>
      <c r="L20" s="96" t="s">
        <v>75</v>
      </c>
      <c r="M20" s="26" t="s">
        <v>247</v>
      </c>
      <c r="N20" s="97" t="s">
        <v>75</v>
      </c>
      <c r="O20" s="117" t="s">
        <v>73</v>
      </c>
    </row>
    <row r="21" s="14" customFormat="1" ht="34" customHeight="1" spans="1:15">
      <c r="A21" s="105"/>
      <c r="B21" s="106"/>
      <c r="C21" s="29" t="s">
        <v>67</v>
      </c>
      <c r="D21" s="29" t="s">
        <v>249</v>
      </c>
      <c r="E21" s="29">
        <v>6</v>
      </c>
      <c r="F21" s="26" t="s">
        <v>250</v>
      </c>
      <c r="G21" s="33" t="s">
        <v>251</v>
      </c>
      <c r="H21" s="26" t="s">
        <v>252</v>
      </c>
      <c r="I21" s="82" t="s">
        <v>248</v>
      </c>
      <c r="J21" s="33" t="s">
        <v>111</v>
      </c>
      <c r="K21" s="26" t="s">
        <v>252</v>
      </c>
      <c r="L21" s="96" t="s">
        <v>75</v>
      </c>
      <c r="M21" s="26" t="s">
        <v>252</v>
      </c>
      <c r="N21" s="97" t="s">
        <v>75</v>
      </c>
      <c r="O21" s="117" t="s">
        <v>73</v>
      </c>
    </row>
    <row r="22" s="14" customFormat="1" ht="34" customHeight="1" spans="1:15">
      <c r="A22" s="105"/>
      <c r="B22" s="106"/>
      <c r="C22" s="29" t="s">
        <v>67</v>
      </c>
      <c r="D22" s="29" t="s">
        <v>253</v>
      </c>
      <c r="E22" s="29">
        <v>7</v>
      </c>
      <c r="F22" s="26" t="s">
        <v>254</v>
      </c>
      <c r="G22" s="33" t="s">
        <v>255</v>
      </c>
      <c r="H22" s="26" t="s">
        <v>256</v>
      </c>
      <c r="I22" s="82" t="s">
        <v>248</v>
      </c>
      <c r="J22" s="33" t="s">
        <v>111</v>
      </c>
      <c r="K22" s="26" t="s">
        <v>256</v>
      </c>
      <c r="L22" s="96" t="s">
        <v>75</v>
      </c>
      <c r="M22" s="26" t="s">
        <v>256</v>
      </c>
      <c r="N22" s="97" t="s">
        <v>75</v>
      </c>
      <c r="O22" s="117" t="s">
        <v>73</v>
      </c>
    </row>
    <row r="23" s="14" customFormat="1" ht="34" customHeight="1" spans="1:15">
      <c r="A23" s="105"/>
      <c r="B23" s="106"/>
      <c r="C23" s="29" t="s">
        <v>67</v>
      </c>
      <c r="D23" s="29" t="s">
        <v>257</v>
      </c>
      <c r="E23" s="29">
        <v>8</v>
      </c>
      <c r="F23" s="26"/>
      <c r="G23" s="33" t="s">
        <v>258</v>
      </c>
      <c r="H23" s="26" t="s">
        <v>242</v>
      </c>
      <c r="I23" s="82" t="s">
        <v>243</v>
      </c>
      <c r="J23" s="33" t="s">
        <v>111</v>
      </c>
      <c r="K23" s="26" t="s">
        <v>242</v>
      </c>
      <c r="L23" s="96" t="s">
        <v>145</v>
      </c>
      <c r="M23" s="26" t="s">
        <v>242</v>
      </c>
      <c r="N23" s="97" t="s">
        <v>145</v>
      </c>
      <c r="O23" s="117" t="s">
        <v>73</v>
      </c>
    </row>
    <row r="24" s="14" customFormat="1" ht="34" customHeight="1" spans="1:15">
      <c r="A24" s="105"/>
      <c r="B24" s="106"/>
      <c r="C24" s="29" t="s">
        <v>67</v>
      </c>
      <c r="D24" s="29" t="s">
        <v>108</v>
      </c>
      <c r="E24" s="29" t="s">
        <v>108</v>
      </c>
      <c r="F24" s="26" t="s">
        <v>108</v>
      </c>
      <c r="G24" s="26" t="s">
        <v>108</v>
      </c>
      <c r="H24" s="33" t="s">
        <v>204</v>
      </c>
      <c r="I24" s="99" t="s">
        <v>205</v>
      </c>
      <c r="J24" s="33" t="s">
        <v>111</v>
      </c>
      <c r="K24" s="33" t="s">
        <v>204</v>
      </c>
      <c r="L24" s="111" t="s">
        <v>206</v>
      </c>
      <c r="M24" s="33" t="s">
        <v>204</v>
      </c>
      <c r="N24" s="97" t="s">
        <v>207</v>
      </c>
      <c r="O24" s="117" t="s">
        <v>84</v>
      </c>
    </row>
    <row r="25" s="14" customFormat="1" ht="34" spans="1:15">
      <c r="A25" s="105"/>
      <c r="B25" s="106"/>
      <c r="C25" s="26" t="s">
        <v>67</v>
      </c>
      <c r="D25" s="26" t="s">
        <v>108</v>
      </c>
      <c r="E25" s="26" t="s">
        <v>108</v>
      </c>
      <c r="F25" s="26" t="s">
        <v>108</v>
      </c>
      <c r="G25" s="26" t="s">
        <v>108</v>
      </c>
      <c r="H25" s="86" t="s">
        <v>208</v>
      </c>
      <c r="I25" s="99" t="s">
        <v>209</v>
      </c>
      <c r="J25" s="33" t="s">
        <v>111</v>
      </c>
      <c r="K25" s="86" t="s">
        <v>208</v>
      </c>
      <c r="L25" s="111" t="s">
        <v>210</v>
      </c>
      <c r="M25" s="86" t="s">
        <v>208</v>
      </c>
      <c r="N25" s="111" t="s">
        <v>210</v>
      </c>
      <c r="O25" s="34" t="s">
        <v>70</v>
      </c>
    </row>
    <row r="26" s="14" customFormat="1" ht="34" customHeight="1" spans="1:15">
      <c r="A26" s="105"/>
      <c r="B26" s="106"/>
      <c r="C26" s="26" t="s">
        <v>67</v>
      </c>
      <c r="D26" s="26" t="s">
        <v>108</v>
      </c>
      <c r="E26" s="26" t="s">
        <v>108</v>
      </c>
      <c r="F26" s="26" t="s">
        <v>108</v>
      </c>
      <c r="G26" s="26" t="s">
        <v>108</v>
      </c>
      <c r="H26" s="86" t="s">
        <v>208</v>
      </c>
      <c r="I26" s="99" t="s">
        <v>212</v>
      </c>
      <c r="J26" s="33" t="s">
        <v>111</v>
      </c>
      <c r="K26" s="86" t="s">
        <v>208</v>
      </c>
      <c r="L26" s="112" t="s">
        <v>213</v>
      </c>
      <c r="M26" s="86" t="s">
        <v>208</v>
      </c>
      <c r="N26" s="112" t="s">
        <v>213</v>
      </c>
      <c r="O26" s="34" t="s">
        <v>84</v>
      </c>
    </row>
    <row r="27" s="14" customFormat="1" ht="34" customHeight="1" spans="1:15">
      <c r="A27" s="105"/>
      <c r="B27" s="106"/>
      <c r="C27" s="29" t="s">
        <v>67</v>
      </c>
      <c r="D27" s="29" t="s">
        <v>108</v>
      </c>
      <c r="E27" s="29" t="s">
        <v>108</v>
      </c>
      <c r="F27" s="26" t="s">
        <v>259</v>
      </c>
      <c r="G27" s="26" t="s">
        <v>108</v>
      </c>
      <c r="H27" s="26" t="s">
        <v>259</v>
      </c>
      <c r="I27" s="113" t="s">
        <v>260</v>
      </c>
      <c r="J27" s="33" t="s">
        <v>111</v>
      </c>
      <c r="K27" s="26" t="s">
        <v>259</v>
      </c>
      <c r="L27" s="114" t="s">
        <v>261</v>
      </c>
      <c r="M27" s="26" t="s">
        <v>259</v>
      </c>
      <c r="N27" s="118" t="s">
        <v>262</v>
      </c>
      <c r="O27" s="117" t="s">
        <v>84</v>
      </c>
    </row>
    <row r="28" s="14" customFormat="1" ht="34" customHeight="1" spans="1:15">
      <c r="A28" s="105"/>
      <c r="B28" s="106"/>
      <c r="C28" s="29" t="s">
        <v>67</v>
      </c>
      <c r="D28" s="29" t="s">
        <v>108</v>
      </c>
      <c r="E28" s="29" t="s">
        <v>108</v>
      </c>
      <c r="F28" s="26" t="s">
        <v>263</v>
      </c>
      <c r="G28" s="26" t="s">
        <v>108</v>
      </c>
      <c r="H28" s="26" t="s">
        <v>263</v>
      </c>
      <c r="I28" s="115"/>
      <c r="J28" s="33" t="s">
        <v>111</v>
      </c>
      <c r="K28" s="26" t="s">
        <v>263</v>
      </c>
      <c r="L28" s="75"/>
      <c r="M28" s="26" t="s">
        <v>263</v>
      </c>
      <c r="N28" s="79"/>
      <c r="O28" s="117" t="s">
        <v>84</v>
      </c>
    </row>
    <row r="29" s="14" customFormat="1" ht="34" customHeight="1" spans="1:15">
      <c r="A29" s="105"/>
      <c r="B29" s="106"/>
      <c r="C29" s="29" t="s">
        <v>67</v>
      </c>
      <c r="D29" s="29" t="s">
        <v>108</v>
      </c>
      <c r="E29" s="29" t="s">
        <v>108</v>
      </c>
      <c r="F29" s="26" t="s">
        <v>264</v>
      </c>
      <c r="G29" s="26" t="s">
        <v>108</v>
      </c>
      <c r="H29" s="26" t="s">
        <v>264</v>
      </c>
      <c r="I29" s="115"/>
      <c r="J29" s="33" t="s">
        <v>111</v>
      </c>
      <c r="K29" s="26" t="s">
        <v>264</v>
      </c>
      <c r="L29" s="75"/>
      <c r="M29" s="26" t="s">
        <v>264</v>
      </c>
      <c r="N29" s="79"/>
      <c r="O29" s="117" t="s">
        <v>84</v>
      </c>
    </row>
    <row r="30" s="14" customFormat="1" ht="34" customHeight="1" spans="1:15">
      <c r="A30" s="105"/>
      <c r="B30" s="106"/>
      <c r="C30" s="29" t="s">
        <v>67</v>
      </c>
      <c r="D30" s="29" t="s">
        <v>108</v>
      </c>
      <c r="E30" s="29" t="s">
        <v>108</v>
      </c>
      <c r="F30" s="26" t="s">
        <v>265</v>
      </c>
      <c r="G30" s="26" t="s">
        <v>108</v>
      </c>
      <c r="H30" s="26" t="s">
        <v>265</v>
      </c>
      <c r="I30" s="116"/>
      <c r="J30" s="33" t="s">
        <v>111</v>
      </c>
      <c r="K30" s="26" t="s">
        <v>265</v>
      </c>
      <c r="L30" s="77"/>
      <c r="M30" s="26" t="s">
        <v>265</v>
      </c>
      <c r="N30" s="83"/>
      <c r="O30" s="117" t="s">
        <v>84</v>
      </c>
    </row>
    <row r="31" s="14" customFormat="1" ht="34" customHeight="1" spans="1:15">
      <c r="A31" s="105"/>
      <c r="B31" s="106"/>
      <c r="C31" s="29" t="s">
        <v>45</v>
      </c>
      <c r="D31" s="29" t="s">
        <v>266</v>
      </c>
      <c r="E31" s="29">
        <v>9</v>
      </c>
      <c r="F31" s="26" t="s">
        <v>267</v>
      </c>
      <c r="G31" s="26" t="s">
        <v>268</v>
      </c>
      <c r="H31" s="26" t="s">
        <v>267</v>
      </c>
      <c r="I31" s="26" t="s">
        <v>269</v>
      </c>
      <c r="J31" s="33" t="s">
        <v>111</v>
      </c>
      <c r="K31" s="26" t="s">
        <v>270</v>
      </c>
      <c r="L31" s="96" t="s">
        <v>271</v>
      </c>
      <c r="M31" s="26" t="s">
        <v>270</v>
      </c>
      <c r="N31" s="97" t="s">
        <v>271</v>
      </c>
      <c r="O31" s="117" t="s">
        <v>73</v>
      </c>
    </row>
    <row r="32" s="14" customFormat="1" ht="34" customHeight="1" spans="1:15">
      <c r="A32" s="105"/>
      <c r="B32" s="106"/>
      <c r="C32" s="29" t="s">
        <v>45</v>
      </c>
      <c r="D32" s="108" t="s">
        <v>272</v>
      </c>
      <c r="E32" s="108">
        <v>10</v>
      </c>
      <c r="F32" s="26" t="s">
        <v>273</v>
      </c>
      <c r="G32" s="26" t="s">
        <v>108</v>
      </c>
      <c r="H32" s="26" t="s">
        <v>274</v>
      </c>
      <c r="I32" s="26" t="s">
        <v>275</v>
      </c>
      <c r="J32" s="33" t="s">
        <v>111</v>
      </c>
      <c r="K32" s="26" t="s">
        <v>274</v>
      </c>
      <c r="L32" s="96" t="s">
        <v>271</v>
      </c>
      <c r="M32" s="26" t="s">
        <v>274</v>
      </c>
      <c r="N32" s="97" t="s">
        <v>271</v>
      </c>
      <c r="O32" s="117" t="s">
        <v>73</v>
      </c>
    </row>
    <row r="33" s="14" customFormat="1" ht="34" customHeight="1" spans="1:15">
      <c r="A33" s="105"/>
      <c r="B33" s="106"/>
      <c r="C33" s="106" t="s">
        <v>53</v>
      </c>
      <c r="D33" s="29" t="s">
        <v>108</v>
      </c>
      <c r="E33" s="29" t="s">
        <v>108</v>
      </c>
      <c r="F33" s="26" t="s">
        <v>108</v>
      </c>
      <c r="G33" s="33" t="s">
        <v>108</v>
      </c>
      <c r="H33" s="33" t="s">
        <v>214</v>
      </c>
      <c r="I33" s="99" t="s">
        <v>215</v>
      </c>
      <c r="J33" s="33" t="s">
        <v>111</v>
      </c>
      <c r="K33" s="96" t="s">
        <v>214</v>
      </c>
      <c r="L33" s="111" t="s">
        <v>216</v>
      </c>
      <c r="M33" s="96" t="s">
        <v>214</v>
      </c>
      <c r="N33" s="103" t="s">
        <v>217</v>
      </c>
      <c r="O33" s="117" t="s">
        <v>84</v>
      </c>
    </row>
    <row r="34" s="14" customFormat="1" ht="34" customHeight="1" spans="1:15">
      <c r="A34" s="105"/>
      <c r="B34" s="106"/>
      <c r="C34" s="106" t="s">
        <v>53</v>
      </c>
      <c r="D34" s="29" t="s">
        <v>108</v>
      </c>
      <c r="E34" s="29" t="s">
        <v>108</v>
      </c>
      <c r="F34" s="26" t="s">
        <v>108</v>
      </c>
      <c r="G34" s="26" t="s">
        <v>108</v>
      </c>
      <c r="H34" s="33" t="s">
        <v>218</v>
      </c>
      <c r="I34" s="99" t="s">
        <v>219</v>
      </c>
      <c r="J34" s="33" t="s">
        <v>111</v>
      </c>
      <c r="K34" s="33" t="s">
        <v>218</v>
      </c>
      <c r="L34" s="111" t="s">
        <v>220</v>
      </c>
      <c r="M34" s="33" t="s">
        <v>218</v>
      </c>
      <c r="N34" s="117" t="s">
        <v>221</v>
      </c>
      <c r="O34" s="117" t="s">
        <v>84</v>
      </c>
    </row>
    <row r="35" s="14" customFormat="1" ht="34" spans="1:15">
      <c r="A35" s="105"/>
      <c r="B35" s="109" t="s">
        <v>276</v>
      </c>
      <c r="C35" s="83" t="s">
        <v>67</v>
      </c>
      <c r="D35" s="29" t="s">
        <v>228</v>
      </c>
      <c r="E35" s="29">
        <v>1</v>
      </c>
      <c r="F35" s="26" t="s">
        <v>229</v>
      </c>
      <c r="G35" s="110" t="s">
        <v>230</v>
      </c>
      <c r="H35" s="26" t="s">
        <v>277</v>
      </c>
      <c r="I35" s="82" t="s">
        <v>232</v>
      </c>
      <c r="J35" s="33" t="s">
        <v>111</v>
      </c>
      <c r="K35" s="26" t="s">
        <v>277</v>
      </c>
      <c r="L35" s="96" t="s">
        <v>81</v>
      </c>
      <c r="M35" s="26" t="s">
        <v>277</v>
      </c>
      <c r="N35" s="97" t="s">
        <v>81</v>
      </c>
      <c r="O35" s="119" t="s">
        <v>278</v>
      </c>
    </row>
    <row r="36" s="14" customFormat="1" ht="34" spans="1:15">
      <c r="A36" s="105"/>
      <c r="B36" s="109"/>
      <c r="C36" s="29" t="s">
        <v>67</v>
      </c>
      <c r="D36" s="83" t="s">
        <v>233</v>
      </c>
      <c r="E36" s="29">
        <v>2</v>
      </c>
      <c r="F36" s="26" t="s">
        <v>234</v>
      </c>
      <c r="G36" s="110" t="s">
        <v>235</v>
      </c>
      <c r="H36" s="26" t="s">
        <v>279</v>
      </c>
      <c r="I36" s="82" t="s">
        <v>110</v>
      </c>
      <c r="J36" s="33" t="s">
        <v>111</v>
      </c>
      <c r="K36" s="26" t="s">
        <v>279</v>
      </c>
      <c r="L36" s="96" t="s">
        <v>75</v>
      </c>
      <c r="M36" s="26" t="s">
        <v>279</v>
      </c>
      <c r="N36" s="97" t="s">
        <v>75</v>
      </c>
      <c r="O36" s="117" t="s">
        <v>278</v>
      </c>
    </row>
    <row r="37" s="14" customFormat="1" ht="34" spans="1:15">
      <c r="A37" s="105"/>
      <c r="B37" s="109"/>
      <c r="C37" s="29" t="s">
        <v>67</v>
      </c>
      <c r="D37" s="29" t="s">
        <v>237</v>
      </c>
      <c r="E37" s="29">
        <v>3</v>
      </c>
      <c r="F37" s="26" t="s">
        <v>238</v>
      </c>
      <c r="G37" s="33" t="s">
        <v>239</v>
      </c>
      <c r="H37" s="26" t="s">
        <v>280</v>
      </c>
      <c r="I37" s="82" t="s">
        <v>119</v>
      </c>
      <c r="J37" s="33" t="s">
        <v>111</v>
      </c>
      <c r="K37" s="26" t="s">
        <v>280</v>
      </c>
      <c r="L37" s="96" t="s">
        <v>75</v>
      </c>
      <c r="M37" s="26" t="s">
        <v>280</v>
      </c>
      <c r="N37" s="97" t="s">
        <v>75</v>
      </c>
      <c r="O37" s="117" t="s">
        <v>278</v>
      </c>
    </row>
    <row r="38" s="14" customFormat="1" ht="34" customHeight="1" spans="1:15">
      <c r="A38" s="105"/>
      <c r="B38" s="109"/>
      <c r="C38" s="29" t="s">
        <v>67</v>
      </c>
      <c r="D38" s="29" t="s">
        <v>244</v>
      </c>
      <c r="E38" s="29">
        <v>5</v>
      </c>
      <c r="F38" s="26" t="s">
        <v>245</v>
      </c>
      <c r="G38" s="33" t="s">
        <v>246</v>
      </c>
      <c r="H38" s="26" t="s">
        <v>281</v>
      </c>
      <c r="I38" s="82" t="s">
        <v>248</v>
      </c>
      <c r="J38" s="33" t="s">
        <v>111</v>
      </c>
      <c r="K38" s="26" t="s">
        <v>281</v>
      </c>
      <c r="L38" s="96" t="s">
        <v>75</v>
      </c>
      <c r="M38" s="26" t="s">
        <v>281</v>
      </c>
      <c r="N38" s="97" t="s">
        <v>75</v>
      </c>
      <c r="O38" s="117" t="s">
        <v>278</v>
      </c>
    </row>
    <row r="39" s="14" customFormat="1" ht="34" customHeight="1" spans="1:15">
      <c r="A39" s="105"/>
      <c r="B39" s="109"/>
      <c r="C39" s="29" t="s">
        <v>67</v>
      </c>
      <c r="D39" s="29" t="s">
        <v>249</v>
      </c>
      <c r="E39" s="29">
        <v>6</v>
      </c>
      <c r="F39" s="26" t="s">
        <v>250</v>
      </c>
      <c r="G39" s="33" t="s">
        <v>251</v>
      </c>
      <c r="H39" s="26" t="s">
        <v>282</v>
      </c>
      <c r="I39" s="82" t="s">
        <v>248</v>
      </c>
      <c r="J39" s="33" t="s">
        <v>111</v>
      </c>
      <c r="K39" s="26" t="s">
        <v>282</v>
      </c>
      <c r="L39" s="96" t="s">
        <v>75</v>
      </c>
      <c r="M39" s="26" t="s">
        <v>282</v>
      </c>
      <c r="N39" s="97" t="s">
        <v>75</v>
      </c>
      <c r="O39" s="117" t="s">
        <v>278</v>
      </c>
    </row>
    <row r="40" s="14" customFormat="1" ht="34" customHeight="1" spans="1:15">
      <c r="A40" s="105"/>
      <c r="B40" s="109"/>
      <c r="C40" s="29" t="s">
        <v>67</v>
      </c>
      <c r="D40" s="29" t="s">
        <v>253</v>
      </c>
      <c r="E40" s="29">
        <v>7</v>
      </c>
      <c r="F40" s="26" t="s">
        <v>254</v>
      </c>
      <c r="G40" s="33" t="s">
        <v>255</v>
      </c>
      <c r="H40" s="26" t="s">
        <v>283</v>
      </c>
      <c r="I40" s="82" t="s">
        <v>248</v>
      </c>
      <c r="J40" s="33" t="s">
        <v>111</v>
      </c>
      <c r="K40" s="26" t="s">
        <v>283</v>
      </c>
      <c r="L40" s="96" t="s">
        <v>75</v>
      </c>
      <c r="M40" s="26" t="s">
        <v>283</v>
      </c>
      <c r="N40" s="97" t="s">
        <v>75</v>
      </c>
      <c r="O40" s="117" t="s">
        <v>278</v>
      </c>
    </row>
    <row r="41" s="14" customFormat="1" ht="34" spans="1:15">
      <c r="A41" s="105"/>
      <c r="B41" s="109"/>
      <c r="C41" s="29" t="s">
        <v>88</v>
      </c>
      <c r="D41" s="29" t="s">
        <v>108</v>
      </c>
      <c r="E41" s="29" t="s">
        <v>108</v>
      </c>
      <c r="F41" s="26" t="s">
        <v>89</v>
      </c>
      <c r="G41" s="33" t="s">
        <v>108</v>
      </c>
      <c r="H41" s="26" t="s">
        <v>89</v>
      </c>
      <c r="I41" s="82" t="s">
        <v>222</v>
      </c>
      <c r="J41" s="33" t="s">
        <v>111</v>
      </c>
      <c r="K41" s="26" t="s">
        <v>89</v>
      </c>
      <c r="L41" s="111" t="s">
        <v>223</v>
      </c>
      <c r="M41" s="96" t="s">
        <v>89</v>
      </c>
      <c r="N41" s="117" t="s">
        <v>224</v>
      </c>
      <c r="O41" s="117" t="s">
        <v>284</v>
      </c>
    </row>
    <row r="42" s="14" customFormat="1" ht="34" customHeight="1" spans="1:15">
      <c r="A42" s="105" t="s">
        <v>285</v>
      </c>
      <c r="B42" s="78" t="s">
        <v>227</v>
      </c>
      <c r="C42" s="29" t="s">
        <v>67</v>
      </c>
      <c r="D42" s="29" t="s">
        <v>228</v>
      </c>
      <c r="E42" s="29">
        <v>1</v>
      </c>
      <c r="F42" s="26" t="s">
        <v>286</v>
      </c>
      <c r="G42" s="110" t="s">
        <v>230</v>
      </c>
      <c r="H42" s="26" t="s">
        <v>286</v>
      </c>
      <c r="I42" s="99" t="s">
        <v>287</v>
      </c>
      <c r="J42" s="33" t="s">
        <v>111</v>
      </c>
      <c r="K42" s="26" t="s">
        <v>288</v>
      </c>
      <c r="L42" s="96" t="s">
        <v>75</v>
      </c>
      <c r="M42" s="26" t="s">
        <v>288</v>
      </c>
      <c r="N42" s="97" t="s">
        <v>75</v>
      </c>
      <c r="O42" s="117" t="s">
        <v>73</v>
      </c>
    </row>
    <row r="43" s="14" customFormat="1" ht="34" customHeight="1" spans="1:15">
      <c r="A43" s="105"/>
      <c r="B43" s="79"/>
      <c r="C43" s="29" t="s">
        <v>67</v>
      </c>
      <c r="D43" s="29" t="s">
        <v>233</v>
      </c>
      <c r="E43" s="29">
        <v>2</v>
      </c>
      <c r="F43" s="26" t="s">
        <v>289</v>
      </c>
      <c r="G43" s="110" t="s">
        <v>235</v>
      </c>
      <c r="H43" s="26" t="s">
        <v>290</v>
      </c>
      <c r="I43" s="82" t="s">
        <v>291</v>
      </c>
      <c r="J43" s="33" t="s">
        <v>111</v>
      </c>
      <c r="K43" s="26" t="s">
        <v>290</v>
      </c>
      <c r="L43" s="96" t="s">
        <v>75</v>
      </c>
      <c r="M43" s="26" t="s">
        <v>290</v>
      </c>
      <c r="N43" s="97" t="s">
        <v>75</v>
      </c>
      <c r="O43" s="117" t="s">
        <v>73</v>
      </c>
    </row>
    <row r="44" s="14" customFormat="1" ht="34" customHeight="1" spans="1:15">
      <c r="A44" s="105"/>
      <c r="B44" s="79"/>
      <c r="C44" s="29" t="s">
        <v>67</v>
      </c>
      <c r="D44" s="29" t="s">
        <v>237</v>
      </c>
      <c r="E44" s="29">
        <v>3</v>
      </c>
      <c r="F44" s="26" t="s">
        <v>292</v>
      </c>
      <c r="G44" s="110" t="s">
        <v>239</v>
      </c>
      <c r="H44" s="26" t="s">
        <v>293</v>
      </c>
      <c r="I44" s="82" t="s">
        <v>294</v>
      </c>
      <c r="J44" s="33" t="s">
        <v>111</v>
      </c>
      <c r="K44" s="26" t="s">
        <v>293</v>
      </c>
      <c r="L44" s="96" t="s">
        <v>75</v>
      </c>
      <c r="M44" s="26" t="s">
        <v>293</v>
      </c>
      <c r="N44" s="97" t="s">
        <v>75</v>
      </c>
      <c r="O44" s="117" t="s">
        <v>73</v>
      </c>
    </row>
    <row r="45" s="14" customFormat="1" ht="34" customHeight="1" spans="1:15">
      <c r="A45" s="105"/>
      <c r="B45" s="79"/>
      <c r="C45" s="29" t="s">
        <v>67</v>
      </c>
      <c r="D45" s="29" t="s">
        <v>240</v>
      </c>
      <c r="E45" s="29">
        <v>4</v>
      </c>
      <c r="F45" s="26"/>
      <c r="G45" s="110" t="s">
        <v>241</v>
      </c>
      <c r="H45" s="26" t="s">
        <v>242</v>
      </c>
      <c r="I45" s="82" t="s">
        <v>295</v>
      </c>
      <c r="J45" s="33" t="s">
        <v>111</v>
      </c>
      <c r="K45" s="26" t="s">
        <v>242</v>
      </c>
      <c r="L45" s="96" t="s">
        <v>145</v>
      </c>
      <c r="M45" s="26" t="s">
        <v>242</v>
      </c>
      <c r="N45" s="97" t="s">
        <v>145</v>
      </c>
      <c r="O45" s="117" t="s">
        <v>73</v>
      </c>
    </row>
    <row r="46" s="14" customFormat="1" ht="34" customHeight="1" spans="1:15">
      <c r="A46" s="105"/>
      <c r="B46" s="79"/>
      <c r="C46" s="29" t="s">
        <v>67</v>
      </c>
      <c r="D46" s="29" t="s">
        <v>244</v>
      </c>
      <c r="E46" s="29">
        <v>5</v>
      </c>
      <c r="F46" s="26"/>
      <c r="G46" s="110" t="s">
        <v>246</v>
      </c>
      <c r="H46" s="26" t="s">
        <v>242</v>
      </c>
      <c r="I46" s="82" t="s">
        <v>295</v>
      </c>
      <c r="J46" s="33" t="s">
        <v>111</v>
      </c>
      <c r="K46" s="26" t="s">
        <v>242</v>
      </c>
      <c r="L46" s="96" t="s">
        <v>145</v>
      </c>
      <c r="M46" s="26" t="s">
        <v>242</v>
      </c>
      <c r="N46" s="97" t="s">
        <v>145</v>
      </c>
      <c r="O46" s="117" t="s">
        <v>73</v>
      </c>
    </row>
    <row r="47" s="14" customFormat="1" ht="34" customHeight="1" spans="1:15">
      <c r="A47" s="105"/>
      <c r="B47" s="79"/>
      <c r="C47" s="29" t="s">
        <v>67</v>
      </c>
      <c r="D47" s="29" t="s">
        <v>249</v>
      </c>
      <c r="E47" s="29">
        <v>6</v>
      </c>
      <c r="F47" s="26" t="s">
        <v>245</v>
      </c>
      <c r="G47" s="110" t="s">
        <v>251</v>
      </c>
      <c r="H47" s="26" t="s">
        <v>247</v>
      </c>
      <c r="I47" s="99" t="s">
        <v>248</v>
      </c>
      <c r="J47" s="33" t="s">
        <v>111</v>
      </c>
      <c r="K47" s="26" t="s">
        <v>247</v>
      </c>
      <c r="L47" s="96" t="s">
        <v>128</v>
      </c>
      <c r="M47" s="26" t="s">
        <v>247</v>
      </c>
      <c r="N47" s="97" t="s">
        <v>128</v>
      </c>
      <c r="O47" s="117" t="s">
        <v>73</v>
      </c>
    </row>
    <row r="48" s="14" customFormat="1" ht="34" customHeight="1" spans="1:15">
      <c r="A48" s="105"/>
      <c r="B48" s="79"/>
      <c r="C48" s="29" t="s">
        <v>67</v>
      </c>
      <c r="D48" s="29" t="s">
        <v>253</v>
      </c>
      <c r="E48" s="29">
        <v>7</v>
      </c>
      <c r="F48" s="26" t="s">
        <v>296</v>
      </c>
      <c r="G48" s="110" t="s">
        <v>255</v>
      </c>
      <c r="H48" s="26" t="s">
        <v>297</v>
      </c>
      <c r="I48" s="99" t="s">
        <v>248</v>
      </c>
      <c r="J48" s="33" t="s">
        <v>111</v>
      </c>
      <c r="K48" s="26" t="s">
        <v>297</v>
      </c>
      <c r="L48" s="96" t="s">
        <v>75</v>
      </c>
      <c r="M48" s="26" t="s">
        <v>297</v>
      </c>
      <c r="N48" s="97" t="s">
        <v>75</v>
      </c>
      <c r="O48" s="117" t="s">
        <v>73</v>
      </c>
    </row>
    <row r="49" s="14" customFormat="1" ht="34" customHeight="1" spans="1:15">
      <c r="A49" s="105"/>
      <c r="B49" s="79"/>
      <c r="C49" s="29" t="s">
        <v>67</v>
      </c>
      <c r="D49" s="29" t="s">
        <v>257</v>
      </c>
      <c r="E49" s="29">
        <v>8</v>
      </c>
      <c r="F49" s="26" t="s">
        <v>254</v>
      </c>
      <c r="G49" s="110" t="s">
        <v>258</v>
      </c>
      <c r="H49" s="26" t="s">
        <v>256</v>
      </c>
      <c r="I49" s="99" t="s">
        <v>248</v>
      </c>
      <c r="J49" s="33" t="s">
        <v>111</v>
      </c>
      <c r="K49" s="26" t="s">
        <v>256</v>
      </c>
      <c r="L49" s="96" t="s">
        <v>75</v>
      </c>
      <c r="M49" s="26" t="s">
        <v>256</v>
      </c>
      <c r="N49" s="97" t="s">
        <v>75</v>
      </c>
      <c r="O49" s="117" t="s">
        <v>73</v>
      </c>
    </row>
    <row r="50" s="14" customFormat="1" ht="34" customHeight="1" spans="1:15">
      <c r="A50" s="105"/>
      <c r="B50" s="79"/>
      <c r="C50" s="29" t="s">
        <v>67</v>
      </c>
      <c r="D50" s="29" t="s">
        <v>266</v>
      </c>
      <c r="E50" s="29">
        <v>9</v>
      </c>
      <c r="F50" s="26"/>
      <c r="G50" s="33" t="s">
        <v>268</v>
      </c>
      <c r="H50" s="26" t="s">
        <v>242</v>
      </c>
      <c r="I50" s="82" t="s">
        <v>243</v>
      </c>
      <c r="J50" s="33" t="s">
        <v>111</v>
      </c>
      <c r="K50" s="26" t="s">
        <v>242</v>
      </c>
      <c r="L50" s="96" t="s">
        <v>145</v>
      </c>
      <c r="M50" s="26" t="s">
        <v>242</v>
      </c>
      <c r="N50" s="97" t="s">
        <v>145</v>
      </c>
      <c r="O50" s="117" t="s">
        <v>73</v>
      </c>
    </row>
    <row r="51" s="14" customFormat="1" ht="34" customHeight="1" spans="1:15">
      <c r="A51" s="105"/>
      <c r="B51" s="79"/>
      <c r="C51" s="29" t="s">
        <v>67</v>
      </c>
      <c r="D51" s="29" t="s">
        <v>108</v>
      </c>
      <c r="E51" s="29" t="s">
        <v>108</v>
      </c>
      <c r="F51" s="26" t="s">
        <v>108</v>
      </c>
      <c r="G51" s="26" t="s">
        <v>108</v>
      </c>
      <c r="H51" s="33" t="s">
        <v>204</v>
      </c>
      <c r="I51" s="99" t="s">
        <v>205</v>
      </c>
      <c r="J51" s="33" t="s">
        <v>111</v>
      </c>
      <c r="K51" s="33" t="s">
        <v>204</v>
      </c>
      <c r="L51" s="111" t="s">
        <v>206</v>
      </c>
      <c r="M51" s="33" t="s">
        <v>204</v>
      </c>
      <c r="N51" s="97" t="s">
        <v>207</v>
      </c>
      <c r="O51" s="117" t="s">
        <v>84</v>
      </c>
    </row>
    <row r="52" s="14" customFormat="1" ht="34" spans="1:15">
      <c r="A52" s="105"/>
      <c r="B52" s="79"/>
      <c r="C52" s="26" t="s">
        <v>67</v>
      </c>
      <c r="D52" s="26" t="s">
        <v>108</v>
      </c>
      <c r="E52" s="26" t="s">
        <v>108</v>
      </c>
      <c r="F52" s="26" t="s">
        <v>108</v>
      </c>
      <c r="G52" s="26" t="s">
        <v>108</v>
      </c>
      <c r="H52" s="86" t="s">
        <v>208</v>
      </c>
      <c r="I52" s="99" t="s">
        <v>209</v>
      </c>
      <c r="J52" s="33" t="s">
        <v>111</v>
      </c>
      <c r="K52" s="86" t="s">
        <v>208</v>
      </c>
      <c r="L52" s="111" t="s">
        <v>210</v>
      </c>
      <c r="M52" s="86" t="s">
        <v>208</v>
      </c>
      <c r="N52" s="111" t="s">
        <v>210</v>
      </c>
      <c r="O52" s="34" t="s">
        <v>70</v>
      </c>
    </row>
    <row r="53" s="14" customFormat="1" ht="34" customHeight="1" spans="1:15">
      <c r="A53" s="105"/>
      <c r="B53" s="79"/>
      <c r="C53" s="26" t="s">
        <v>67</v>
      </c>
      <c r="D53" s="26" t="s">
        <v>108</v>
      </c>
      <c r="E53" s="26" t="s">
        <v>108</v>
      </c>
      <c r="F53" s="26" t="s">
        <v>108</v>
      </c>
      <c r="G53" s="26" t="s">
        <v>108</v>
      </c>
      <c r="H53" s="86" t="s">
        <v>208</v>
      </c>
      <c r="I53" s="99" t="s">
        <v>212</v>
      </c>
      <c r="J53" s="33" t="s">
        <v>111</v>
      </c>
      <c r="K53" s="86" t="s">
        <v>208</v>
      </c>
      <c r="L53" s="112" t="s">
        <v>213</v>
      </c>
      <c r="M53" s="86" t="s">
        <v>208</v>
      </c>
      <c r="N53" s="112" t="s">
        <v>213</v>
      </c>
      <c r="O53" s="34" t="s">
        <v>84</v>
      </c>
    </row>
    <row r="54" s="14" customFormat="1" ht="34" customHeight="1" spans="1:15">
      <c r="A54" s="105"/>
      <c r="B54" s="79"/>
      <c r="C54" s="29" t="s">
        <v>67</v>
      </c>
      <c r="D54" s="29" t="s">
        <v>108</v>
      </c>
      <c r="E54" s="29" t="s">
        <v>108</v>
      </c>
      <c r="F54" s="26" t="s">
        <v>259</v>
      </c>
      <c r="G54" s="26" t="s">
        <v>108</v>
      </c>
      <c r="H54" s="26" t="s">
        <v>259</v>
      </c>
      <c r="I54" s="113" t="s">
        <v>260</v>
      </c>
      <c r="J54" s="33" t="s">
        <v>111</v>
      </c>
      <c r="K54" s="26" t="s">
        <v>259</v>
      </c>
      <c r="L54" s="114" t="s">
        <v>261</v>
      </c>
      <c r="M54" s="26" t="s">
        <v>259</v>
      </c>
      <c r="N54" s="118" t="s">
        <v>262</v>
      </c>
      <c r="O54" s="117" t="s">
        <v>84</v>
      </c>
    </row>
    <row r="55" s="14" customFormat="1" ht="34" customHeight="1" spans="1:15">
      <c r="A55" s="105"/>
      <c r="B55" s="79"/>
      <c r="C55" s="29" t="s">
        <v>67</v>
      </c>
      <c r="D55" s="29" t="s">
        <v>108</v>
      </c>
      <c r="E55" s="29" t="s">
        <v>108</v>
      </c>
      <c r="F55" s="26" t="s">
        <v>263</v>
      </c>
      <c r="G55" s="26" t="s">
        <v>108</v>
      </c>
      <c r="H55" s="26" t="s">
        <v>263</v>
      </c>
      <c r="I55" s="115"/>
      <c r="J55" s="33" t="s">
        <v>111</v>
      </c>
      <c r="K55" s="26" t="s">
        <v>263</v>
      </c>
      <c r="L55" s="75"/>
      <c r="M55" s="26" t="s">
        <v>263</v>
      </c>
      <c r="N55" s="79"/>
      <c r="O55" s="117" t="s">
        <v>84</v>
      </c>
    </row>
    <row r="56" s="14" customFormat="1" ht="34" customHeight="1" spans="1:15">
      <c r="A56" s="105"/>
      <c r="B56" s="79"/>
      <c r="C56" s="29" t="s">
        <v>67</v>
      </c>
      <c r="D56" s="29" t="s">
        <v>108</v>
      </c>
      <c r="E56" s="29" t="s">
        <v>108</v>
      </c>
      <c r="F56" s="26" t="s">
        <v>264</v>
      </c>
      <c r="G56" s="26" t="s">
        <v>108</v>
      </c>
      <c r="H56" s="26" t="s">
        <v>264</v>
      </c>
      <c r="I56" s="115"/>
      <c r="J56" s="33" t="s">
        <v>111</v>
      </c>
      <c r="K56" s="26" t="s">
        <v>264</v>
      </c>
      <c r="L56" s="75"/>
      <c r="M56" s="26" t="s">
        <v>264</v>
      </c>
      <c r="N56" s="79"/>
      <c r="O56" s="117" t="s">
        <v>84</v>
      </c>
    </row>
    <row r="57" s="14" customFormat="1" ht="34" customHeight="1" spans="1:15">
      <c r="A57" s="105"/>
      <c r="B57" s="79"/>
      <c r="C57" s="29" t="s">
        <v>67</v>
      </c>
      <c r="D57" s="29" t="s">
        <v>108</v>
      </c>
      <c r="E57" s="29" t="s">
        <v>108</v>
      </c>
      <c r="F57" s="26" t="s">
        <v>265</v>
      </c>
      <c r="G57" s="26" t="s">
        <v>108</v>
      </c>
      <c r="H57" s="26" t="s">
        <v>265</v>
      </c>
      <c r="I57" s="116"/>
      <c r="J57" s="33" t="s">
        <v>111</v>
      </c>
      <c r="K57" s="26" t="s">
        <v>265</v>
      </c>
      <c r="L57" s="77"/>
      <c r="M57" s="26" t="s">
        <v>265</v>
      </c>
      <c r="N57" s="83"/>
      <c r="O57" s="117" t="s">
        <v>84</v>
      </c>
    </row>
    <row r="58" s="14" customFormat="1" ht="34" customHeight="1" spans="1:15">
      <c r="A58" s="105"/>
      <c r="B58" s="79"/>
      <c r="C58" s="29" t="s">
        <v>45</v>
      </c>
      <c r="D58" s="29" t="s">
        <v>272</v>
      </c>
      <c r="E58" s="29">
        <v>10</v>
      </c>
      <c r="F58" s="26" t="s">
        <v>298</v>
      </c>
      <c r="G58" s="26" t="s">
        <v>299</v>
      </c>
      <c r="H58" s="26" t="s">
        <v>298</v>
      </c>
      <c r="I58" s="26" t="s">
        <v>269</v>
      </c>
      <c r="J58" s="33" t="s">
        <v>111</v>
      </c>
      <c r="K58" s="26" t="s">
        <v>300</v>
      </c>
      <c r="L58" s="96" t="s">
        <v>271</v>
      </c>
      <c r="M58" s="26" t="s">
        <v>300</v>
      </c>
      <c r="N58" s="97" t="s">
        <v>271</v>
      </c>
      <c r="O58" s="117" t="s">
        <v>73</v>
      </c>
    </row>
    <row r="59" s="14" customFormat="1" ht="34" customHeight="1" spans="1:15">
      <c r="A59" s="105"/>
      <c r="B59" s="79"/>
      <c r="C59" s="29" t="s">
        <v>45</v>
      </c>
      <c r="D59" s="108" t="s">
        <v>301</v>
      </c>
      <c r="E59" s="108">
        <v>11</v>
      </c>
      <c r="F59" s="26" t="s">
        <v>302</v>
      </c>
      <c r="G59" s="26" t="s">
        <v>108</v>
      </c>
      <c r="H59" s="26" t="s">
        <v>303</v>
      </c>
      <c r="I59" s="26" t="s">
        <v>275</v>
      </c>
      <c r="J59" s="33" t="s">
        <v>111</v>
      </c>
      <c r="K59" s="26" t="s">
        <v>303</v>
      </c>
      <c r="L59" s="96" t="s">
        <v>271</v>
      </c>
      <c r="M59" s="26" t="s">
        <v>303</v>
      </c>
      <c r="N59" s="97" t="s">
        <v>271</v>
      </c>
      <c r="O59" s="117" t="s">
        <v>73</v>
      </c>
    </row>
    <row r="60" s="14" customFormat="1" ht="34" customHeight="1" spans="1:15">
      <c r="A60" s="105"/>
      <c r="B60" s="79"/>
      <c r="C60" s="106" t="s">
        <v>53</v>
      </c>
      <c r="D60" s="29" t="s">
        <v>108</v>
      </c>
      <c r="E60" s="29" t="s">
        <v>108</v>
      </c>
      <c r="F60" s="26" t="s">
        <v>108</v>
      </c>
      <c r="G60" s="33" t="s">
        <v>108</v>
      </c>
      <c r="H60" s="33" t="s">
        <v>214</v>
      </c>
      <c r="I60" s="99" t="s">
        <v>215</v>
      </c>
      <c r="J60" s="33" t="s">
        <v>111</v>
      </c>
      <c r="K60" s="96" t="s">
        <v>214</v>
      </c>
      <c r="L60" s="111" t="s">
        <v>216</v>
      </c>
      <c r="M60" s="96" t="s">
        <v>214</v>
      </c>
      <c r="N60" s="103" t="s">
        <v>217</v>
      </c>
      <c r="O60" s="117" t="s">
        <v>84</v>
      </c>
    </row>
    <row r="61" s="14" customFormat="1" ht="34" customHeight="1" spans="1:15">
      <c r="A61" s="105"/>
      <c r="B61" s="79"/>
      <c r="C61" s="106" t="s">
        <v>53</v>
      </c>
      <c r="D61" s="29" t="s">
        <v>108</v>
      </c>
      <c r="E61" s="29" t="s">
        <v>108</v>
      </c>
      <c r="F61" s="26" t="s">
        <v>108</v>
      </c>
      <c r="G61" s="26" t="s">
        <v>108</v>
      </c>
      <c r="H61" s="33" t="s">
        <v>218</v>
      </c>
      <c r="I61" s="99" t="s">
        <v>219</v>
      </c>
      <c r="J61" s="33" t="s">
        <v>111</v>
      </c>
      <c r="K61" s="33" t="s">
        <v>218</v>
      </c>
      <c r="L61" s="111" t="s">
        <v>220</v>
      </c>
      <c r="M61" s="33" t="s">
        <v>218</v>
      </c>
      <c r="N61" s="117" t="s">
        <v>221</v>
      </c>
      <c r="O61" s="117" t="s">
        <v>84</v>
      </c>
    </row>
    <row r="62" s="14" customFormat="1" ht="34" spans="1:15">
      <c r="A62" s="105"/>
      <c r="B62" s="78" t="s">
        <v>276</v>
      </c>
      <c r="C62" s="29" t="s">
        <v>67</v>
      </c>
      <c r="D62" s="29" t="s">
        <v>228</v>
      </c>
      <c r="E62" s="29">
        <v>1</v>
      </c>
      <c r="F62" s="26" t="s">
        <v>286</v>
      </c>
      <c r="G62" s="110" t="s">
        <v>230</v>
      </c>
      <c r="H62" s="26" t="s">
        <v>304</v>
      </c>
      <c r="I62" s="99" t="s">
        <v>287</v>
      </c>
      <c r="J62" s="33" t="s">
        <v>111</v>
      </c>
      <c r="K62" s="26" t="s">
        <v>304</v>
      </c>
      <c r="L62" s="96" t="s">
        <v>75</v>
      </c>
      <c r="M62" s="26" t="s">
        <v>304</v>
      </c>
      <c r="N62" s="97" t="s">
        <v>75</v>
      </c>
      <c r="O62" s="117" t="s">
        <v>278</v>
      </c>
    </row>
    <row r="63" s="14" customFormat="1" ht="34" spans="1:15">
      <c r="A63" s="105"/>
      <c r="B63" s="79"/>
      <c r="C63" s="29" t="s">
        <v>67</v>
      </c>
      <c r="D63" s="29" t="s">
        <v>233</v>
      </c>
      <c r="E63" s="29">
        <v>2</v>
      </c>
      <c r="F63" s="26" t="s">
        <v>289</v>
      </c>
      <c r="G63" s="110" t="s">
        <v>235</v>
      </c>
      <c r="H63" s="26" t="s">
        <v>305</v>
      </c>
      <c r="I63" s="82" t="s">
        <v>291</v>
      </c>
      <c r="J63" s="33" t="s">
        <v>111</v>
      </c>
      <c r="K63" s="26" t="s">
        <v>305</v>
      </c>
      <c r="L63" s="96" t="s">
        <v>75</v>
      </c>
      <c r="M63" s="26" t="s">
        <v>305</v>
      </c>
      <c r="N63" s="97" t="s">
        <v>75</v>
      </c>
      <c r="O63" s="117" t="s">
        <v>278</v>
      </c>
    </row>
    <row r="64" s="14" customFormat="1" ht="34" spans="1:15">
      <c r="A64" s="105"/>
      <c r="B64" s="79"/>
      <c r="C64" s="29" t="s">
        <v>67</v>
      </c>
      <c r="D64" s="29" t="s">
        <v>237</v>
      </c>
      <c r="E64" s="29">
        <v>3</v>
      </c>
      <c r="F64" s="26" t="s">
        <v>292</v>
      </c>
      <c r="G64" s="110" t="s">
        <v>239</v>
      </c>
      <c r="H64" s="26" t="s">
        <v>306</v>
      </c>
      <c r="I64" s="82" t="s">
        <v>294</v>
      </c>
      <c r="J64" s="33" t="s">
        <v>111</v>
      </c>
      <c r="K64" s="26" t="s">
        <v>306</v>
      </c>
      <c r="L64" s="96" t="s">
        <v>75</v>
      </c>
      <c r="M64" s="26" t="s">
        <v>306</v>
      </c>
      <c r="N64" s="97" t="s">
        <v>75</v>
      </c>
      <c r="O64" s="117" t="s">
        <v>278</v>
      </c>
    </row>
    <row r="65" s="14" customFormat="1" ht="34" customHeight="1" spans="1:15">
      <c r="A65" s="105"/>
      <c r="B65" s="79"/>
      <c r="C65" s="29" t="s">
        <v>67</v>
      </c>
      <c r="D65" s="29" t="s">
        <v>249</v>
      </c>
      <c r="E65" s="29">
        <v>6</v>
      </c>
      <c r="F65" s="26" t="s">
        <v>245</v>
      </c>
      <c r="G65" s="110" t="s">
        <v>251</v>
      </c>
      <c r="H65" s="26" t="s">
        <v>281</v>
      </c>
      <c r="I65" s="99" t="s">
        <v>248</v>
      </c>
      <c r="J65" s="33" t="s">
        <v>111</v>
      </c>
      <c r="K65" s="26" t="s">
        <v>281</v>
      </c>
      <c r="L65" s="96" t="s">
        <v>128</v>
      </c>
      <c r="M65" s="26" t="s">
        <v>281</v>
      </c>
      <c r="N65" s="97" t="s">
        <v>128</v>
      </c>
      <c r="O65" s="117" t="s">
        <v>278</v>
      </c>
    </row>
    <row r="66" s="14" customFormat="1" ht="34" customHeight="1" spans="1:15">
      <c r="A66" s="105"/>
      <c r="B66" s="79"/>
      <c r="C66" s="29" t="s">
        <v>67</v>
      </c>
      <c r="D66" s="29" t="s">
        <v>253</v>
      </c>
      <c r="E66" s="29">
        <v>7</v>
      </c>
      <c r="F66" s="26" t="s">
        <v>296</v>
      </c>
      <c r="G66" s="110" t="s">
        <v>255</v>
      </c>
      <c r="H66" s="26" t="s">
        <v>307</v>
      </c>
      <c r="I66" s="99" t="s">
        <v>248</v>
      </c>
      <c r="J66" s="33" t="s">
        <v>111</v>
      </c>
      <c r="K66" s="26" t="s">
        <v>307</v>
      </c>
      <c r="L66" s="96" t="s">
        <v>75</v>
      </c>
      <c r="M66" s="26" t="s">
        <v>307</v>
      </c>
      <c r="N66" s="97" t="s">
        <v>75</v>
      </c>
      <c r="O66" s="117" t="s">
        <v>278</v>
      </c>
    </row>
    <row r="67" s="14" customFormat="1" ht="34" customHeight="1" spans="1:15">
      <c r="A67" s="105"/>
      <c r="B67" s="79"/>
      <c r="C67" s="29" t="s">
        <v>67</v>
      </c>
      <c r="D67" s="29" t="s">
        <v>257</v>
      </c>
      <c r="E67" s="29">
        <v>8</v>
      </c>
      <c r="F67" s="26" t="s">
        <v>254</v>
      </c>
      <c r="G67" s="110" t="s">
        <v>258</v>
      </c>
      <c r="H67" s="26" t="s">
        <v>283</v>
      </c>
      <c r="I67" s="99" t="s">
        <v>248</v>
      </c>
      <c r="J67" s="33" t="s">
        <v>111</v>
      </c>
      <c r="K67" s="26" t="s">
        <v>283</v>
      </c>
      <c r="L67" s="96" t="s">
        <v>75</v>
      </c>
      <c r="M67" s="26" t="s">
        <v>283</v>
      </c>
      <c r="N67" s="97" t="s">
        <v>75</v>
      </c>
      <c r="O67" s="117" t="s">
        <v>278</v>
      </c>
    </row>
    <row r="68" s="14" customFormat="1" ht="34" spans="1:15">
      <c r="A68" s="105"/>
      <c r="B68" s="83"/>
      <c r="C68" s="29" t="s">
        <v>88</v>
      </c>
      <c r="D68" s="29" t="s">
        <v>108</v>
      </c>
      <c r="E68" s="29" t="s">
        <v>108</v>
      </c>
      <c r="F68" s="26" t="s">
        <v>89</v>
      </c>
      <c r="G68" s="33" t="s">
        <v>108</v>
      </c>
      <c r="H68" s="26" t="s">
        <v>89</v>
      </c>
      <c r="I68" s="82" t="s">
        <v>222</v>
      </c>
      <c r="J68" s="33" t="s">
        <v>111</v>
      </c>
      <c r="K68" s="26" t="s">
        <v>89</v>
      </c>
      <c r="L68" s="111" t="s">
        <v>223</v>
      </c>
      <c r="M68" s="96" t="s">
        <v>89</v>
      </c>
      <c r="N68" s="117" t="s">
        <v>224</v>
      </c>
      <c r="O68" s="117" t="s">
        <v>284</v>
      </c>
    </row>
    <row r="69" s="14" customFormat="1" ht="34" customHeight="1" spans="1:15">
      <c r="A69" s="105" t="s">
        <v>308</v>
      </c>
      <c r="B69" s="79" t="s">
        <v>227</v>
      </c>
      <c r="C69" s="29" t="s">
        <v>67</v>
      </c>
      <c r="D69" s="29" t="s">
        <v>228</v>
      </c>
      <c r="E69" s="29">
        <v>1</v>
      </c>
      <c r="F69" s="26" t="s">
        <v>286</v>
      </c>
      <c r="G69" s="110" t="s">
        <v>230</v>
      </c>
      <c r="H69" s="26" t="s">
        <v>288</v>
      </c>
      <c r="I69" s="82" t="s">
        <v>232</v>
      </c>
      <c r="J69" s="33" t="s">
        <v>111</v>
      </c>
      <c r="K69" s="26" t="s">
        <v>288</v>
      </c>
      <c r="L69" s="96" t="s">
        <v>81</v>
      </c>
      <c r="M69" s="26" t="s">
        <v>288</v>
      </c>
      <c r="N69" s="97" t="s">
        <v>81</v>
      </c>
      <c r="O69" s="117" t="s">
        <v>73</v>
      </c>
    </row>
    <row r="70" s="14" customFormat="1" ht="34" customHeight="1" spans="1:15">
      <c r="A70" s="105"/>
      <c r="B70" s="79"/>
      <c r="C70" s="29" t="s">
        <v>67</v>
      </c>
      <c r="D70" s="83" t="s">
        <v>233</v>
      </c>
      <c r="E70" s="29">
        <v>2</v>
      </c>
      <c r="F70" s="26" t="s">
        <v>309</v>
      </c>
      <c r="G70" s="110" t="s">
        <v>235</v>
      </c>
      <c r="H70" s="26" t="s">
        <v>310</v>
      </c>
      <c r="I70" s="82" t="s">
        <v>110</v>
      </c>
      <c r="J70" s="33" t="s">
        <v>111</v>
      </c>
      <c r="K70" s="26" t="s">
        <v>310</v>
      </c>
      <c r="L70" s="96" t="s">
        <v>75</v>
      </c>
      <c r="M70" s="26" t="s">
        <v>310</v>
      </c>
      <c r="N70" s="97" t="s">
        <v>75</v>
      </c>
      <c r="O70" s="117" t="s">
        <v>73</v>
      </c>
    </row>
    <row r="71" s="14" customFormat="1" ht="34" customHeight="1" spans="1:15">
      <c r="A71" s="105"/>
      <c r="B71" s="79"/>
      <c r="C71" s="29" t="s">
        <v>67</v>
      </c>
      <c r="D71" s="29" t="s">
        <v>237</v>
      </c>
      <c r="E71" s="29">
        <v>3</v>
      </c>
      <c r="F71" s="26" t="s">
        <v>311</v>
      </c>
      <c r="G71" s="33" t="s">
        <v>239</v>
      </c>
      <c r="H71" s="26" t="s">
        <v>312</v>
      </c>
      <c r="I71" s="82" t="s">
        <v>119</v>
      </c>
      <c r="J71" s="33" t="s">
        <v>111</v>
      </c>
      <c r="K71" s="26" t="s">
        <v>312</v>
      </c>
      <c r="L71" s="96" t="s">
        <v>75</v>
      </c>
      <c r="M71" s="26" t="s">
        <v>312</v>
      </c>
      <c r="N71" s="97" t="s">
        <v>75</v>
      </c>
      <c r="O71" s="117" t="s">
        <v>73</v>
      </c>
    </row>
    <row r="72" s="14" customFormat="1" ht="34" customHeight="1" spans="1:15">
      <c r="A72" s="105"/>
      <c r="B72" s="79"/>
      <c r="C72" s="29" t="s">
        <v>67</v>
      </c>
      <c r="D72" s="29" t="s">
        <v>240</v>
      </c>
      <c r="E72" s="29">
        <v>4</v>
      </c>
      <c r="F72" s="26"/>
      <c r="G72" s="33" t="s">
        <v>241</v>
      </c>
      <c r="H72" s="26" t="s">
        <v>242</v>
      </c>
      <c r="I72" s="82" t="s">
        <v>243</v>
      </c>
      <c r="J72" s="33" t="s">
        <v>111</v>
      </c>
      <c r="K72" s="26" t="s">
        <v>242</v>
      </c>
      <c r="L72" s="96" t="s">
        <v>145</v>
      </c>
      <c r="M72" s="26" t="s">
        <v>242</v>
      </c>
      <c r="N72" s="97" t="s">
        <v>145</v>
      </c>
      <c r="O72" s="117" t="s">
        <v>73</v>
      </c>
    </row>
    <row r="73" s="14" customFormat="1" ht="34" customHeight="1" spans="1:15">
      <c r="A73" s="105"/>
      <c r="B73" s="79"/>
      <c r="C73" s="29" t="s">
        <v>67</v>
      </c>
      <c r="D73" s="29" t="s">
        <v>244</v>
      </c>
      <c r="E73" s="29">
        <v>5</v>
      </c>
      <c r="F73" s="26" t="s">
        <v>245</v>
      </c>
      <c r="G73" s="33" t="s">
        <v>246</v>
      </c>
      <c r="H73" s="26" t="s">
        <v>247</v>
      </c>
      <c r="I73" s="82" t="s">
        <v>248</v>
      </c>
      <c r="J73" s="33" t="s">
        <v>111</v>
      </c>
      <c r="K73" s="26" t="s">
        <v>247</v>
      </c>
      <c r="L73" s="96" t="s">
        <v>75</v>
      </c>
      <c r="M73" s="26" t="s">
        <v>247</v>
      </c>
      <c r="N73" s="97" t="s">
        <v>75</v>
      </c>
      <c r="O73" s="117" t="s">
        <v>73</v>
      </c>
    </row>
    <row r="74" s="14" customFormat="1" ht="34" customHeight="1" spans="1:15">
      <c r="A74" s="105"/>
      <c r="B74" s="79"/>
      <c r="C74" s="29" t="s">
        <v>67</v>
      </c>
      <c r="D74" s="29" t="s">
        <v>249</v>
      </c>
      <c r="E74" s="29">
        <v>6</v>
      </c>
      <c r="F74" s="26" t="s">
        <v>313</v>
      </c>
      <c r="G74" s="33" t="s">
        <v>251</v>
      </c>
      <c r="H74" s="26" t="s">
        <v>314</v>
      </c>
      <c r="I74" s="82" t="s">
        <v>248</v>
      </c>
      <c r="J74" s="33" t="s">
        <v>111</v>
      </c>
      <c r="K74" s="26" t="s">
        <v>314</v>
      </c>
      <c r="L74" s="96" t="s">
        <v>75</v>
      </c>
      <c r="M74" s="26" t="s">
        <v>314</v>
      </c>
      <c r="N74" s="97" t="s">
        <v>75</v>
      </c>
      <c r="O74" s="117" t="s">
        <v>73</v>
      </c>
    </row>
    <row r="75" s="14" customFormat="1" ht="34" customHeight="1" spans="1:15">
      <c r="A75" s="105"/>
      <c r="B75" s="79"/>
      <c r="C75" s="29" t="s">
        <v>67</v>
      </c>
      <c r="D75" s="29" t="s">
        <v>253</v>
      </c>
      <c r="E75" s="29">
        <v>7</v>
      </c>
      <c r="F75" s="26" t="s">
        <v>254</v>
      </c>
      <c r="G75" s="33" t="s">
        <v>255</v>
      </c>
      <c r="H75" s="26" t="s">
        <v>256</v>
      </c>
      <c r="I75" s="82" t="s">
        <v>248</v>
      </c>
      <c r="J75" s="33" t="s">
        <v>111</v>
      </c>
      <c r="K75" s="26" t="s">
        <v>256</v>
      </c>
      <c r="L75" s="96" t="s">
        <v>75</v>
      </c>
      <c r="M75" s="26" t="s">
        <v>256</v>
      </c>
      <c r="N75" s="97" t="s">
        <v>75</v>
      </c>
      <c r="O75" s="117" t="s">
        <v>73</v>
      </c>
    </row>
    <row r="76" s="14" customFormat="1" ht="34" customHeight="1" spans="1:15">
      <c r="A76" s="105"/>
      <c r="B76" s="79"/>
      <c r="C76" s="29" t="s">
        <v>67</v>
      </c>
      <c r="D76" s="29" t="s">
        <v>257</v>
      </c>
      <c r="E76" s="29">
        <v>8</v>
      </c>
      <c r="F76" s="26"/>
      <c r="G76" s="33" t="s">
        <v>258</v>
      </c>
      <c r="H76" s="26" t="s">
        <v>242</v>
      </c>
      <c r="I76" s="82" t="s">
        <v>243</v>
      </c>
      <c r="J76" s="33" t="s">
        <v>111</v>
      </c>
      <c r="K76" s="26" t="s">
        <v>242</v>
      </c>
      <c r="L76" s="96" t="s">
        <v>145</v>
      </c>
      <c r="M76" s="26" t="s">
        <v>242</v>
      </c>
      <c r="N76" s="97" t="s">
        <v>145</v>
      </c>
      <c r="O76" s="117" t="s">
        <v>73</v>
      </c>
    </row>
    <row r="77" s="14" customFormat="1" ht="34" customHeight="1" spans="1:15">
      <c r="A77" s="105"/>
      <c r="B77" s="79"/>
      <c r="C77" s="29" t="s">
        <v>67</v>
      </c>
      <c r="D77" s="29" t="s">
        <v>108</v>
      </c>
      <c r="E77" s="29" t="s">
        <v>108</v>
      </c>
      <c r="F77" s="26" t="s">
        <v>108</v>
      </c>
      <c r="G77" s="26" t="s">
        <v>108</v>
      </c>
      <c r="H77" s="33" t="s">
        <v>204</v>
      </c>
      <c r="I77" s="99" t="s">
        <v>205</v>
      </c>
      <c r="J77" s="33" t="s">
        <v>111</v>
      </c>
      <c r="K77" s="33" t="s">
        <v>204</v>
      </c>
      <c r="L77" s="111" t="s">
        <v>206</v>
      </c>
      <c r="M77" s="33" t="s">
        <v>204</v>
      </c>
      <c r="N77" s="97" t="s">
        <v>207</v>
      </c>
      <c r="O77" s="117" t="s">
        <v>84</v>
      </c>
    </row>
    <row r="78" s="14" customFormat="1" ht="34" spans="1:15">
      <c r="A78" s="105"/>
      <c r="B78" s="79"/>
      <c r="C78" s="26" t="s">
        <v>67</v>
      </c>
      <c r="D78" s="26" t="s">
        <v>108</v>
      </c>
      <c r="E78" s="26" t="s">
        <v>108</v>
      </c>
      <c r="F78" s="26" t="s">
        <v>108</v>
      </c>
      <c r="G78" s="26" t="s">
        <v>108</v>
      </c>
      <c r="H78" s="86" t="s">
        <v>208</v>
      </c>
      <c r="I78" s="99" t="s">
        <v>209</v>
      </c>
      <c r="J78" s="33" t="s">
        <v>111</v>
      </c>
      <c r="K78" s="86" t="s">
        <v>208</v>
      </c>
      <c r="L78" s="111" t="s">
        <v>210</v>
      </c>
      <c r="M78" s="86" t="s">
        <v>208</v>
      </c>
      <c r="N78" s="111" t="s">
        <v>210</v>
      </c>
      <c r="O78" s="34" t="s">
        <v>70</v>
      </c>
    </row>
    <row r="79" s="14" customFormat="1" ht="34" customHeight="1" spans="1:15">
      <c r="A79" s="105"/>
      <c r="B79" s="79"/>
      <c r="C79" s="26" t="s">
        <v>67</v>
      </c>
      <c r="D79" s="26" t="s">
        <v>108</v>
      </c>
      <c r="E79" s="26" t="s">
        <v>108</v>
      </c>
      <c r="F79" s="26" t="s">
        <v>108</v>
      </c>
      <c r="G79" s="26" t="s">
        <v>108</v>
      </c>
      <c r="H79" s="86" t="s">
        <v>208</v>
      </c>
      <c r="I79" s="99" t="s">
        <v>212</v>
      </c>
      <c r="J79" s="33" t="s">
        <v>111</v>
      </c>
      <c r="K79" s="86" t="s">
        <v>208</v>
      </c>
      <c r="L79" s="112" t="s">
        <v>213</v>
      </c>
      <c r="M79" s="86" t="s">
        <v>208</v>
      </c>
      <c r="N79" s="112" t="s">
        <v>213</v>
      </c>
      <c r="O79" s="34" t="s">
        <v>84</v>
      </c>
    </row>
    <row r="80" s="14" customFormat="1" ht="34" customHeight="1" spans="1:15">
      <c r="A80" s="105"/>
      <c r="B80" s="79"/>
      <c r="C80" s="29" t="s">
        <v>67</v>
      </c>
      <c r="D80" s="29" t="s">
        <v>108</v>
      </c>
      <c r="E80" s="29" t="s">
        <v>108</v>
      </c>
      <c r="F80" s="26" t="s">
        <v>259</v>
      </c>
      <c r="G80" s="26" t="s">
        <v>108</v>
      </c>
      <c r="H80" s="26" t="s">
        <v>259</v>
      </c>
      <c r="I80" s="113" t="s">
        <v>260</v>
      </c>
      <c r="J80" s="33" t="s">
        <v>111</v>
      </c>
      <c r="K80" s="26" t="s">
        <v>259</v>
      </c>
      <c r="L80" s="114" t="s">
        <v>261</v>
      </c>
      <c r="M80" s="26" t="s">
        <v>259</v>
      </c>
      <c r="N80" s="118" t="s">
        <v>262</v>
      </c>
      <c r="O80" s="117" t="s">
        <v>84</v>
      </c>
    </row>
    <row r="81" s="14" customFormat="1" ht="34" customHeight="1" spans="1:15">
      <c r="A81" s="105"/>
      <c r="B81" s="79"/>
      <c r="C81" s="29" t="s">
        <v>67</v>
      </c>
      <c r="D81" s="29" t="s">
        <v>108</v>
      </c>
      <c r="E81" s="29" t="s">
        <v>108</v>
      </c>
      <c r="F81" s="26" t="s">
        <v>263</v>
      </c>
      <c r="G81" s="26" t="s">
        <v>108</v>
      </c>
      <c r="H81" s="26" t="s">
        <v>263</v>
      </c>
      <c r="I81" s="115"/>
      <c r="J81" s="33" t="s">
        <v>111</v>
      </c>
      <c r="K81" s="26" t="s">
        <v>263</v>
      </c>
      <c r="L81" s="75"/>
      <c r="M81" s="26" t="s">
        <v>263</v>
      </c>
      <c r="N81" s="79"/>
      <c r="O81" s="117" t="s">
        <v>84</v>
      </c>
    </row>
    <row r="82" s="14" customFormat="1" ht="34" customHeight="1" spans="1:15">
      <c r="A82" s="105"/>
      <c r="B82" s="79"/>
      <c r="C82" s="29" t="s">
        <v>67</v>
      </c>
      <c r="D82" s="29" t="s">
        <v>108</v>
      </c>
      <c r="E82" s="29" t="s">
        <v>108</v>
      </c>
      <c r="F82" s="26" t="s">
        <v>264</v>
      </c>
      <c r="G82" s="26" t="s">
        <v>108</v>
      </c>
      <c r="H82" s="26" t="s">
        <v>264</v>
      </c>
      <c r="I82" s="115"/>
      <c r="J82" s="33" t="s">
        <v>111</v>
      </c>
      <c r="K82" s="26" t="s">
        <v>264</v>
      </c>
      <c r="L82" s="75"/>
      <c r="M82" s="26" t="s">
        <v>264</v>
      </c>
      <c r="N82" s="79"/>
      <c r="O82" s="117" t="s">
        <v>84</v>
      </c>
    </row>
    <row r="83" s="14" customFormat="1" ht="34" customHeight="1" spans="1:15">
      <c r="A83" s="105"/>
      <c r="B83" s="79"/>
      <c r="C83" s="29" t="s">
        <v>67</v>
      </c>
      <c r="D83" s="29" t="s">
        <v>108</v>
      </c>
      <c r="E83" s="29" t="s">
        <v>108</v>
      </c>
      <c r="F83" s="26" t="s">
        <v>265</v>
      </c>
      <c r="G83" s="26" t="s">
        <v>108</v>
      </c>
      <c r="H83" s="26" t="s">
        <v>265</v>
      </c>
      <c r="I83" s="116"/>
      <c r="J83" s="33" t="s">
        <v>111</v>
      </c>
      <c r="K83" s="26" t="s">
        <v>265</v>
      </c>
      <c r="L83" s="77"/>
      <c r="M83" s="26" t="s">
        <v>265</v>
      </c>
      <c r="N83" s="83"/>
      <c r="O83" s="117" t="s">
        <v>84</v>
      </c>
    </row>
    <row r="84" s="14" customFormat="1" ht="34" customHeight="1" spans="1:15">
      <c r="A84" s="105"/>
      <c r="B84" s="79"/>
      <c r="C84" s="29" t="s">
        <v>45</v>
      </c>
      <c r="D84" s="29" t="s">
        <v>266</v>
      </c>
      <c r="E84" s="29">
        <v>9</v>
      </c>
      <c r="F84" s="26" t="s">
        <v>315</v>
      </c>
      <c r="G84" s="26" t="s">
        <v>268</v>
      </c>
      <c r="H84" s="26" t="s">
        <v>315</v>
      </c>
      <c r="I84" s="26" t="s">
        <v>269</v>
      </c>
      <c r="J84" s="33" t="s">
        <v>111</v>
      </c>
      <c r="K84" s="26" t="s">
        <v>316</v>
      </c>
      <c r="L84" s="96" t="s">
        <v>271</v>
      </c>
      <c r="M84" s="26" t="s">
        <v>316</v>
      </c>
      <c r="N84" s="97" t="s">
        <v>271</v>
      </c>
      <c r="O84" s="117" t="s">
        <v>73</v>
      </c>
    </row>
    <row r="85" s="14" customFormat="1" ht="34" customHeight="1" spans="1:15">
      <c r="A85" s="105"/>
      <c r="B85" s="79"/>
      <c r="C85" s="29" t="s">
        <v>45</v>
      </c>
      <c r="D85" s="108" t="s">
        <v>272</v>
      </c>
      <c r="E85" s="108">
        <v>10</v>
      </c>
      <c r="F85" s="26" t="s">
        <v>317</v>
      </c>
      <c r="G85" s="26" t="s">
        <v>108</v>
      </c>
      <c r="H85" s="26" t="s">
        <v>318</v>
      </c>
      <c r="I85" s="26" t="s">
        <v>275</v>
      </c>
      <c r="J85" s="33" t="s">
        <v>111</v>
      </c>
      <c r="K85" s="26" t="s">
        <v>318</v>
      </c>
      <c r="L85" s="96" t="s">
        <v>271</v>
      </c>
      <c r="M85" s="26" t="s">
        <v>318</v>
      </c>
      <c r="N85" s="97" t="s">
        <v>271</v>
      </c>
      <c r="O85" s="117" t="s">
        <v>73</v>
      </c>
    </row>
    <row r="86" s="14" customFormat="1" ht="34" customHeight="1" spans="1:15">
      <c r="A86" s="105"/>
      <c r="B86" s="79"/>
      <c r="C86" s="106" t="s">
        <v>53</v>
      </c>
      <c r="D86" s="29" t="s">
        <v>108</v>
      </c>
      <c r="E86" s="29" t="s">
        <v>108</v>
      </c>
      <c r="F86" s="26" t="s">
        <v>108</v>
      </c>
      <c r="G86" s="33" t="s">
        <v>108</v>
      </c>
      <c r="H86" s="33" t="s">
        <v>214</v>
      </c>
      <c r="I86" s="99" t="s">
        <v>215</v>
      </c>
      <c r="J86" s="33" t="s">
        <v>111</v>
      </c>
      <c r="K86" s="96" t="s">
        <v>214</v>
      </c>
      <c r="L86" s="111" t="s">
        <v>216</v>
      </c>
      <c r="M86" s="96" t="s">
        <v>214</v>
      </c>
      <c r="N86" s="103" t="s">
        <v>217</v>
      </c>
      <c r="O86" s="117" t="s">
        <v>84</v>
      </c>
    </row>
    <row r="87" s="14" customFormat="1" ht="34" customHeight="1" spans="1:15">
      <c r="A87" s="105"/>
      <c r="B87" s="79"/>
      <c r="C87" s="106" t="s">
        <v>53</v>
      </c>
      <c r="D87" s="29" t="s">
        <v>108</v>
      </c>
      <c r="E87" s="29" t="s">
        <v>108</v>
      </c>
      <c r="F87" s="26" t="s">
        <v>108</v>
      </c>
      <c r="G87" s="26" t="s">
        <v>108</v>
      </c>
      <c r="H87" s="33" t="s">
        <v>218</v>
      </c>
      <c r="I87" s="99" t="s">
        <v>219</v>
      </c>
      <c r="J87" s="33" t="s">
        <v>111</v>
      </c>
      <c r="K87" s="33" t="s">
        <v>218</v>
      </c>
      <c r="L87" s="111" t="s">
        <v>220</v>
      </c>
      <c r="M87" s="33" t="s">
        <v>218</v>
      </c>
      <c r="N87" s="117" t="s">
        <v>221</v>
      </c>
      <c r="O87" s="117" t="s">
        <v>84</v>
      </c>
    </row>
    <row r="88" s="14" customFormat="1" ht="34" spans="1:15">
      <c r="A88" s="105"/>
      <c r="B88" s="78" t="s">
        <v>276</v>
      </c>
      <c r="C88" s="29" t="s">
        <v>67</v>
      </c>
      <c r="D88" s="29" t="s">
        <v>228</v>
      </c>
      <c r="E88" s="29">
        <v>1</v>
      </c>
      <c r="F88" s="26" t="s">
        <v>286</v>
      </c>
      <c r="G88" s="110" t="s">
        <v>230</v>
      </c>
      <c r="H88" s="26" t="s">
        <v>304</v>
      </c>
      <c r="I88" s="82" t="s">
        <v>232</v>
      </c>
      <c r="J88" s="33" t="s">
        <v>111</v>
      </c>
      <c r="K88" s="26" t="s">
        <v>304</v>
      </c>
      <c r="L88" s="96" t="s">
        <v>81</v>
      </c>
      <c r="M88" s="26" t="s">
        <v>304</v>
      </c>
      <c r="N88" s="97" t="s">
        <v>81</v>
      </c>
      <c r="O88" s="117" t="s">
        <v>278</v>
      </c>
    </row>
    <row r="89" s="14" customFormat="1" ht="34" spans="1:15">
      <c r="A89" s="105"/>
      <c r="B89" s="79"/>
      <c r="C89" s="29" t="s">
        <v>67</v>
      </c>
      <c r="D89" s="83" t="s">
        <v>233</v>
      </c>
      <c r="E89" s="29">
        <v>2</v>
      </c>
      <c r="F89" s="26" t="s">
        <v>309</v>
      </c>
      <c r="G89" s="110" t="s">
        <v>235</v>
      </c>
      <c r="H89" s="26" t="s">
        <v>319</v>
      </c>
      <c r="I89" s="82" t="s">
        <v>110</v>
      </c>
      <c r="J89" s="33" t="s">
        <v>111</v>
      </c>
      <c r="K89" s="26" t="s">
        <v>319</v>
      </c>
      <c r="L89" s="96" t="s">
        <v>75</v>
      </c>
      <c r="M89" s="26" t="s">
        <v>319</v>
      </c>
      <c r="N89" s="97" t="s">
        <v>75</v>
      </c>
      <c r="O89" s="117" t="s">
        <v>278</v>
      </c>
    </row>
    <row r="90" s="14" customFormat="1" ht="34" spans="1:15">
      <c r="A90" s="105"/>
      <c r="B90" s="79"/>
      <c r="C90" s="29" t="s">
        <v>67</v>
      </c>
      <c r="D90" s="29" t="s">
        <v>237</v>
      </c>
      <c r="E90" s="29">
        <v>3</v>
      </c>
      <c r="F90" s="26" t="s">
        <v>311</v>
      </c>
      <c r="G90" s="33" t="s">
        <v>239</v>
      </c>
      <c r="H90" s="26" t="s">
        <v>320</v>
      </c>
      <c r="I90" s="82" t="s">
        <v>119</v>
      </c>
      <c r="J90" s="33" t="s">
        <v>111</v>
      </c>
      <c r="K90" s="26" t="s">
        <v>320</v>
      </c>
      <c r="L90" s="96" t="s">
        <v>75</v>
      </c>
      <c r="M90" s="26" t="s">
        <v>320</v>
      </c>
      <c r="N90" s="97" t="s">
        <v>75</v>
      </c>
      <c r="O90" s="117" t="s">
        <v>278</v>
      </c>
    </row>
    <row r="91" s="14" customFormat="1" ht="34" customHeight="1" spans="1:15">
      <c r="A91" s="105"/>
      <c r="B91" s="79"/>
      <c r="C91" s="29" t="s">
        <v>67</v>
      </c>
      <c r="D91" s="29" t="s">
        <v>244</v>
      </c>
      <c r="E91" s="29">
        <v>5</v>
      </c>
      <c r="F91" s="26" t="s">
        <v>245</v>
      </c>
      <c r="G91" s="33" t="s">
        <v>246</v>
      </c>
      <c r="H91" s="26" t="s">
        <v>281</v>
      </c>
      <c r="I91" s="82" t="s">
        <v>248</v>
      </c>
      <c r="J91" s="33" t="s">
        <v>111</v>
      </c>
      <c r="K91" s="26" t="s">
        <v>281</v>
      </c>
      <c r="L91" s="96" t="s">
        <v>75</v>
      </c>
      <c r="M91" s="26" t="s">
        <v>281</v>
      </c>
      <c r="N91" s="97" t="s">
        <v>75</v>
      </c>
      <c r="O91" s="117" t="s">
        <v>278</v>
      </c>
    </row>
    <row r="92" s="14" customFormat="1" ht="34" customHeight="1" spans="1:15">
      <c r="A92" s="105"/>
      <c r="B92" s="79"/>
      <c r="C92" s="29" t="s">
        <v>67</v>
      </c>
      <c r="D92" s="29" t="s">
        <v>249</v>
      </c>
      <c r="E92" s="29">
        <v>6</v>
      </c>
      <c r="F92" s="26" t="s">
        <v>313</v>
      </c>
      <c r="G92" s="33" t="s">
        <v>251</v>
      </c>
      <c r="H92" s="26" t="s">
        <v>321</v>
      </c>
      <c r="I92" s="82" t="s">
        <v>248</v>
      </c>
      <c r="J92" s="33" t="s">
        <v>111</v>
      </c>
      <c r="K92" s="26" t="s">
        <v>321</v>
      </c>
      <c r="L92" s="96" t="s">
        <v>75</v>
      </c>
      <c r="M92" s="26" t="s">
        <v>321</v>
      </c>
      <c r="N92" s="97" t="s">
        <v>75</v>
      </c>
      <c r="O92" s="117" t="s">
        <v>278</v>
      </c>
    </row>
    <row r="93" s="14" customFormat="1" ht="34" customHeight="1" spans="1:15">
      <c r="A93" s="105"/>
      <c r="B93" s="79"/>
      <c r="C93" s="29" t="s">
        <v>67</v>
      </c>
      <c r="D93" s="29" t="s">
        <v>253</v>
      </c>
      <c r="E93" s="29">
        <v>7</v>
      </c>
      <c r="F93" s="26" t="s">
        <v>254</v>
      </c>
      <c r="G93" s="33" t="s">
        <v>255</v>
      </c>
      <c r="H93" s="26" t="s">
        <v>283</v>
      </c>
      <c r="I93" s="82" t="s">
        <v>248</v>
      </c>
      <c r="J93" s="33" t="s">
        <v>111</v>
      </c>
      <c r="K93" s="26" t="s">
        <v>283</v>
      </c>
      <c r="L93" s="96" t="s">
        <v>75</v>
      </c>
      <c r="M93" s="26" t="s">
        <v>283</v>
      </c>
      <c r="N93" s="97" t="s">
        <v>75</v>
      </c>
      <c r="O93" s="117" t="s">
        <v>278</v>
      </c>
    </row>
    <row r="94" s="14" customFormat="1" ht="34" spans="1:15">
      <c r="A94" s="105"/>
      <c r="B94" s="83"/>
      <c r="C94" s="29" t="s">
        <v>88</v>
      </c>
      <c r="D94" s="29" t="s">
        <v>108</v>
      </c>
      <c r="E94" s="29" t="s">
        <v>108</v>
      </c>
      <c r="F94" s="26" t="s">
        <v>89</v>
      </c>
      <c r="G94" s="33" t="s">
        <v>108</v>
      </c>
      <c r="H94" s="26" t="s">
        <v>89</v>
      </c>
      <c r="I94" s="82" t="s">
        <v>222</v>
      </c>
      <c r="J94" s="33" t="s">
        <v>111</v>
      </c>
      <c r="K94" s="26" t="s">
        <v>89</v>
      </c>
      <c r="L94" s="111" t="s">
        <v>223</v>
      </c>
      <c r="M94" s="96" t="s">
        <v>89</v>
      </c>
      <c r="N94" s="117" t="s">
        <v>224</v>
      </c>
      <c r="O94" s="117" t="s">
        <v>284</v>
      </c>
    </row>
    <row r="95" s="14" customFormat="1" ht="34" customHeight="1" spans="1:15">
      <c r="A95" s="120" t="s">
        <v>322</v>
      </c>
      <c r="B95" s="79" t="s">
        <v>227</v>
      </c>
      <c r="C95" s="29" t="s">
        <v>67</v>
      </c>
      <c r="D95" s="29" t="s">
        <v>228</v>
      </c>
      <c r="E95" s="29">
        <v>1</v>
      </c>
      <c r="F95" s="26" t="s">
        <v>323</v>
      </c>
      <c r="G95" s="110" t="s">
        <v>230</v>
      </c>
      <c r="H95" s="26" t="s">
        <v>324</v>
      </c>
      <c r="I95" s="82" t="s">
        <v>232</v>
      </c>
      <c r="J95" s="33" t="s">
        <v>111</v>
      </c>
      <c r="K95" s="26" t="s">
        <v>324</v>
      </c>
      <c r="L95" s="96" t="s">
        <v>81</v>
      </c>
      <c r="M95" s="26" t="s">
        <v>288</v>
      </c>
      <c r="N95" s="97" t="s">
        <v>81</v>
      </c>
      <c r="O95" s="117" t="s">
        <v>73</v>
      </c>
    </row>
    <row r="96" s="14" customFormat="1" ht="34" customHeight="1" spans="1:15">
      <c r="A96" s="121"/>
      <c r="B96" s="79"/>
      <c r="C96" s="29" t="s">
        <v>67</v>
      </c>
      <c r="D96" s="83" t="s">
        <v>233</v>
      </c>
      <c r="E96" s="29">
        <v>2</v>
      </c>
      <c r="F96" s="26" t="s">
        <v>325</v>
      </c>
      <c r="G96" s="110" t="s">
        <v>235</v>
      </c>
      <c r="H96" s="26" t="s">
        <v>326</v>
      </c>
      <c r="I96" s="82" t="s">
        <v>110</v>
      </c>
      <c r="J96" s="33" t="s">
        <v>111</v>
      </c>
      <c r="K96" s="26" t="s">
        <v>326</v>
      </c>
      <c r="L96" s="96" t="s">
        <v>75</v>
      </c>
      <c r="M96" s="26" t="s">
        <v>326</v>
      </c>
      <c r="N96" s="97" t="s">
        <v>75</v>
      </c>
      <c r="O96" s="117" t="s">
        <v>73</v>
      </c>
    </row>
    <row r="97" s="14" customFormat="1" ht="34" customHeight="1" spans="1:15">
      <c r="A97" s="121"/>
      <c r="B97" s="79"/>
      <c r="C97" s="29" t="s">
        <v>67</v>
      </c>
      <c r="D97" s="29" t="s">
        <v>237</v>
      </c>
      <c r="E97" s="29">
        <v>3</v>
      </c>
      <c r="F97" s="26" t="s">
        <v>311</v>
      </c>
      <c r="G97" s="33" t="s">
        <v>239</v>
      </c>
      <c r="H97" s="26" t="s">
        <v>312</v>
      </c>
      <c r="I97" s="82" t="s">
        <v>119</v>
      </c>
      <c r="J97" s="33" t="s">
        <v>111</v>
      </c>
      <c r="K97" s="26" t="s">
        <v>312</v>
      </c>
      <c r="L97" s="96" t="s">
        <v>75</v>
      </c>
      <c r="M97" s="26" t="s">
        <v>312</v>
      </c>
      <c r="N97" s="97" t="s">
        <v>75</v>
      </c>
      <c r="O97" s="117" t="s">
        <v>73</v>
      </c>
    </row>
    <row r="98" s="14" customFormat="1" ht="34" customHeight="1" spans="1:15">
      <c r="A98" s="121"/>
      <c r="B98" s="79"/>
      <c r="C98" s="29" t="s">
        <v>67</v>
      </c>
      <c r="D98" s="29" t="s">
        <v>240</v>
      </c>
      <c r="E98" s="29">
        <v>4</v>
      </c>
      <c r="F98" s="26"/>
      <c r="G98" s="33" t="s">
        <v>241</v>
      </c>
      <c r="H98" s="26" t="s">
        <v>242</v>
      </c>
      <c r="I98" s="82" t="s">
        <v>243</v>
      </c>
      <c r="J98" s="33" t="s">
        <v>111</v>
      </c>
      <c r="K98" s="26" t="s">
        <v>242</v>
      </c>
      <c r="L98" s="96" t="s">
        <v>145</v>
      </c>
      <c r="M98" s="26" t="s">
        <v>242</v>
      </c>
      <c r="N98" s="97" t="s">
        <v>145</v>
      </c>
      <c r="O98" s="117" t="s">
        <v>73</v>
      </c>
    </row>
    <row r="99" s="14" customFormat="1" ht="34" customHeight="1" spans="1:15">
      <c r="A99" s="121"/>
      <c r="B99" s="79"/>
      <c r="C99" s="29" t="s">
        <v>67</v>
      </c>
      <c r="D99" s="29" t="s">
        <v>244</v>
      </c>
      <c r="E99" s="29">
        <v>5</v>
      </c>
      <c r="F99" s="26" t="s">
        <v>327</v>
      </c>
      <c r="G99" s="33" t="s">
        <v>246</v>
      </c>
      <c r="H99" s="26" t="s">
        <v>328</v>
      </c>
      <c r="I99" s="82" t="s">
        <v>248</v>
      </c>
      <c r="J99" s="33" t="s">
        <v>111</v>
      </c>
      <c r="K99" s="26" t="s">
        <v>328</v>
      </c>
      <c r="L99" s="96" t="s">
        <v>75</v>
      </c>
      <c r="M99" s="26" t="s">
        <v>328</v>
      </c>
      <c r="N99" s="97" t="s">
        <v>75</v>
      </c>
      <c r="O99" s="117" t="s">
        <v>73</v>
      </c>
    </row>
    <row r="100" s="14" customFormat="1" ht="34" customHeight="1" spans="1:15">
      <c r="A100" s="121"/>
      <c r="B100" s="79"/>
      <c r="C100" s="29" t="s">
        <v>67</v>
      </c>
      <c r="D100" s="29" t="s">
        <v>249</v>
      </c>
      <c r="E100" s="29">
        <v>6</v>
      </c>
      <c r="F100" s="26" t="s">
        <v>329</v>
      </c>
      <c r="G100" s="33" t="s">
        <v>251</v>
      </c>
      <c r="H100" s="26" t="s">
        <v>330</v>
      </c>
      <c r="I100" s="82" t="s">
        <v>248</v>
      </c>
      <c r="J100" s="33" t="s">
        <v>111</v>
      </c>
      <c r="K100" s="26" t="s">
        <v>330</v>
      </c>
      <c r="L100" s="96" t="s">
        <v>75</v>
      </c>
      <c r="M100" s="26" t="s">
        <v>330</v>
      </c>
      <c r="N100" s="97" t="s">
        <v>75</v>
      </c>
      <c r="O100" s="117" t="s">
        <v>73</v>
      </c>
    </row>
    <row r="101" s="14" customFormat="1" ht="34" customHeight="1" spans="1:15">
      <c r="A101" s="121"/>
      <c r="B101" s="79"/>
      <c r="C101" s="29" t="s">
        <v>67</v>
      </c>
      <c r="D101" s="29" t="s">
        <v>253</v>
      </c>
      <c r="E101" s="29">
        <v>7</v>
      </c>
      <c r="F101" s="26" t="s">
        <v>331</v>
      </c>
      <c r="G101" s="33" t="s">
        <v>255</v>
      </c>
      <c r="H101" s="26" t="s">
        <v>332</v>
      </c>
      <c r="I101" s="82" t="s">
        <v>248</v>
      </c>
      <c r="J101" s="33" t="s">
        <v>111</v>
      </c>
      <c r="K101" s="26" t="s">
        <v>332</v>
      </c>
      <c r="L101" s="96" t="s">
        <v>75</v>
      </c>
      <c r="M101" s="26" t="s">
        <v>332</v>
      </c>
      <c r="N101" s="97" t="s">
        <v>75</v>
      </c>
      <c r="O101" s="117" t="s">
        <v>73</v>
      </c>
    </row>
    <row r="102" s="14" customFormat="1" ht="34" customHeight="1" spans="1:15">
      <c r="A102" s="121"/>
      <c r="B102" s="79"/>
      <c r="C102" s="29" t="s">
        <v>67</v>
      </c>
      <c r="D102" s="29" t="s">
        <v>257</v>
      </c>
      <c r="E102" s="29">
        <v>8</v>
      </c>
      <c r="F102" s="26" t="s">
        <v>333</v>
      </c>
      <c r="G102" s="33" t="s">
        <v>258</v>
      </c>
      <c r="H102" s="26" t="s">
        <v>334</v>
      </c>
      <c r="I102" s="82" t="s">
        <v>248</v>
      </c>
      <c r="J102" s="33" t="s">
        <v>111</v>
      </c>
      <c r="K102" s="26" t="s">
        <v>334</v>
      </c>
      <c r="L102" s="96" t="s">
        <v>75</v>
      </c>
      <c r="M102" s="26" t="s">
        <v>334</v>
      </c>
      <c r="N102" s="97" t="s">
        <v>75</v>
      </c>
      <c r="O102" s="117" t="s">
        <v>73</v>
      </c>
    </row>
    <row r="103" s="14" customFormat="1" ht="34" customHeight="1" spans="1:15">
      <c r="A103" s="121"/>
      <c r="B103" s="79"/>
      <c r="C103" s="29" t="s">
        <v>67</v>
      </c>
      <c r="D103" s="29" t="s">
        <v>266</v>
      </c>
      <c r="E103" s="29">
        <v>9</v>
      </c>
      <c r="F103" s="26"/>
      <c r="G103" s="33" t="s">
        <v>268</v>
      </c>
      <c r="H103" s="26" t="s">
        <v>242</v>
      </c>
      <c r="I103" s="82" t="s">
        <v>243</v>
      </c>
      <c r="J103" s="33" t="s">
        <v>111</v>
      </c>
      <c r="K103" s="26" t="s">
        <v>242</v>
      </c>
      <c r="L103" s="96" t="s">
        <v>145</v>
      </c>
      <c r="M103" s="26" t="s">
        <v>242</v>
      </c>
      <c r="N103" s="97" t="s">
        <v>145</v>
      </c>
      <c r="O103" s="117" t="s">
        <v>73</v>
      </c>
    </row>
    <row r="104" s="14" customFormat="1" ht="34" customHeight="1" spans="1:15">
      <c r="A104" s="121"/>
      <c r="B104" s="79"/>
      <c r="C104" s="29" t="s">
        <v>67</v>
      </c>
      <c r="D104" s="29" t="s">
        <v>108</v>
      </c>
      <c r="E104" s="29" t="s">
        <v>108</v>
      </c>
      <c r="F104" s="26" t="s">
        <v>108</v>
      </c>
      <c r="G104" s="26" t="s">
        <v>108</v>
      </c>
      <c r="H104" s="33" t="s">
        <v>204</v>
      </c>
      <c r="I104" s="99" t="s">
        <v>205</v>
      </c>
      <c r="J104" s="33" t="s">
        <v>111</v>
      </c>
      <c r="K104" s="33" t="s">
        <v>204</v>
      </c>
      <c r="L104" s="111" t="s">
        <v>206</v>
      </c>
      <c r="M104" s="33" t="s">
        <v>204</v>
      </c>
      <c r="N104" s="97" t="s">
        <v>207</v>
      </c>
      <c r="O104" s="117" t="s">
        <v>84</v>
      </c>
    </row>
    <row r="105" s="14" customFormat="1" ht="34" spans="1:15">
      <c r="A105" s="121"/>
      <c r="B105" s="79"/>
      <c r="C105" s="26" t="s">
        <v>67</v>
      </c>
      <c r="D105" s="26" t="s">
        <v>108</v>
      </c>
      <c r="E105" s="26" t="s">
        <v>108</v>
      </c>
      <c r="F105" s="26" t="s">
        <v>108</v>
      </c>
      <c r="G105" s="26" t="s">
        <v>108</v>
      </c>
      <c r="H105" s="86" t="s">
        <v>208</v>
      </c>
      <c r="I105" s="99" t="s">
        <v>209</v>
      </c>
      <c r="J105" s="33" t="s">
        <v>111</v>
      </c>
      <c r="K105" s="86" t="s">
        <v>208</v>
      </c>
      <c r="L105" s="111" t="s">
        <v>210</v>
      </c>
      <c r="M105" s="86" t="s">
        <v>208</v>
      </c>
      <c r="N105" s="111" t="s">
        <v>210</v>
      </c>
      <c r="O105" s="34" t="s">
        <v>70</v>
      </c>
    </row>
    <row r="106" s="14" customFormat="1" ht="34" customHeight="1" spans="1:15">
      <c r="A106" s="121"/>
      <c r="B106" s="79"/>
      <c r="C106" s="26" t="s">
        <v>67</v>
      </c>
      <c r="D106" s="26" t="s">
        <v>108</v>
      </c>
      <c r="E106" s="26" t="s">
        <v>108</v>
      </c>
      <c r="F106" s="26" t="s">
        <v>108</v>
      </c>
      <c r="G106" s="26" t="s">
        <v>108</v>
      </c>
      <c r="H106" s="86" t="s">
        <v>208</v>
      </c>
      <c r="I106" s="99" t="s">
        <v>212</v>
      </c>
      <c r="J106" s="33" t="s">
        <v>111</v>
      </c>
      <c r="K106" s="86" t="s">
        <v>208</v>
      </c>
      <c r="L106" s="112" t="s">
        <v>213</v>
      </c>
      <c r="M106" s="86" t="s">
        <v>208</v>
      </c>
      <c r="N106" s="112" t="s">
        <v>213</v>
      </c>
      <c r="O106" s="34" t="s">
        <v>84</v>
      </c>
    </row>
    <row r="107" s="14" customFormat="1" ht="34" customHeight="1" spans="1:15">
      <c r="A107" s="121"/>
      <c r="B107" s="79"/>
      <c r="C107" s="29" t="s">
        <v>67</v>
      </c>
      <c r="D107" s="29" t="s">
        <v>108</v>
      </c>
      <c r="E107" s="29" t="s">
        <v>108</v>
      </c>
      <c r="F107" s="26" t="s">
        <v>259</v>
      </c>
      <c r="G107" s="26" t="s">
        <v>108</v>
      </c>
      <c r="H107" s="26" t="s">
        <v>259</v>
      </c>
      <c r="I107" s="113" t="s">
        <v>260</v>
      </c>
      <c r="J107" s="33" t="s">
        <v>111</v>
      </c>
      <c r="K107" s="26" t="s">
        <v>259</v>
      </c>
      <c r="L107" s="114" t="s">
        <v>261</v>
      </c>
      <c r="M107" s="26" t="s">
        <v>259</v>
      </c>
      <c r="N107" s="118" t="s">
        <v>262</v>
      </c>
      <c r="O107" s="117" t="s">
        <v>84</v>
      </c>
    </row>
    <row r="108" s="14" customFormat="1" ht="34" customHeight="1" spans="1:15">
      <c r="A108" s="121"/>
      <c r="B108" s="79"/>
      <c r="C108" s="29" t="s">
        <v>67</v>
      </c>
      <c r="D108" s="29" t="s">
        <v>108</v>
      </c>
      <c r="E108" s="29" t="s">
        <v>108</v>
      </c>
      <c r="F108" s="26" t="s">
        <v>263</v>
      </c>
      <c r="G108" s="26" t="s">
        <v>108</v>
      </c>
      <c r="H108" s="26" t="s">
        <v>263</v>
      </c>
      <c r="I108" s="115"/>
      <c r="J108" s="33" t="s">
        <v>111</v>
      </c>
      <c r="K108" s="26" t="s">
        <v>263</v>
      </c>
      <c r="L108" s="75"/>
      <c r="M108" s="26" t="s">
        <v>263</v>
      </c>
      <c r="N108" s="79"/>
      <c r="O108" s="117" t="s">
        <v>84</v>
      </c>
    </row>
    <row r="109" s="14" customFormat="1" ht="34" customHeight="1" spans="1:15">
      <c r="A109" s="121"/>
      <c r="B109" s="79"/>
      <c r="C109" s="29" t="s">
        <v>67</v>
      </c>
      <c r="D109" s="29" t="s">
        <v>108</v>
      </c>
      <c r="E109" s="29" t="s">
        <v>108</v>
      </c>
      <c r="F109" s="26" t="s">
        <v>264</v>
      </c>
      <c r="G109" s="26" t="s">
        <v>108</v>
      </c>
      <c r="H109" s="26" t="s">
        <v>264</v>
      </c>
      <c r="I109" s="115"/>
      <c r="J109" s="33" t="s">
        <v>111</v>
      </c>
      <c r="K109" s="26" t="s">
        <v>264</v>
      </c>
      <c r="L109" s="75"/>
      <c r="M109" s="26" t="s">
        <v>264</v>
      </c>
      <c r="N109" s="79"/>
      <c r="O109" s="117" t="s">
        <v>84</v>
      </c>
    </row>
    <row r="110" s="14" customFormat="1" ht="34" customHeight="1" spans="1:15">
      <c r="A110" s="121"/>
      <c r="B110" s="79"/>
      <c r="C110" s="29" t="s">
        <v>67</v>
      </c>
      <c r="D110" s="29" t="s">
        <v>108</v>
      </c>
      <c r="E110" s="29" t="s">
        <v>108</v>
      </c>
      <c r="F110" s="26" t="s">
        <v>265</v>
      </c>
      <c r="G110" s="26" t="s">
        <v>108</v>
      </c>
      <c r="H110" s="26" t="s">
        <v>265</v>
      </c>
      <c r="I110" s="116"/>
      <c r="J110" s="33" t="s">
        <v>111</v>
      </c>
      <c r="K110" s="26" t="s">
        <v>265</v>
      </c>
      <c r="L110" s="77"/>
      <c r="M110" s="26" t="s">
        <v>265</v>
      </c>
      <c r="N110" s="83"/>
      <c r="O110" s="117" t="s">
        <v>84</v>
      </c>
    </row>
    <row r="111" s="14" customFormat="1" ht="34" customHeight="1" spans="1:15">
      <c r="A111" s="121"/>
      <c r="B111" s="79"/>
      <c r="C111" s="29" t="s">
        <v>45</v>
      </c>
      <c r="D111" s="26" t="s">
        <v>272</v>
      </c>
      <c r="E111" s="26">
        <v>10</v>
      </c>
      <c r="F111" s="26" t="s">
        <v>335</v>
      </c>
      <c r="G111" s="26" t="s">
        <v>299</v>
      </c>
      <c r="H111" s="26" t="s">
        <v>336</v>
      </c>
      <c r="I111" s="26" t="s">
        <v>269</v>
      </c>
      <c r="J111" s="33" t="s">
        <v>111</v>
      </c>
      <c r="K111" s="26" t="s">
        <v>336</v>
      </c>
      <c r="L111" s="96" t="s">
        <v>271</v>
      </c>
      <c r="M111" s="26" t="s">
        <v>336</v>
      </c>
      <c r="N111" s="97" t="s">
        <v>271</v>
      </c>
      <c r="O111" s="117" t="s">
        <v>73</v>
      </c>
    </row>
    <row r="112" s="14" customFormat="1" ht="34" customHeight="1" spans="1:15">
      <c r="A112" s="121"/>
      <c r="B112" s="79"/>
      <c r="C112" s="29" t="s">
        <v>45</v>
      </c>
      <c r="D112" s="108" t="s">
        <v>301</v>
      </c>
      <c r="E112" s="108">
        <v>11</v>
      </c>
      <c r="F112" s="26" t="s">
        <v>337</v>
      </c>
      <c r="G112" s="26" t="s">
        <v>108</v>
      </c>
      <c r="H112" s="26" t="s">
        <v>338</v>
      </c>
      <c r="I112" s="26" t="s">
        <v>275</v>
      </c>
      <c r="J112" s="33" t="s">
        <v>111</v>
      </c>
      <c r="K112" s="26" t="s">
        <v>338</v>
      </c>
      <c r="L112" s="96" t="s">
        <v>271</v>
      </c>
      <c r="M112" s="26" t="s">
        <v>338</v>
      </c>
      <c r="N112" s="97" t="s">
        <v>271</v>
      </c>
      <c r="O112" s="117" t="s">
        <v>73</v>
      </c>
    </row>
    <row r="113" s="14" customFormat="1" ht="34" customHeight="1" spans="1:15">
      <c r="A113" s="121"/>
      <c r="B113" s="79"/>
      <c r="C113" s="106" t="s">
        <v>53</v>
      </c>
      <c r="D113" s="29" t="s">
        <v>108</v>
      </c>
      <c r="E113" s="29" t="s">
        <v>108</v>
      </c>
      <c r="F113" s="26" t="s">
        <v>108</v>
      </c>
      <c r="G113" s="33" t="s">
        <v>108</v>
      </c>
      <c r="H113" s="33" t="s">
        <v>214</v>
      </c>
      <c r="I113" s="99" t="s">
        <v>215</v>
      </c>
      <c r="J113" s="33" t="s">
        <v>111</v>
      </c>
      <c r="K113" s="96" t="s">
        <v>214</v>
      </c>
      <c r="L113" s="111" t="s">
        <v>216</v>
      </c>
      <c r="M113" s="96" t="s">
        <v>214</v>
      </c>
      <c r="N113" s="103" t="s">
        <v>217</v>
      </c>
      <c r="O113" s="117" t="s">
        <v>84</v>
      </c>
    </row>
    <row r="114" s="14" customFormat="1" ht="34" customHeight="1" spans="1:15">
      <c r="A114" s="121"/>
      <c r="B114" s="79"/>
      <c r="C114" s="106" t="s">
        <v>53</v>
      </c>
      <c r="D114" s="29" t="s">
        <v>108</v>
      </c>
      <c r="E114" s="29" t="s">
        <v>108</v>
      </c>
      <c r="F114" s="26" t="s">
        <v>108</v>
      </c>
      <c r="G114" s="26" t="s">
        <v>108</v>
      </c>
      <c r="H114" s="96" t="s">
        <v>218</v>
      </c>
      <c r="I114" s="99" t="s">
        <v>219</v>
      </c>
      <c r="J114" s="33" t="s">
        <v>111</v>
      </c>
      <c r="K114" s="96" t="s">
        <v>218</v>
      </c>
      <c r="L114" s="111" t="s">
        <v>220</v>
      </c>
      <c r="M114" s="96" t="s">
        <v>218</v>
      </c>
      <c r="N114" s="117" t="s">
        <v>221</v>
      </c>
      <c r="O114" s="117" t="s">
        <v>84</v>
      </c>
    </row>
    <row r="115" s="14" customFormat="1" ht="34" spans="1:15">
      <c r="A115" s="121"/>
      <c r="B115" s="78" t="s">
        <v>276</v>
      </c>
      <c r="C115" s="29" t="s">
        <v>67</v>
      </c>
      <c r="D115" s="29" t="s">
        <v>228</v>
      </c>
      <c r="E115" s="29">
        <v>1</v>
      </c>
      <c r="F115" s="26" t="s">
        <v>323</v>
      </c>
      <c r="G115" s="110" t="s">
        <v>230</v>
      </c>
      <c r="H115" s="26" t="s">
        <v>339</v>
      </c>
      <c r="I115" s="82" t="s">
        <v>232</v>
      </c>
      <c r="J115" s="33" t="s">
        <v>111</v>
      </c>
      <c r="K115" s="26" t="s">
        <v>339</v>
      </c>
      <c r="L115" s="96" t="s">
        <v>81</v>
      </c>
      <c r="M115" s="26" t="s">
        <v>339</v>
      </c>
      <c r="N115" s="97" t="s">
        <v>81</v>
      </c>
      <c r="O115" s="117" t="s">
        <v>278</v>
      </c>
    </row>
    <row r="116" s="14" customFormat="1" ht="34" customHeight="1" spans="1:15">
      <c r="A116" s="121"/>
      <c r="B116" s="79"/>
      <c r="C116" s="29" t="s">
        <v>67</v>
      </c>
      <c r="D116" s="83" t="s">
        <v>233</v>
      </c>
      <c r="E116" s="29">
        <v>2</v>
      </c>
      <c r="F116" s="26" t="s">
        <v>325</v>
      </c>
      <c r="G116" s="110" t="s">
        <v>235</v>
      </c>
      <c r="H116" s="26" t="s">
        <v>340</v>
      </c>
      <c r="I116" s="82" t="s">
        <v>110</v>
      </c>
      <c r="J116" s="33" t="s">
        <v>111</v>
      </c>
      <c r="K116" s="26" t="s">
        <v>340</v>
      </c>
      <c r="L116" s="96" t="s">
        <v>75</v>
      </c>
      <c r="M116" s="26" t="s">
        <v>340</v>
      </c>
      <c r="N116" s="97" t="s">
        <v>75</v>
      </c>
      <c r="O116" s="117" t="s">
        <v>278</v>
      </c>
    </row>
    <row r="117" s="14" customFormat="1" ht="34" customHeight="1" spans="1:15">
      <c r="A117" s="121"/>
      <c r="B117" s="79"/>
      <c r="C117" s="29" t="s">
        <v>67</v>
      </c>
      <c r="D117" s="29" t="s">
        <v>237</v>
      </c>
      <c r="E117" s="29">
        <v>3</v>
      </c>
      <c r="F117" s="26" t="s">
        <v>311</v>
      </c>
      <c r="G117" s="33" t="s">
        <v>239</v>
      </c>
      <c r="H117" s="26" t="s">
        <v>320</v>
      </c>
      <c r="I117" s="82" t="s">
        <v>119</v>
      </c>
      <c r="J117" s="33" t="s">
        <v>111</v>
      </c>
      <c r="K117" s="26" t="s">
        <v>320</v>
      </c>
      <c r="L117" s="96" t="s">
        <v>75</v>
      </c>
      <c r="M117" s="26" t="s">
        <v>320</v>
      </c>
      <c r="N117" s="97" t="s">
        <v>75</v>
      </c>
      <c r="O117" s="117" t="s">
        <v>278</v>
      </c>
    </row>
    <row r="118" s="14" customFormat="1" ht="34" customHeight="1" spans="1:15">
      <c r="A118" s="121"/>
      <c r="B118" s="79"/>
      <c r="C118" s="29" t="s">
        <v>67</v>
      </c>
      <c r="D118" s="29" t="s">
        <v>244</v>
      </c>
      <c r="E118" s="29">
        <v>5</v>
      </c>
      <c r="F118" s="26" t="s">
        <v>327</v>
      </c>
      <c r="G118" s="33" t="s">
        <v>246</v>
      </c>
      <c r="H118" s="26" t="s">
        <v>341</v>
      </c>
      <c r="I118" s="82" t="s">
        <v>248</v>
      </c>
      <c r="J118" s="33" t="s">
        <v>111</v>
      </c>
      <c r="K118" s="26" t="s">
        <v>341</v>
      </c>
      <c r="L118" s="96" t="s">
        <v>75</v>
      </c>
      <c r="M118" s="26" t="s">
        <v>341</v>
      </c>
      <c r="N118" s="97" t="s">
        <v>75</v>
      </c>
      <c r="O118" s="117" t="s">
        <v>278</v>
      </c>
    </row>
    <row r="119" s="14" customFormat="1" ht="34" customHeight="1" spans="1:15">
      <c r="A119" s="121"/>
      <c r="B119" s="79"/>
      <c r="C119" s="29" t="s">
        <v>67</v>
      </c>
      <c r="D119" s="29" t="s">
        <v>249</v>
      </c>
      <c r="E119" s="29">
        <v>6</v>
      </c>
      <c r="F119" s="26" t="s">
        <v>329</v>
      </c>
      <c r="G119" s="33" t="s">
        <v>251</v>
      </c>
      <c r="H119" s="26" t="s">
        <v>342</v>
      </c>
      <c r="I119" s="82" t="s">
        <v>248</v>
      </c>
      <c r="J119" s="33" t="s">
        <v>111</v>
      </c>
      <c r="K119" s="26" t="s">
        <v>342</v>
      </c>
      <c r="L119" s="96" t="s">
        <v>75</v>
      </c>
      <c r="M119" s="26" t="s">
        <v>342</v>
      </c>
      <c r="N119" s="97" t="s">
        <v>75</v>
      </c>
      <c r="O119" s="117" t="s">
        <v>278</v>
      </c>
    </row>
    <row r="120" s="14" customFormat="1" ht="34" spans="1:15">
      <c r="A120" s="121"/>
      <c r="B120" s="79"/>
      <c r="C120" s="29" t="s">
        <v>67</v>
      </c>
      <c r="D120" s="29" t="s">
        <v>253</v>
      </c>
      <c r="E120" s="29">
        <v>7</v>
      </c>
      <c r="F120" s="26" t="s">
        <v>331</v>
      </c>
      <c r="G120" s="33" t="s">
        <v>255</v>
      </c>
      <c r="H120" s="26" t="s">
        <v>343</v>
      </c>
      <c r="I120" s="82" t="s">
        <v>248</v>
      </c>
      <c r="J120" s="33" t="s">
        <v>111</v>
      </c>
      <c r="K120" s="26" t="s">
        <v>343</v>
      </c>
      <c r="L120" s="96" t="s">
        <v>75</v>
      </c>
      <c r="M120" s="26" t="s">
        <v>343</v>
      </c>
      <c r="N120" s="97" t="s">
        <v>75</v>
      </c>
      <c r="O120" s="117" t="s">
        <v>278</v>
      </c>
    </row>
    <row r="121" s="14" customFormat="1" ht="34" spans="1:15">
      <c r="A121" s="121"/>
      <c r="B121" s="79"/>
      <c r="C121" s="29" t="s">
        <v>67</v>
      </c>
      <c r="D121" s="29" t="s">
        <v>257</v>
      </c>
      <c r="E121" s="29">
        <v>8</v>
      </c>
      <c r="F121" s="26" t="s">
        <v>333</v>
      </c>
      <c r="G121" s="33" t="s">
        <v>258</v>
      </c>
      <c r="H121" s="26" t="s">
        <v>344</v>
      </c>
      <c r="I121" s="82" t="s">
        <v>248</v>
      </c>
      <c r="J121" s="33" t="s">
        <v>111</v>
      </c>
      <c r="K121" s="26" t="s">
        <v>344</v>
      </c>
      <c r="L121" s="96" t="s">
        <v>75</v>
      </c>
      <c r="M121" s="26" t="s">
        <v>344</v>
      </c>
      <c r="N121" s="97" t="s">
        <v>75</v>
      </c>
      <c r="O121" s="117" t="s">
        <v>278</v>
      </c>
    </row>
    <row r="122" s="14" customFormat="1" ht="34" spans="1:15">
      <c r="A122" s="122"/>
      <c r="B122" s="83"/>
      <c r="C122" s="29" t="s">
        <v>88</v>
      </c>
      <c r="D122" s="29" t="s">
        <v>108</v>
      </c>
      <c r="E122" s="29" t="s">
        <v>108</v>
      </c>
      <c r="F122" s="26" t="s">
        <v>89</v>
      </c>
      <c r="G122" s="33" t="s">
        <v>108</v>
      </c>
      <c r="H122" s="26" t="s">
        <v>89</v>
      </c>
      <c r="I122" s="82" t="s">
        <v>222</v>
      </c>
      <c r="J122" s="33" t="s">
        <v>111</v>
      </c>
      <c r="K122" s="26" t="s">
        <v>89</v>
      </c>
      <c r="L122" s="111" t="s">
        <v>223</v>
      </c>
      <c r="M122" s="96" t="s">
        <v>89</v>
      </c>
      <c r="N122" s="117" t="s">
        <v>224</v>
      </c>
      <c r="O122" s="117" t="s">
        <v>284</v>
      </c>
    </row>
  </sheetData>
  <sheetProtection formatColumns="0" sort="0" autoFilter="0" pivotTables="0"/>
  <mergeCells count="34">
    <mergeCell ref="K4:O4"/>
    <mergeCell ref="D6:F6"/>
    <mergeCell ref="G6:J6"/>
    <mergeCell ref="K6:L6"/>
    <mergeCell ref="M6:O6"/>
    <mergeCell ref="A6:A7"/>
    <mergeCell ref="A9:A15"/>
    <mergeCell ref="A16:A41"/>
    <mergeCell ref="A42:A68"/>
    <mergeCell ref="A69:A94"/>
    <mergeCell ref="A95:A122"/>
    <mergeCell ref="B6:B7"/>
    <mergeCell ref="B9:B15"/>
    <mergeCell ref="B16:B34"/>
    <mergeCell ref="B35:B41"/>
    <mergeCell ref="B42:B61"/>
    <mergeCell ref="B62:B68"/>
    <mergeCell ref="B69:B87"/>
    <mergeCell ref="B88:B94"/>
    <mergeCell ref="B95:B114"/>
    <mergeCell ref="B115:B122"/>
    <mergeCell ref="C6:C7"/>
    <mergeCell ref="I27:I30"/>
    <mergeCell ref="I54:I57"/>
    <mergeCell ref="I80:I83"/>
    <mergeCell ref="I107:I110"/>
    <mergeCell ref="L27:L30"/>
    <mergeCell ref="L54:L57"/>
    <mergeCell ref="L80:L83"/>
    <mergeCell ref="L107:L110"/>
    <mergeCell ref="N27:N30"/>
    <mergeCell ref="N54:N57"/>
    <mergeCell ref="N80:N83"/>
    <mergeCell ref="N107:N110"/>
  </mergeCells>
  <dataValidations count="2">
    <dataValidation type="list" allowBlank="1" showInputMessage="1" showErrorMessage="1" sqref="C8:C122">
      <formula1>"Dim, Cos, Function, ORT"</formula1>
    </dataValidation>
    <dataValidation type="list" allowBlank="1" showInputMessage="1" showErrorMessage="1" sqref="J8:J122">
      <formula1>"Critical to ID feature, Critical to FATP, Critical to HSG assembly, NUD (new/unique/difficult), Not CTQ"</formula1>
    </dataValidation>
  </dataValidations>
  <pageMargins left="0" right="0" top="0" bottom="0" header="0" footer="0"/>
  <pageSetup paperSize="1" scale="53" orientation="landscape"/>
  <headerFooter/>
  <rowBreaks count="1" manualBreakCount="1">
    <brk id="62" max="16383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3"/>
  <sheetViews>
    <sheetView showGridLines="0" zoomScale="55" zoomScaleNormal="55" zoomScaleSheetLayoutView="55" showRuler="0" workbookViewId="0">
      <pane ySplit="7" topLeftCell="A8" activePane="bottomLeft" state="frozen"/>
      <selection/>
      <selection pane="bottomLeft" activeCell="L45" sqref="L45"/>
    </sheetView>
  </sheetViews>
  <sheetFormatPr defaultColWidth="8.83333333333333" defaultRowHeight="22" customHeight="1"/>
  <cols>
    <col min="1" max="1" width="34.2666666666667" style="15" customWidth="1"/>
    <col min="2" max="2" width="25.8333333333333" style="15" customWidth="1"/>
    <col min="3" max="5" width="22.8333333333333" style="15" customWidth="1" outlineLevel="1"/>
    <col min="6" max="8" width="22.8333333333333" style="16" customWidth="1"/>
    <col min="9" max="14" width="22.8333333333333" style="15" customWidth="1"/>
    <col min="15" max="16384" width="8.83333333333333" style="15"/>
  </cols>
  <sheetData>
    <row r="1" s="12" customFormat="1" customHeight="1" spans="1:12">
      <c r="A1" s="17" t="s">
        <v>4</v>
      </c>
      <c r="B1" s="17" t="s">
        <v>5</v>
      </c>
      <c r="F1" s="20"/>
      <c r="G1" s="20"/>
      <c r="H1" s="20"/>
      <c r="I1" s="20"/>
      <c r="J1" s="20"/>
      <c r="K1" s="20"/>
      <c r="L1" s="20"/>
    </row>
    <row r="2" s="12" customFormat="1" customHeight="1" spans="1:12">
      <c r="A2" s="19" t="str">
        <f>IF(Revision!A4="","",Revision!A4)</f>
        <v>B747 BUD</v>
      </c>
      <c r="B2" s="19" t="str">
        <f>IF(Revision!B4="","",Revision!B4)</f>
        <v>Ramp</v>
      </c>
      <c r="F2" s="20"/>
      <c r="G2" s="20"/>
      <c r="H2" s="20"/>
      <c r="I2" s="20"/>
      <c r="J2" s="20"/>
      <c r="K2" s="20"/>
      <c r="L2" s="20"/>
    </row>
    <row r="3" s="12" customFormat="1" customHeight="1" spans="1:12">
      <c r="A3" s="17" t="s">
        <v>8</v>
      </c>
      <c r="B3" s="17" t="s">
        <v>9</v>
      </c>
      <c r="F3" s="20"/>
      <c r="G3" s="20"/>
      <c r="H3" s="20"/>
      <c r="I3" s="20"/>
      <c r="J3" s="20"/>
      <c r="K3" s="20"/>
      <c r="L3" s="20"/>
    </row>
    <row r="4" s="12" customFormat="1" customHeight="1" spans="1:14">
      <c r="A4" s="19" t="str">
        <f>Revision!A9</f>
        <v>613-35102-B(Mirror 613-35106-B)</v>
      </c>
      <c r="B4" s="19" t="str">
        <f>Revision!B9</f>
        <v>Assembing</v>
      </c>
      <c r="F4" s="20"/>
      <c r="G4" s="20"/>
      <c r="H4" s="20"/>
      <c r="I4" s="20"/>
      <c r="J4" s="90"/>
      <c r="K4" s="90"/>
      <c r="L4" s="90"/>
      <c r="M4" s="90"/>
      <c r="N4" s="90"/>
    </row>
    <row r="5" s="12" customFormat="1" ht="7" customHeight="1" spans="6:8">
      <c r="F5" s="31"/>
      <c r="G5" s="31"/>
      <c r="H5" s="31"/>
    </row>
    <row r="6" s="13" customFormat="1" ht="37" customHeight="1" spans="1:14">
      <c r="A6" s="24" t="s">
        <v>92</v>
      </c>
      <c r="B6" s="43" t="s">
        <v>93</v>
      </c>
      <c r="C6" s="73" t="s">
        <v>94</v>
      </c>
      <c r="D6" s="73"/>
      <c r="E6" s="73"/>
      <c r="F6" s="84" t="s">
        <v>95</v>
      </c>
      <c r="G6" s="85"/>
      <c r="H6" s="85"/>
      <c r="I6" s="91"/>
      <c r="J6" s="92" t="s">
        <v>96</v>
      </c>
      <c r="K6" s="93"/>
      <c r="L6" s="94" t="s">
        <v>97</v>
      </c>
      <c r="M6" s="94"/>
      <c r="N6" s="93"/>
    </row>
    <row r="7" s="13" customFormat="1" customHeight="1" spans="1:14">
      <c r="A7" s="24"/>
      <c r="B7" s="45"/>
      <c r="C7" s="73" t="s">
        <v>98</v>
      </c>
      <c r="D7" s="73" t="s">
        <v>99</v>
      </c>
      <c r="E7" s="73" t="s">
        <v>100</v>
      </c>
      <c r="F7" s="24" t="s">
        <v>101</v>
      </c>
      <c r="G7" s="24" t="s">
        <v>100</v>
      </c>
      <c r="H7" s="24" t="s">
        <v>9</v>
      </c>
      <c r="I7" s="24" t="s">
        <v>102</v>
      </c>
      <c r="J7" s="95" t="s">
        <v>103</v>
      </c>
      <c r="K7" s="61" t="s">
        <v>40</v>
      </c>
      <c r="L7" s="61" t="s">
        <v>104</v>
      </c>
      <c r="M7" s="61" t="s">
        <v>40</v>
      </c>
      <c r="N7" s="62" t="s">
        <v>105</v>
      </c>
    </row>
    <row r="8" s="72" customFormat="1" ht="34" customHeight="1" spans="1:14">
      <c r="A8" s="74" t="s">
        <v>345</v>
      </c>
      <c r="B8" s="26" t="s">
        <v>45</v>
      </c>
      <c r="C8" s="26" t="s">
        <v>266</v>
      </c>
      <c r="D8" s="26">
        <v>9</v>
      </c>
      <c r="E8" s="26" t="s">
        <v>267</v>
      </c>
      <c r="F8" s="26" t="s">
        <v>268</v>
      </c>
      <c r="G8" s="26" t="s">
        <v>270</v>
      </c>
      <c r="H8" s="33" t="s">
        <v>346</v>
      </c>
      <c r="I8" s="33" t="s">
        <v>347</v>
      </c>
      <c r="J8" s="26" t="s">
        <v>270</v>
      </c>
      <c r="K8" s="96" t="s">
        <v>271</v>
      </c>
      <c r="L8" s="26" t="s">
        <v>270</v>
      </c>
      <c r="M8" s="96" t="s">
        <v>271</v>
      </c>
      <c r="N8" s="101" t="s">
        <v>348</v>
      </c>
    </row>
    <row r="9" s="72" customFormat="1" ht="34" customHeight="1" spans="1:14">
      <c r="A9" s="75"/>
      <c r="B9" s="26" t="s">
        <v>45</v>
      </c>
      <c r="C9" s="26" t="s">
        <v>272</v>
      </c>
      <c r="D9" s="26">
        <v>10</v>
      </c>
      <c r="E9" s="26" t="s">
        <v>273</v>
      </c>
      <c r="F9" s="26" t="s">
        <v>108</v>
      </c>
      <c r="G9" s="26" t="s">
        <v>274</v>
      </c>
      <c r="H9" s="26" t="s">
        <v>275</v>
      </c>
      <c r="I9" s="33" t="s">
        <v>111</v>
      </c>
      <c r="J9" s="26" t="s">
        <v>274</v>
      </c>
      <c r="K9" s="96" t="s">
        <v>271</v>
      </c>
      <c r="L9" s="26" t="s">
        <v>274</v>
      </c>
      <c r="M9" s="96" t="s">
        <v>271</v>
      </c>
      <c r="N9" s="101" t="s">
        <v>348</v>
      </c>
    </row>
    <row r="10" s="72" customFormat="1" ht="68" spans="1:14">
      <c r="A10" s="75"/>
      <c r="B10" s="26" t="s">
        <v>45</v>
      </c>
      <c r="C10" s="76" t="s">
        <v>108</v>
      </c>
      <c r="D10" s="76" t="s">
        <v>108</v>
      </c>
      <c r="E10" s="76" t="s">
        <v>108</v>
      </c>
      <c r="F10" s="76" t="s">
        <v>108</v>
      </c>
      <c r="G10" s="86" t="s">
        <v>349</v>
      </c>
      <c r="H10" s="68" t="s">
        <v>350</v>
      </c>
      <c r="I10" s="86" t="s">
        <v>347</v>
      </c>
      <c r="J10" s="86" t="s">
        <v>349</v>
      </c>
      <c r="K10" s="89" t="s">
        <v>351</v>
      </c>
      <c r="L10" s="86" t="s">
        <v>349</v>
      </c>
      <c r="M10" s="89" t="s">
        <v>351</v>
      </c>
      <c r="N10" s="102" t="s">
        <v>352</v>
      </c>
    </row>
    <row r="11" s="72" customFormat="1" ht="34" customHeight="1" spans="1:14">
      <c r="A11" s="77"/>
      <c r="B11" s="26" t="s">
        <v>45</v>
      </c>
      <c r="C11" s="76" t="s">
        <v>108</v>
      </c>
      <c r="D11" s="76" t="s">
        <v>108</v>
      </c>
      <c r="E11" s="76" t="s">
        <v>108</v>
      </c>
      <c r="F11" s="76" t="s">
        <v>108</v>
      </c>
      <c r="G11" s="86" t="s">
        <v>353</v>
      </c>
      <c r="H11" s="68" t="s">
        <v>354</v>
      </c>
      <c r="I11" s="86" t="s">
        <v>347</v>
      </c>
      <c r="J11" s="86" t="s">
        <v>353</v>
      </c>
      <c r="K11" s="89" t="s">
        <v>355</v>
      </c>
      <c r="L11" s="86" t="s">
        <v>353</v>
      </c>
      <c r="M11" s="89" t="s">
        <v>355</v>
      </c>
      <c r="N11" s="102" t="s">
        <v>352</v>
      </c>
    </row>
    <row r="12" s="72" customFormat="1" ht="34" spans="1:14">
      <c r="A12" s="74" t="s">
        <v>356</v>
      </c>
      <c r="B12" s="26" t="s">
        <v>45</v>
      </c>
      <c r="C12" s="26" t="s">
        <v>272</v>
      </c>
      <c r="D12" s="26">
        <v>10</v>
      </c>
      <c r="E12" s="26" t="s">
        <v>298</v>
      </c>
      <c r="F12" s="26" t="s">
        <v>299</v>
      </c>
      <c r="G12" s="26" t="s">
        <v>300</v>
      </c>
      <c r="H12" s="33" t="s">
        <v>346</v>
      </c>
      <c r="I12" s="33" t="s">
        <v>347</v>
      </c>
      <c r="J12" s="26" t="s">
        <v>300</v>
      </c>
      <c r="K12" s="96" t="s">
        <v>271</v>
      </c>
      <c r="L12" s="26" t="s">
        <v>300</v>
      </c>
      <c r="M12" s="96" t="s">
        <v>271</v>
      </c>
      <c r="N12" s="101" t="s">
        <v>348</v>
      </c>
    </row>
    <row r="13" s="72" customFormat="1" ht="34" spans="1:14">
      <c r="A13" s="75"/>
      <c r="B13" s="26" t="s">
        <v>45</v>
      </c>
      <c r="C13" s="26" t="s">
        <v>301</v>
      </c>
      <c r="D13" s="26">
        <v>11</v>
      </c>
      <c r="E13" s="26" t="s">
        <v>302</v>
      </c>
      <c r="F13" s="26" t="s">
        <v>108</v>
      </c>
      <c r="G13" s="26" t="s">
        <v>303</v>
      </c>
      <c r="H13" s="26" t="s">
        <v>275</v>
      </c>
      <c r="I13" s="33" t="s">
        <v>111</v>
      </c>
      <c r="J13" s="26" t="s">
        <v>303</v>
      </c>
      <c r="K13" s="96" t="s">
        <v>271</v>
      </c>
      <c r="L13" s="26" t="s">
        <v>303</v>
      </c>
      <c r="M13" s="96" t="s">
        <v>271</v>
      </c>
      <c r="N13" s="101" t="s">
        <v>348</v>
      </c>
    </row>
    <row r="14" s="72" customFormat="1" ht="68" spans="1:14">
      <c r="A14" s="75"/>
      <c r="B14" s="26" t="s">
        <v>45</v>
      </c>
      <c r="C14" s="26" t="s">
        <v>108</v>
      </c>
      <c r="D14" s="26" t="s">
        <v>108</v>
      </c>
      <c r="E14" s="76" t="s">
        <v>108</v>
      </c>
      <c r="F14" s="76" t="s">
        <v>108</v>
      </c>
      <c r="G14" s="86" t="s">
        <v>349</v>
      </c>
      <c r="H14" s="68" t="s">
        <v>350</v>
      </c>
      <c r="I14" s="86" t="s">
        <v>347</v>
      </c>
      <c r="J14" s="86" t="s">
        <v>349</v>
      </c>
      <c r="K14" s="89" t="s">
        <v>351</v>
      </c>
      <c r="L14" s="86" t="s">
        <v>349</v>
      </c>
      <c r="M14" s="89" t="s">
        <v>351</v>
      </c>
      <c r="N14" s="102" t="s">
        <v>352</v>
      </c>
    </row>
    <row r="15" s="72" customFormat="1" ht="34" spans="1:14">
      <c r="A15" s="77"/>
      <c r="B15" s="26" t="s">
        <v>45</v>
      </c>
      <c r="C15" s="26" t="s">
        <v>108</v>
      </c>
      <c r="D15" s="26" t="s">
        <v>108</v>
      </c>
      <c r="E15" s="76" t="s">
        <v>108</v>
      </c>
      <c r="F15" s="76" t="s">
        <v>108</v>
      </c>
      <c r="G15" s="86" t="s">
        <v>353</v>
      </c>
      <c r="H15" s="68" t="s">
        <v>354</v>
      </c>
      <c r="I15" s="86" t="s">
        <v>347</v>
      </c>
      <c r="J15" s="86" t="s">
        <v>353</v>
      </c>
      <c r="K15" s="89" t="s">
        <v>355</v>
      </c>
      <c r="L15" s="86" t="s">
        <v>353</v>
      </c>
      <c r="M15" s="89" t="s">
        <v>355</v>
      </c>
      <c r="N15" s="102" t="s">
        <v>352</v>
      </c>
    </row>
    <row r="16" s="72" customFormat="1" ht="34" spans="1:14">
      <c r="A16" s="74" t="s">
        <v>357</v>
      </c>
      <c r="B16" s="26" t="s">
        <v>45</v>
      </c>
      <c r="C16" s="26" t="s">
        <v>266</v>
      </c>
      <c r="D16" s="26">
        <v>9</v>
      </c>
      <c r="E16" s="26" t="s">
        <v>315</v>
      </c>
      <c r="F16" s="26" t="s">
        <v>268</v>
      </c>
      <c r="G16" s="26" t="s">
        <v>315</v>
      </c>
      <c r="H16" s="33" t="s">
        <v>346</v>
      </c>
      <c r="I16" s="33" t="s">
        <v>347</v>
      </c>
      <c r="J16" s="26" t="s">
        <v>316</v>
      </c>
      <c r="K16" s="96" t="s">
        <v>271</v>
      </c>
      <c r="L16" s="26" t="s">
        <v>316</v>
      </c>
      <c r="M16" s="96" t="s">
        <v>271</v>
      </c>
      <c r="N16" s="101" t="s">
        <v>348</v>
      </c>
    </row>
    <row r="17" s="72" customFormat="1" ht="34" spans="1:14">
      <c r="A17" s="75"/>
      <c r="B17" s="26" t="s">
        <v>45</v>
      </c>
      <c r="C17" s="26" t="s">
        <v>272</v>
      </c>
      <c r="D17" s="26">
        <v>10</v>
      </c>
      <c r="E17" s="26" t="s">
        <v>317</v>
      </c>
      <c r="F17" s="26" t="s">
        <v>108</v>
      </c>
      <c r="G17" s="26" t="s">
        <v>318</v>
      </c>
      <c r="H17" s="26" t="s">
        <v>275</v>
      </c>
      <c r="I17" s="33" t="s">
        <v>111</v>
      </c>
      <c r="J17" s="26" t="s">
        <v>318</v>
      </c>
      <c r="K17" s="96" t="s">
        <v>271</v>
      </c>
      <c r="L17" s="26" t="s">
        <v>318</v>
      </c>
      <c r="M17" s="96" t="s">
        <v>271</v>
      </c>
      <c r="N17" s="101" t="s">
        <v>348</v>
      </c>
    </row>
    <row r="18" s="72" customFormat="1" ht="68" spans="1:14">
      <c r="A18" s="75"/>
      <c r="B18" s="26" t="s">
        <v>45</v>
      </c>
      <c r="C18" s="76" t="s">
        <v>108</v>
      </c>
      <c r="D18" s="76" t="s">
        <v>108</v>
      </c>
      <c r="E18" s="76" t="s">
        <v>108</v>
      </c>
      <c r="F18" s="76" t="s">
        <v>108</v>
      </c>
      <c r="G18" s="86" t="s">
        <v>349</v>
      </c>
      <c r="H18" s="68" t="s">
        <v>350</v>
      </c>
      <c r="I18" s="86" t="s">
        <v>347</v>
      </c>
      <c r="J18" s="86" t="s">
        <v>349</v>
      </c>
      <c r="K18" s="89" t="s">
        <v>351</v>
      </c>
      <c r="L18" s="86" t="s">
        <v>349</v>
      </c>
      <c r="M18" s="89" t="s">
        <v>351</v>
      </c>
      <c r="N18" s="102" t="s">
        <v>352</v>
      </c>
    </row>
    <row r="19" s="72" customFormat="1" ht="34" spans="1:14">
      <c r="A19" s="77"/>
      <c r="B19" s="26" t="s">
        <v>45</v>
      </c>
      <c r="C19" s="76" t="s">
        <v>108</v>
      </c>
      <c r="D19" s="76" t="s">
        <v>108</v>
      </c>
      <c r="E19" s="76" t="s">
        <v>108</v>
      </c>
      <c r="F19" s="76" t="s">
        <v>108</v>
      </c>
      <c r="G19" s="86" t="s">
        <v>353</v>
      </c>
      <c r="H19" s="68" t="s">
        <v>354</v>
      </c>
      <c r="I19" s="86" t="s">
        <v>347</v>
      </c>
      <c r="J19" s="86" t="s">
        <v>353</v>
      </c>
      <c r="K19" s="89" t="s">
        <v>355</v>
      </c>
      <c r="L19" s="86" t="s">
        <v>353</v>
      </c>
      <c r="M19" s="89" t="s">
        <v>355</v>
      </c>
      <c r="N19" s="102" t="s">
        <v>352</v>
      </c>
    </row>
    <row r="20" s="72" customFormat="1" ht="34" spans="1:14">
      <c r="A20" s="74" t="s">
        <v>358</v>
      </c>
      <c r="B20" s="26" t="s">
        <v>45</v>
      </c>
      <c r="C20" s="26" t="s">
        <v>272</v>
      </c>
      <c r="D20" s="26">
        <v>10</v>
      </c>
      <c r="E20" s="26" t="s">
        <v>359</v>
      </c>
      <c r="F20" s="26" t="s">
        <v>299</v>
      </c>
      <c r="G20" s="26" t="s">
        <v>336</v>
      </c>
      <c r="H20" s="33" t="s">
        <v>346</v>
      </c>
      <c r="I20" s="33" t="s">
        <v>347</v>
      </c>
      <c r="J20" s="26" t="s">
        <v>336</v>
      </c>
      <c r="K20" s="96" t="s">
        <v>271</v>
      </c>
      <c r="L20" s="26" t="s">
        <v>336</v>
      </c>
      <c r="M20" s="96" t="s">
        <v>271</v>
      </c>
      <c r="N20" s="101" t="s">
        <v>348</v>
      </c>
    </row>
    <row r="21" s="72" customFormat="1" ht="34" spans="1:14">
      <c r="A21" s="75"/>
      <c r="B21" s="26" t="s">
        <v>45</v>
      </c>
      <c r="C21" s="26" t="s">
        <v>301</v>
      </c>
      <c r="D21" s="26">
        <v>11</v>
      </c>
      <c r="E21" s="26" t="s">
        <v>337</v>
      </c>
      <c r="F21" s="26" t="s">
        <v>108</v>
      </c>
      <c r="G21" s="26" t="s">
        <v>338</v>
      </c>
      <c r="H21" s="26" t="s">
        <v>275</v>
      </c>
      <c r="I21" s="33" t="s">
        <v>111</v>
      </c>
      <c r="J21" s="26" t="s">
        <v>338</v>
      </c>
      <c r="K21" s="96" t="s">
        <v>271</v>
      </c>
      <c r="L21" s="26" t="s">
        <v>338</v>
      </c>
      <c r="M21" s="96" t="s">
        <v>271</v>
      </c>
      <c r="N21" s="101" t="s">
        <v>348</v>
      </c>
    </row>
    <row r="22" s="72" customFormat="1" ht="68" spans="1:14">
      <c r="A22" s="75"/>
      <c r="B22" s="26" t="s">
        <v>45</v>
      </c>
      <c r="C22" s="76" t="s">
        <v>108</v>
      </c>
      <c r="D22" s="76" t="s">
        <v>108</v>
      </c>
      <c r="E22" s="76" t="s">
        <v>108</v>
      </c>
      <c r="F22" s="76" t="s">
        <v>108</v>
      </c>
      <c r="G22" s="86" t="s">
        <v>349</v>
      </c>
      <c r="H22" s="68" t="s">
        <v>350</v>
      </c>
      <c r="I22" s="86" t="s">
        <v>347</v>
      </c>
      <c r="J22" s="86" t="s">
        <v>349</v>
      </c>
      <c r="K22" s="89" t="s">
        <v>351</v>
      </c>
      <c r="L22" s="86" t="s">
        <v>349</v>
      </c>
      <c r="M22" s="89" t="s">
        <v>351</v>
      </c>
      <c r="N22" s="102" t="s">
        <v>352</v>
      </c>
    </row>
    <row r="23" s="72" customFormat="1" ht="34" spans="1:14">
      <c r="A23" s="77"/>
      <c r="B23" s="26" t="s">
        <v>45</v>
      </c>
      <c r="C23" s="76" t="s">
        <v>108</v>
      </c>
      <c r="D23" s="76" t="s">
        <v>108</v>
      </c>
      <c r="E23" s="76" t="s">
        <v>108</v>
      </c>
      <c r="F23" s="76" t="s">
        <v>108</v>
      </c>
      <c r="G23" s="86" t="s">
        <v>353</v>
      </c>
      <c r="H23" s="68" t="s">
        <v>354</v>
      </c>
      <c r="I23" s="86" t="s">
        <v>347</v>
      </c>
      <c r="J23" s="86" t="s">
        <v>353</v>
      </c>
      <c r="K23" s="89" t="s">
        <v>355</v>
      </c>
      <c r="L23" s="86" t="s">
        <v>353</v>
      </c>
      <c r="M23" s="89" t="s">
        <v>355</v>
      </c>
      <c r="N23" s="102" t="s">
        <v>352</v>
      </c>
    </row>
    <row r="24" s="14" customFormat="1" ht="34" spans="1:14">
      <c r="A24" s="78" t="s">
        <v>360</v>
      </c>
      <c r="B24" s="29" t="s">
        <v>67</v>
      </c>
      <c r="C24" s="29" t="s">
        <v>228</v>
      </c>
      <c r="D24" s="29">
        <v>1</v>
      </c>
      <c r="E24" s="29" t="s">
        <v>361</v>
      </c>
      <c r="F24" s="36" t="s">
        <v>230</v>
      </c>
      <c r="G24" s="29" t="s">
        <v>362</v>
      </c>
      <c r="H24" s="87" t="s">
        <v>363</v>
      </c>
      <c r="I24" s="36" t="s">
        <v>347</v>
      </c>
      <c r="J24" s="29" t="s">
        <v>362</v>
      </c>
      <c r="K24" s="97" t="s">
        <v>364</v>
      </c>
      <c r="L24" s="29" t="s">
        <v>362</v>
      </c>
      <c r="M24" s="97" t="s">
        <v>364</v>
      </c>
      <c r="N24" s="101" t="s">
        <v>278</v>
      </c>
    </row>
    <row r="25" s="14" customFormat="1" ht="34" spans="1:14">
      <c r="A25" s="79"/>
      <c r="B25" s="29" t="s">
        <v>67</v>
      </c>
      <c r="C25" s="29" t="s">
        <v>233</v>
      </c>
      <c r="D25" s="29">
        <v>2</v>
      </c>
      <c r="E25" s="29" t="s">
        <v>365</v>
      </c>
      <c r="F25" s="36" t="s">
        <v>235</v>
      </c>
      <c r="G25" s="29" t="s">
        <v>366</v>
      </c>
      <c r="H25" s="87" t="s">
        <v>363</v>
      </c>
      <c r="I25" s="36" t="s">
        <v>347</v>
      </c>
      <c r="J25" s="29" t="s">
        <v>366</v>
      </c>
      <c r="K25" s="97" t="s">
        <v>364</v>
      </c>
      <c r="L25" s="29" t="s">
        <v>366</v>
      </c>
      <c r="M25" s="97" t="s">
        <v>364</v>
      </c>
      <c r="N25" s="101" t="s">
        <v>278</v>
      </c>
    </row>
    <row r="26" s="14" customFormat="1" ht="34" spans="1:14">
      <c r="A26" s="79"/>
      <c r="B26" s="29" t="s">
        <v>67</v>
      </c>
      <c r="C26" s="29" t="s">
        <v>237</v>
      </c>
      <c r="D26" s="29">
        <v>3</v>
      </c>
      <c r="E26" s="29" t="s">
        <v>367</v>
      </c>
      <c r="F26" s="36" t="s">
        <v>239</v>
      </c>
      <c r="G26" s="29" t="s">
        <v>368</v>
      </c>
      <c r="H26" s="87" t="s">
        <v>363</v>
      </c>
      <c r="I26" s="36" t="s">
        <v>347</v>
      </c>
      <c r="J26" s="29" t="s">
        <v>368</v>
      </c>
      <c r="K26" s="97" t="s">
        <v>364</v>
      </c>
      <c r="L26" s="29" t="s">
        <v>368</v>
      </c>
      <c r="M26" s="97" t="s">
        <v>364</v>
      </c>
      <c r="N26" s="101" t="s">
        <v>278</v>
      </c>
    </row>
    <row r="27" s="14" customFormat="1" ht="34" spans="1:14">
      <c r="A27" s="79"/>
      <c r="B27" s="29" t="s">
        <v>67</v>
      </c>
      <c r="C27" s="29" t="s">
        <v>240</v>
      </c>
      <c r="D27" s="29">
        <v>4</v>
      </c>
      <c r="E27" s="29"/>
      <c r="F27" s="36" t="s">
        <v>241</v>
      </c>
      <c r="G27" s="26" t="s">
        <v>369</v>
      </c>
      <c r="H27" s="81" t="s">
        <v>143</v>
      </c>
      <c r="I27" s="36" t="s">
        <v>111</v>
      </c>
      <c r="J27" s="26" t="s">
        <v>369</v>
      </c>
      <c r="K27" s="97" t="s">
        <v>145</v>
      </c>
      <c r="L27" s="26" t="s">
        <v>369</v>
      </c>
      <c r="M27" s="97" t="s">
        <v>145</v>
      </c>
      <c r="N27" s="101" t="s">
        <v>278</v>
      </c>
    </row>
    <row r="28" s="14" customFormat="1" ht="34" spans="1:14">
      <c r="A28" s="79"/>
      <c r="B28" s="29" t="s">
        <v>67</v>
      </c>
      <c r="C28" s="29" t="s">
        <v>244</v>
      </c>
      <c r="D28" s="29">
        <v>5</v>
      </c>
      <c r="E28" s="29"/>
      <c r="F28" s="36" t="s">
        <v>246</v>
      </c>
      <c r="G28" s="26" t="s">
        <v>370</v>
      </c>
      <c r="H28" s="81" t="s">
        <v>371</v>
      </c>
      <c r="I28" s="36" t="s">
        <v>111</v>
      </c>
      <c r="J28" s="26" t="s">
        <v>370</v>
      </c>
      <c r="K28" s="97" t="s">
        <v>145</v>
      </c>
      <c r="L28" s="26" t="s">
        <v>370</v>
      </c>
      <c r="M28" s="97" t="s">
        <v>145</v>
      </c>
      <c r="N28" s="101" t="s">
        <v>278</v>
      </c>
    </row>
    <row r="29" s="14" customFormat="1" ht="34" spans="1:14">
      <c r="A29" s="79"/>
      <c r="B29" s="29" t="s">
        <v>67</v>
      </c>
      <c r="C29" s="29" t="s">
        <v>249</v>
      </c>
      <c r="D29" s="29">
        <v>6</v>
      </c>
      <c r="E29" s="29"/>
      <c r="F29" s="36" t="s">
        <v>251</v>
      </c>
      <c r="G29" s="26" t="s">
        <v>370</v>
      </c>
      <c r="H29" s="81" t="s">
        <v>371</v>
      </c>
      <c r="I29" s="36" t="s">
        <v>111</v>
      </c>
      <c r="J29" s="26" t="s">
        <v>370</v>
      </c>
      <c r="K29" s="97" t="s">
        <v>145</v>
      </c>
      <c r="L29" s="26" t="s">
        <v>370</v>
      </c>
      <c r="M29" s="97" t="s">
        <v>145</v>
      </c>
      <c r="N29" s="101" t="s">
        <v>278</v>
      </c>
    </row>
    <row r="30" s="14" customFormat="1" ht="34" spans="1:14">
      <c r="A30" s="79"/>
      <c r="B30" s="29" t="s">
        <v>67</v>
      </c>
      <c r="C30" s="29" t="s">
        <v>253</v>
      </c>
      <c r="D30" s="29">
        <v>7</v>
      </c>
      <c r="E30" s="29"/>
      <c r="F30" s="36" t="s">
        <v>255</v>
      </c>
      <c r="G30" s="26" t="s">
        <v>370</v>
      </c>
      <c r="H30" s="87" t="s">
        <v>371</v>
      </c>
      <c r="I30" s="36" t="s">
        <v>111</v>
      </c>
      <c r="J30" s="26" t="s">
        <v>370</v>
      </c>
      <c r="K30" s="98" t="s">
        <v>145</v>
      </c>
      <c r="L30" s="26" t="s">
        <v>370</v>
      </c>
      <c r="M30" s="98" t="s">
        <v>145</v>
      </c>
      <c r="N30" s="101" t="s">
        <v>278</v>
      </c>
    </row>
    <row r="31" s="14" customFormat="1" ht="34" customHeight="1" spans="1:14">
      <c r="A31" s="79"/>
      <c r="B31" s="29" t="s">
        <v>67</v>
      </c>
      <c r="C31" s="29" t="s">
        <v>257</v>
      </c>
      <c r="D31" s="29">
        <v>8</v>
      </c>
      <c r="E31" s="29"/>
      <c r="F31" s="36" t="s">
        <v>258</v>
      </c>
      <c r="G31" s="29" t="s">
        <v>372</v>
      </c>
      <c r="H31" s="87" t="s">
        <v>371</v>
      </c>
      <c r="I31" s="36" t="s">
        <v>111</v>
      </c>
      <c r="J31" s="29" t="s">
        <v>372</v>
      </c>
      <c r="K31" s="98" t="s">
        <v>145</v>
      </c>
      <c r="L31" s="29" t="s">
        <v>373</v>
      </c>
      <c r="M31" s="98" t="s">
        <v>145</v>
      </c>
      <c r="N31" s="101" t="s">
        <v>278</v>
      </c>
    </row>
    <row r="32" s="14" customFormat="1" ht="68" spans="1:14">
      <c r="A32" s="79"/>
      <c r="B32" s="29" t="s">
        <v>45</v>
      </c>
      <c r="C32" s="80" t="s">
        <v>108</v>
      </c>
      <c r="D32" s="80" t="s">
        <v>108</v>
      </c>
      <c r="E32" s="80" t="s">
        <v>108</v>
      </c>
      <c r="F32" s="80" t="s">
        <v>108</v>
      </c>
      <c r="G32" s="67" t="s">
        <v>349</v>
      </c>
      <c r="H32" s="68" t="s">
        <v>374</v>
      </c>
      <c r="I32" s="67" t="s">
        <v>347</v>
      </c>
      <c r="J32" s="67" t="s">
        <v>349</v>
      </c>
      <c r="K32" s="89" t="s">
        <v>351</v>
      </c>
      <c r="L32" s="67" t="s">
        <v>349</v>
      </c>
      <c r="M32" s="89" t="s">
        <v>351</v>
      </c>
      <c r="N32" s="103" t="s">
        <v>375</v>
      </c>
    </row>
    <row r="33" s="14" customFormat="1" ht="65" customHeight="1" spans="1:14">
      <c r="A33" s="79"/>
      <c r="B33" s="29" t="s">
        <v>45</v>
      </c>
      <c r="C33" s="81" t="s">
        <v>108</v>
      </c>
      <c r="D33" s="81" t="s">
        <v>108</v>
      </c>
      <c r="E33" s="29"/>
      <c r="F33" s="81" t="s">
        <v>108</v>
      </c>
      <c r="G33" s="36"/>
      <c r="H33" s="87" t="s">
        <v>376</v>
      </c>
      <c r="I33" s="36" t="s">
        <v>347</v>
      </c>
      <c r="J33" s="97"/>
      <c r="K33" s="87" t="s">
        <v>377</v>
      </c>
      <c r="L33" s="29"/>
      <c r="M33" s="87" t="s">
        <v>376</v>
      </c>
      <c r="N33" s="101" t="s">
        <v>375</v>
      </c>
    </row>
    <row r="34" s="14" customFormat="1" ht="34" spans="1:14">
      <c r="A34" s="79"/>
      <c r="B34" s="29" t="s">
        <v>53</v>
      </c>
      <c r="C34" s="82" t="s">
        <v>108</v>
      </c>
      <c r="D34" s="26">
        <v>9</v>
      </c>
      <c r="E34" s="26" t="s">
        <v>378</v>
      </c>
      <c r="F34" s="36" t="s">
        <v>108</v>
      </c>
      <c r="G34" s="88" t="s">
        <v>218</v>
      </c>
      <c r="H34" s="87" t="s">
        <v>379</v>
      </c>
      <c r="I34" s="36" t="s">
        <v>111</v>
      </c>
      <c r="J34" s="36" t="s">
        <v>218</v>
      </c>
      <c r="K34" s="67" t="s">
        <v>380</v>
      </c>
      <c r="L34" s="36" t="s">
        <v>218</v>
      </c>
      <c r="M34" s="87" t="s">
        <v>379</v>
      </c>
      <c r="N34" s="101" t="s">
        <v>348</v>
      </c>
    </row>
    <row r="35" s="14" customFormat="1" ht="68" spans="1:14">
      <c r="A35" s="79"/>
      <c r="B35" s="29" t="s">
        <v>53</v>
      </c>
      <c r="C35" s="82" t="s">
        <v>108</v>
      </c>
      <c r="D35" s="26">
        <v>10</v>
      </c>
      <c r="E35" s="26" t="s">
        <v>381</v>
      </c>
      <c r="F35" s="33" t="s">
        <v>382</v>
      </c>
      <c r="G35" s="26" t="s">
        <v>383</v>
      </c>
      <c r="H35" s="86" t="s">
        <v>381</v>
      </c>
      <c r="I35" s="33" t="s">
        <v>347</v>
      </c>
      <c r="J35" s="26" t="s">
        <v>384</v>
      </c>
      <c r="K35" s="99" t="s">
        <v>385</v>
      </c>
      <c r="L35" s="26" t="s">
        <v>384</v>
      </c>
      <c r="M35" s="99" t="s">
        <v>385</v>
      </c>
      <c r="N35" s="101" t="s">
        <v>348</v>
      </c>
    </row>
    <row r="36" s="14" customFormat="1" ht="34" spans="1:14">
      <c r="A36" s="79"/>
      <c r="B36" s="29" t="s">
        <v>45</v>
      </c>
      <c r="C36" s="26" t="s">
        <v>108</v>
      </c>
      <c r="D36" s="26">
        <v>11</v>
      </c>
      <c r="E36" s="26" t="s">
        <v>386</v>
      </c>
      <c r="F36" s="33" t="s">
        <v>387</v>
      </c>
      <c r="G36" s="26" t="s">
        <v>386</v>
      </c>
      <c r="H36" s="86" t="s">
        <v>388</v>
      </c>
      <c r="I36" s="33" t="s">
        <v>347</v>
      </c>
      <c r="J36" s="26" t="s">
        <v>389</v>
      </c>
      <c r="K36" s="99" t="s">
        <v>385</v>
      </c>
      <c r="L36" s="26" t="s">
        <v>389</v>
      </c>
      <c r="M36" s="99" t="s">
        <v>385</v>
      </c>
      <c r="N36" s="101" t="s">
        <v>348</v>
      </c>
    </row>
    <row r="37" s="14" customFormat="1" ht="68" spans="1:14">
      <c r="A37" s="78" t="s">
        <v>390</v>
      </c>
      <c r="B37" s="29" t="s">
        <v>45</v>
      </c>
      <c r="C37" s="80" t="s">
        <v>108</v>
      </c>
      <c r="D37" s="80" t="s">
        <v>108</v>
      </c>
      <c r="E37" s="80" t="s">
        <v>108</v>
      </c>
      <c r="F37" s="80" t="s">
        <v>108</v>
      </c>
      <c r="G37" s="67" t="s">
        <v>349</v>
      </c>
      <c r="H37" s="89" t="s">
        <v>391</v>
      </c>
      <c r="I37" s="67" t="s">
        <v>347</v>
      </c>
      <c r="J37" s="67" t="s">
        <v>349</v>
      </c>
      <c r="K37" s="89" t="s">
        <v>351</v>
      </c>
      <c r="L37" s="67" t="s">
        <v>349</v>
      </c>
      <c r="M37" s="89" t="s">
        <v>351</v>
      </c>
      <c r="N37" s="101" t="s">
        <v>392</v>
      </c>
    </row>
    <row r="38" s="14" customFormat="1" ht="65" customHeight="1" spans="1:14">
      <c r="A38" s="79"/>
      <c r="B38" s="29" t="s">
        <v>45</v>
      </c>
      <c r="C38" s="81" t="s">
        <v>108</v>
      </c>
      <c r="D38" s="81" t="s">
        <v>108</v>
      </c>
      <c r="E38" s="29"/>
      <c r="F38" s="81" t="s">
        <v>108</v>
      </c>
      <c r="G38" s="36"/>
      <c r="H38" s="87" t="s">
        <v>376</v>
      </c>
      <c r="I38" s="36" t="s">
        <v>347</v>
      </c>
      <c r="J38" s="97"/>
      <c r="K38" s="87" t="s">
        <v>377</v>
      </c>
      <c r="L38" s="29"/>
      <c r="M38" s="87" t="s">
        <v>376</v>
      </c>
      <c r="N38" s="101" t="s">
        <v>393</v>
      </c>
    </row>
    <row r="39" s="14" customFormat="1" ht="34" spans="1:14">
      <c r="A39" s="79"/>
      <c r="B39" s="29" t="s">
        <v>67</v>
      </c>
      <c r="C39" s="29" t="s">
        <v>228</v>
      </c>
      <c r="D39" s="29">
        <v>1</v>
      </c>
      <c r="E39" s="29" t="s">
        <v>361</v>
      </c>
      <c r="F39" s="36" t="s">
        <v>230</v>
      </c>
      <c r="G39" s="29" t="s">
        <v>394</v>
      </c>
      <c r="H39" s="87" t="s">
        <v>363</v>
      </c>
      <c r="I39" s="36" t="s">
        <v>347</v>
      </c>
      <c r="J39" s="29" t="s">
        <v>394</v>
      </c>
      <c r="K39" s="100" t="s">
        <v>395</v>
      </c>
      <c r="L39" s="29" t="s">
        <v>394</v>
      </c>
      <c r="M39" s="100" t="s">
        <v>395</v>
      </c>
      <c r="N39" s="101" t="s">
        <v>392</v>
      </c>
    </row>
    <row r="40" s="14" customFormat="1" ht="34" spans="1:14">
      <c r="A40" s="79"/>
      <c r="B40" s="29" t="s">
        <v>67</v>
      </c>
      <c r="C40" s="29" t="s">
        <v>233</v>
      </c>
      <c r="D40" s="29">
        <v>2</v>
      </c>
      <c r="E40" s="29" t="s">
        <v>365</v>
      </c>
      <c r="F40" s="36" t="s">
        <v>235</v>
      </c>
      <c r="G40" s="29" t="s">
        <v>396</v>
      </c>
      <c r="H40" s="87" t="s">
        <v>363</v>
      </c>
      <c r="I40" s="36" t="s">
        <v>347</v>
      </c>
      <c r="J40" s="29" t="s">
        <v>396</v>
      </c>
      <c r="K40" s="100" t="s">
        <v>395</v>
      </c>
      <c r="L40" s="29" t="s">
        <v>396</v>
      </c>
      <c r="M40" s="100" t="s">
        <v>395</v>
      </c>
      <c r="N40" s="101" t="s">
        <v>392</v>
      </c>
    </row>
    <row r="41" s="14" customFormat="1" ht="34" spans="1:14">
      <c r="A41" s="79"/>
      <c r="B41" s="29" t="s">
        <v>67</v>
      </c>
      <c r="C41" s="29" t="s">
        <v>237</v>
      </c>
      <c r="D41" s="29">
        <v>3</v>
      </c>
      <c r="E41" s="29" t="s">
        <v>367</v>
      </c>
      <c r="F41" s="36" t="s">
        <v>239</v>
      </c>
      <c r="G41" s="29" t="s">
        <v>397</v>
      </c>
      <c r="H41" s="87" t="s">
        <v>363</v>
      </c>
      <c r="I41" s="36" t="s">
        <v>347</v>
      </c>
      <c r="J41" s="29" t="s">
        <v>397</v>
      </c>
      <c r="K41" s="100" t="s">
        <v>395</v>
      </c>
      <c r="L41" s="29" t="s">
        <v>397</v>
      </c>
      <c r="M41" s="100" t="s">
        <v>395</v>
      </c>
      <c r="N41" s="103" t="s">
        <v>392</v>
      </c>
    </row>
    <row r="42" s="14" customFormat="1" ht="34" spans="1:14">
      <c r="A42" s="79"/>
      <c r="B42" s="26" t="s">
        <v>53</v>
      </c>
      <c r="C42" s="29" t="s">
        <v>108</v>
      </c>
      <c r="D42" s="29" t="s">
        <v>108</v>
      </c>
      <c r="E42" s="29" t="s">
        <v>108</v>
      </c>
      <c r="F42" s="29" t="s">
        <v>108</v>
      </c>
      <c r="G42" s="29" t="s">
        <v>398</v>
      </c>
      <c r="H42" s="81" t="s">
        <v>399</v>
      </c>
      <c r="I42" s="36" t="s">
        <v>111</v>
      </c>
      <c r="J42" s="97" t="s">
        <v>400</v>
      </c>
      <c r="K42" s="100" t="s">
        <v>401</v>
      </c>
      <c r="L42" s="97" t="s">
        <v>400</v>
      </c>
      <c r="M42" s="100" t="s">
        <v>401</v>
      </c>
      <c r="N42" s="101" t="s">
        <v>392</v>
      </c>
    </row>
    <row r="43" s="14" customFormat="1" ht="34" spans="1:14">
      <c r="A43" s="83"/>
      <c r="B43" s="29" t="s">
        <v>88</v>
      </c>
      <c r="C43" s="29" t="s">
        <v>108</v>
      </c>
      <c r="D43" s="29" t="s">
        <v>108</v>
      </c>
      <c r="E43" s="63" t="s">
        <v>89</v>
      </c>
      <c r="F43" s="29" t="s">
        <v>108</v>
      </c>
      <c r="G43" s="63" t="s">
        <v>89</v>
      </c>
      <c r="H43" s="49" t="s">
        <v>90</v>
      </c>
      <c r="I43" s="36" t="s">
        <v>111</v>
      </c>
      <c r="J43" s="63" t="s">
        <v>89</v>
      </c>
      <c r="K43" s="49" t="s">
        <v>90</v>
      </c>
      <c r="L43" s="63" t="s">
        <v>89</v>
      </c>
      <c r="M43" s="49" t="s">
        <v>90</v>
      </c>
      <c r="N43" s="104" t="s">
        <v>392</v>
      </c>
    </row>
  </sheetData>
  <sheetProtection formatColumns="0" sort="0" autoFilter="0" pivotTables="0"/>
  <mergeCells count="13">
    <mergeCell ref="J4:N4"/>
    <mergeCell ref="C6:E6"/>
    <mergeCell ref="F6:I6"/>
    <mergeCell ref="J6:K6"/>
    <mergeCell ref="L6:N6"/>
    <mergeCell ref="A6:A7"/>
    <mergeCell ref="A8:A11"/>
    <mergeCell ref="A12:A15"/>
    <mergeCell ref="A16:A19"/>
    <mergeCell ref="A20:A23"/>
    <mergeCell ref="A24:A36"/>
    <mergeCell ref="A37:A43"/>
    <mergeCell ref="B6:B7"/>
  </mergeCells>
  <dataValidations count="2">
    <dataValidation type="list" allowBlank="1" showInputMessage="1" showErrorMessage="1" sqref="B34 B35 B36 B8:B33 B37:B43">
      <formula1>"Dim, Cos, Function, ORT"</formula1>
    </dataValidation>
    <dataValidation type="list" allowBlank="1" showInputMessage="1" showErrorMessage="1" sqref="I34 I35 I36 I8:I33 I37:I43">
      <formula1>"Critical to ID feature, Critical to FATP, Critical to HSG assembly, NUD (new/unique/difficult), Not CTQ"</formula1>
    </dataValidation>
  </dataValidations>
  <pageMargins left="0" right="0" top="0" bottom="0" header="0" footer="0"/>
  <pageSetup paperSize="1" scale="53" orientation="landscape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showGridLines="0" zoomScale="68" zoomScaleNormal="68" zoomScaleSheetLayoutView="55" showRuler="0" workbookViewId="0">
      <pane xSplit="2" ySplit="7" topLeftCell="C8" activePane="bottomRight" state="frozen"/>
      <selection/>
      <selection pane="topRight"/>
      <selection pane="bottomLeft"/>
      <selection pane="bottomRight" activeCell="E25" sqref="E25"/>
    </sheetView>
  </sheetViews>
  <sheetFormatPr defaultColWidth="8.83333333333333" defaultRowHeight="22" customHeight="1"/>
  <cols>
    <col min="1" max="1" width="35.8333333333333" style="15" customWidth="1"/>
    <col min="2" max="2" width="19.2583333333333" style="15" customWidth="1"/>
    <col min="3" max="3" width="15.6666666666667" style="15" customWidth="1"/>
    <col min="4" max="4" width="27.8333333333333" style="15" customWidth="1"/>
    <col min="5" max="5" width="27.8333333333333" style="16" customWidth="1"/>
    <col min="6" max="7" width="20.6666666666667" style="15" customWidth="1"/>
    <col min="8" max="8" width="25.1666666666667" style="15" customWidth="1"/>
    <col min="9" max="16384" width="8.83333333333333" style="15"/>
  </cols>
  <sheetData>
    <row r="1" s="12" customFormat="1" customHeight="1" spans="1:8">
      <c r="A1" s="17" t="s">
        <v>4</v>
      </c>
      <c r="B1" s="17" t="s">
        <v>5</v>
      </c>
      <c r="C1" s="39"/>
      <c r="D1" s="39"/>
      <c r="E1" s="39"/>
      <c r="F1" s="39"/>
      <c r="G1" s="39"/>
      <c r="H1" s="55"/>
    </row>
    <row r="2" s="12" customFormat="1" customHeight="1" spans="1:8">
      <c r="A2" s="40" t="str">
        <f>Revision!A4</f>
        <v>B747 BUD</v>
      </c>
      <c r="B2" s="19" t="str">
        <f>Revision!B4</f>
        <v>Ramp</v>
      </c>
      <c r="C2" s="41"/>
      <c r="D2" s="39"/>
      <c r="E2" s="39"/>
      <c r="F2" s="39"/>
      <c r="G2" s="39"/>
      <c r="H2" s="55"/>
    </row>
    <row r="3" s="12" customFormat="1" customHeight="1" spans="1:8">
      <c r="A3" s="17" t="s">
        <v>8</v>
      </c>
      <c r="B3" s="17" t="s">
        <v>9</v>
      </c>
      <c r="C3" s="39"/>
      <c r="D3" s="39"/>
      <c r="E3" s="39"/>
      <c r="F3" s="39"/>
      <c r="G3" s="39"/>
      <c r="H3" s="55"/>
    </row>
    <row r="4" s="12" customFormat="1" customHeight="1" spans="1:8">
      <c r="A4" s="19" t="str">
        <f>Revision!A10</f>
        <v>613-35102-B(Mirror 613-35106-B)</v>
      </c>
      <c r="B4" s="19" t="str">
        <f>Revision!B10</f>
        <v>OQC</v>
      </c>
      <c r="C4" s="41"/>
      <c r="D4" s="39"/>
      <c r="E4" s="56"/>
      <c r="F4" s="56"/>
      <c r="G4" s="56"/>
      <c r="H4" s="57"/>
    </row>
    <row r="5" s="12" customFormat="1" ht="7" customHeight="1" spans="5:5">
      <c r="E5" s="31"/>
    </row>
    <row r="6" s="38" customFormat="1" ht="37" customHeight="1" spans="1:8">
      <c r="A6" s="42" t="s">
        <v>36</v>
      </c>
      <c r="B6" s="42" t="s">
        <v>8</v>
      </c>
      <c r="C6" s="42" t="s">
        <v>20</v>
      </c>
      <c r="D6" s="43" t="s">
        <v>93</v>
      </c>
      <c r="E6" s="42" t="s">
        <v>402</v>
      </c>
      <c r="F6" s="58" t="s">
        <v>39</v>
      </c>
      <c r="G6" s="59"/>
      <c r="H6" s="60"/>
    </row>
    <row r="7" s="38" customFormat="1" customHeight="1" spans="1:8">
      <c r="A7" s="44"/>
      <c r="B7" s="44"/>
      <c r="C7" s="44"/>
      <c r="D7" s="45"/>
      <c r="E7" s="44"/>
      <c r="F7" s="61" t="s">
        <v>40</v>
      </c>
      <c r="G7" s="62" t="s">
        <v>41</v>
      </c>
      <c r="H7" s="62" t="s">
        <v>42</v>
      </c>
    </row>
    <row r="8" s="12" customFormat="1" ht="32.25" customHeight="1" spans="1:11">
      <c r="A8" s="46" t="s">
        <v>403</v>
      </c>
      <c r="B8" s="47" t="s">
        <v>404</v>
      </c>
      <c r="C8" s="48">
        <v>6</v>
      </c>
      <c r="D8" s="49" t="s">
        <v>67</v>
      </c>
      <c r="E8" s="63" t="s">
        <v>405</v>
      </c>
      <c r="F8" s="49" t="s">
        <v>364</v>
      </c>
      <c r="G8" s="49" t="s">
        <v>73</v>
      </c>
      <c r="H8" s="64" t="s">
        <v>76</v>
      </c>
      <c r="K8" s="72"/>
    </row>
    <row r="9" s="12" customFormat="1" ht="32.25" customHeight="1" spans="1:11">
      <c r="A9" s="50"/>
      <c r="B9" s="51"/>
      <c r="C9" s="48">
        <v>6</v>
      </c>
      <c r="D9" s="49" t="s">
        <v>67</v>
      </c>
      <c r="E9" s="63" t="s">
        <v>406</v>
      </c>
      <c r="F9" s="49" t="s">
        <v>364</v>
      </c>
      <c r="G9" s="49" t="s">
        <v>73</v>
      </c>
      <c r="H9" s="64" t="s">
        <v>76</v>
      </c>
      <c r="K9" s="72"/>
    </row>
    <row r="10" s="12" customFormat="1" ht="32.25" customHeight="1" spans="1:11">
      <c r="A10" s="50"/>
      <c r="B10" s="51"/>
      <c r="C10" s="48">
        <v>6</v>
      </c>
      <c r="D10" s="49" t="s">
        <v>67</v>
      </c>
      <c r="E10" s="63" t="s">
        <v>407</v>
      </c>
      <c r="F10" s="49" t="s">
        <v>364</v>
      </c>
      <c r="G10" s="49" t="s">
        <v>73</v>
      </c>
      <c r="H10" s="64" t="s">
        <v>76</v>
      </c>
      <c r="K10" s="72"/>
    </row>
    <row r="11" s="12" customFormat="1" ht="32.25" customHeight="1" spans="1:11">
      <c r="A11" s="50"/>
      <c r="B11" s="51"/>
      <c r="C11" s="48">
        <v>6</v>
      </c>
      <c r="D11" s="49" t="s">
        <v>67</v>
      </c>
      <c r="E11" s="63" t="s">
        <v>408</v>
      </c>
      <c r="F11" s="49" t="s">
        <v>145</v>
      </c>
      <c r="G11" s="49" t="s">
        <v>73</v>
      </c>
      <c r="H11" s="64" t="s">
        <v>76</v>
      </c>
      <c r="K11" s="72"/>
    </row>
    <row r="12" s="14" customFormat="1" ht="35" customHeight="1" spans="1:11">
      <c r="A12" s="50"/>
      <c r="B12" s="51"/>
      <c r="C12" s="48">
        <v>6</v>
      </c>
      <c r="D12" s="49" t="s">
        <v>67</v>
      </c>
      <c r="E12" s="63" t="s">
        <v>409</v>
      </c>
      <c r="F12" s="49" t="s">
        <v>145</v>
      </c>
      <c r="G12" s="65" t="s">
        <v>73</v>
      </c>
      <c r="H12" s="64" t="s">
        <v>76</v>
      </c>
      <c r="K12" s="72"/>
    </row>
    <row r="13" s="14" customFormat="1" ht="35" customHeight="1" spans="1:11">
      <c r="A13" s="50"/>
      <c r="B13" s="51"/>
      <c r="C13" s="48">
        <v>6</v>
      </c>
      <c r="D13" s="49" t="s">
        <v>67</v>
      </c>
      <c r="E13" s="63" t="s">
        <v>410</v>
      </c>
      <c r="F13" s="49" t="s">
        <v>145</v>
      </c>
      <c r="G13" s="66" t="s">
        <v>73</v>
      </c>
      <c r="H13" s="64" t="s">
        <v>76</v>
      </c>
      <c r="K13" s="72"/>
    </row>
    <row r="14" s="14" customFormat="1" ht="35" customHeight="1" spans="1:11">
      <c r="A14" s="50"/>
      <c r="B14" s="51"/>
      <c r="C14" s="48">
        <v>6</v>
      </c>
      <c r="D14" s="49" t="s">
        <v>67</v>
      </c>
      <c r="E14" s="63" t="s">
        <v>411</v>
      </c>
      <c r="F14" s="49" t="s">
        <v>145</v>
      </c>
      <c r="G14" s="66" t="s">
        <v>73</v>
      </c>
      <c r="H14" s="64" t="s">
        <v>76</v>
      </c>
      <c r="K14" s="72"/>
    </row>
    <row r="15" s="14" customFormat="1" ht="35" customHeight="1" spans="1:11">
      <c r="A15" s="50"/>
      <c r="B15" s="51"/>
      <c r="C15" s="48">
        <v>6</v>
      </c>
      <c r="D15" s="49" t="s">
        <v>67</v>
      </c>
      <c r="E15" s="63" t="s">
        <v>412</v>
      </c>
      <c r="F15" s="49" t="s">
        <v>145</v>
      </c>
      <c r="G15" s="66" t="s">
        <v>73</v>
      </c>
      <c r="H15" s="64" t="s">
        <v>76</v>
      </c>
      <c r="K15" s="72"/>
    </row>
    <row r="16" s="14" customFormat="1" ht="35" customHeight="1" spans="1:11">
      <c r="A16" s="50"/>
      <c r="B16" s="51"/>
      <c r="C16" s="48">
        <v>6</v>
      </c>
      <c r="D16" s="49" t="s">
        <v>45</v>
      </c>
      <c r="E16" s="67" t="s">
        <v>349</v>
      </c>
      <c r="F16" s="68" t="s">
        <v>413</v>
      </c>
      <c r="G16" s="66" t="s">
        <v>73</v>
      </c>
      <c r="H16" s="64" t="s">
        <v>414</v>
      </c>
      <c r="K16" s="72"/>
    </row>
    <row r="17" s="14" customFormat="1" ht="65" customHeight="1" spans="1:11">
      <c r="A17" s="50"/>
      <c r="B17" s="51"/>
      <c r="C17" s="48">
        <v>6</v>
      </c>
      <c r="D17" s="49" t="s">
        <v>45</v>
      </c>
      <c r="E17" s="63"/>
      <c r="F17" s="69" t="s">
        <v>415</v>
      </c>
      <c r="G17" s="66" t="s">
        <v>73</v>
      </c>
      <c r="H17" s="64" t="s">
        <v>416</v>
      </c>
      <c r="K17" s="72"/>
    </row>
    <row r="18" s="14" customFormat="1" ht="46" spans="1:11">
      <c r="A18" s="50"/>
      <c r="B18" s="51"/>
      <c r="C18" s="48">
        <v>6</v>
      </c>
      <c r="D18" s="49" t="s">
        <v>45</v>
      </c>
      <c r="E18" s="63" t="s">
        <v>417</v>
      </c>
      <c r="F18" s="69" t="s">
        <v>418</v>
      </c>
      <c r="G18" s="66" t="s">
        <v>419</v>
      </c>
      <c r="H18" s="64" t="s">
        <v>416</v>
      </c>
      <c r="K18" s="72"/>
    </row>
    <row r="19" s="14" customFormat="1" ht="76" spans="1:11">
      <c r="A19" s="50"/>
      <c r="B19" s="51"/>
      <c r="C19" s="48">
        <v>6</v>
      </c>
      <c r="D19" s="49" t="s">
        <v>53</v>
      </c>
      <c r="E19" s="49" t="s">
        <v>420</v>
      </c>
      <c r="F19" s="69" t="s">
        <v>421</v>
      </c>
      <c r="G19" s="66" t="s">
        <v>419</v>
      </c>
      <c r="H19" s="64" t="s">
        <v>416</v>
      </c>
      <c r="K19" s="72"/>
    </row>
    <row r="20" s="14" customFormat="1" ht="35" customHeight="1" spans="1:11">
      <c r="A20" s="50"/>
      <c r="B20" s="51"/>
      <c r="C20" s="48">
        <v>6</v>
      </c>
      <c r="D20" s="49" t="s">
        <v>53</v>
      </c>
      <c r="E20" s="49" t="s">
        <v>422</v>
      </c>
      <c r="F20" s="69" t="s">
        <v>423</v>
      </c>
      <c r="G20" s="65" t="s">
        <v>84</v>
      </c>
      <c r="H20" s="64" t="s">
        <v>416</v>
      </c>
      <c r="K20" s="72"/>
    </row>
    <row r="21" s="14" customFormat="1" ht="36" customHeight="1" spans="1:11">
      <c r="A21" s="52"/>
      <c r="B21" s="53"/>
      <c r="C21" s="48">
        <v>6</v>
      </c>
      <c r="D21" s="54" t="s">
        <v>88</v>
      </c>
      <c r="E21" s="70" t="s">
        <v>89</v>
      </c>
      <c r="F21" s="71" t="s">
        <v>424</v>
      </c>
      <c r="G21" s="49" t="s">
        <v>91</v>
      </c>
      <c r="H21" s="49" t="s">
        <v>91</v>
      </c>
      <c r="K21" s="72"/>
    </row>
  </sheetData>
  <sheetProtection sort="0" autoFilter="0" pivotTables="0"/>
  <mergeCells count="8">
    <mergeCell ref="F6:H6"/>
    <mergeCell ref="A6:A7"/>
    <mergeCell ref="A8:A21"/>
    <mergeCell ref="B6:B7"/>
    <mergeCell ref="B8:B21"/>
    <mergeCell ref="C6:C7"/>
    <mergeCell ref="D6:D7"/>
    <mergeCell ref="E6:E7"/>
  </mergeCells>
  <dataValidations count="2">
    <dataValidation type="list" allowBlank="1" showInputMessage="1" showErrorMessage="1" sqref="D8:D21">
      <formula1>"Dim, Cos, Function, ORT"</formula1>
    </dataValidation>
    <dataValidation type="list" allowBlank="1" showInputMessage="1" showErrorMessage="1" sqref="H8:H20">
      <formula1>"0收1退(Ac=0),CPK≥1.33,Yield&gt;99.5%,No Alert(65%)"</formula1>
    </dataValidation>
  </dataValidations>
  <hyperlinks>
    <hyperlink ref="A2" location="Revision!A1" display="=Revision!A4"/>
  </hyperlinks>
  <pageMargins left="0" right="0" top="0" bottom="0" header="0" footer="0"/>
  <pageSetup paperSize="1" scale="53" orientation="landscape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showGridLines="0" zoomScale="57" zoomScaleNormal="57" zoomScaleSheetLayoutView="55" showRuler="0" workbookViewId="0">
      <pane ySplit="7" topLeftCell="A8" activePane="bottomLeft" state="frozen"/>
      <selection/>
      <selection pane="bottomLeft" activeCell="D16" sqref="D16"/>
    </sheetView>
  </sheetViews>
  <sheetFormatPr defaultColWidth="8.83333333333333" defaultRowHeight="22" customHeight="1"/>
  <cols>
    <col min="1" max="1" width="31.25" style="15" customWidth="1"/>
    <col min="2" max="4" width="25.8333333333333" style="15" customWidth="1"/>
    <col min="5" max="5" width="25.8333333333333" style="16" customWidth="1"/>
    <col min="6" max="6" width="30.9583333333333" style="15" customWidth="1"/>
    <col min="7" max="9" width="25.8333333333333" style="15" customWidth="1"/>
    <col min="10" max="16384" width="8.83333333333333" style="15"/>
  </cols>
  <sheetData>
    <row r="1" s="12" customFormat="1" customHeight="1" spans="1:5">
      <c r="A1" s="17" t="s">
        <v>4</v>
      </c>
      <c r="B1" s="17" t="s">
        <v>5</v>
      </c>
      <c r="C1" s="18"/>
      <c r="D1" s="18"/>
      <c r="E1" s="18"/>
    </row>
    <row r="2" s="12" customFormat="1" customHeight="1" spans="1:5">
      <c r="A2" s="19" t="str">
        <f>IF(Revision!A4="","",Revision!A4)</f>
        <v>B747 BUD</v>
      </c>
      <c r="B2" s="19" t="str">
        <f>IF(Revision!B4="","",Revision!B4)</f>
        <v>Ramp</v>
      </c>
      <c r="C2" s="20"/>
      <c r="D2" s="18"/>
      <c r="E2" s="18"/>
    </row>
    <row r="3" s="12" customFormat="1" customHeight="1" spans="1:5">
      <c r="A3" s="17" t="s">
        <v>8</v>
      </c>
      <c r="B3" s="17" t="s">
        <v>9</v>
      </c>
      <c r="C3" s="18"/>
      <c r="D3" s="18"/>
      <c r="E3" s="18"/>
    </row>
    <row r="4" s="12" customFormat="1" ht="101" spans="1:5">
      <c r="A4" s="21" t="str">
        <f>Revision!A11</f>
        <v>160-05811-B(Mirror 160-05815-B)
160-05812-B(Mirror 160-05816-B)
160-05813-B(Mirror 160-05817-B)
160-05814-B(Mirror 160-05816-B)
806-55638-A(Mirror 806-55645-A)
613-35102-B(Mirror 613-35106-B)</v>
      </c>
      <c r="B4" s="19" t="str">
        <f>Revision!B11</f>
        <v>Rel</v>
      </c>
      <c r="C4" s="20"/>
      <c r="D4" s="18"/>
      <c r="E4" s="30"/>
    </row>
    <row r="5" s="12" customFormat="1" ht="7" customHeight="1" spans="5:5">
      <c r="E5" s="31"/>
    </row>
    <row r="6" s="12" customFormat="1" customHeight="1" spans="1:9">
      <c r="A6" s="22" t="s">
        <v>425</v>
      </c>
      <c r="B6" s="23"/>
      <c r="C6" s="23"/>
      <c r="D6" s="23"/>
      <c r="E6" s="23"/>
      <c r="F6" s="32"/>
      <c r="G6" s="22" t="s">
        <v>426</v>
      </c>
      <c r="H6" s="23"/>
      <c r="I6" s="32"/>
    </row>
    <row r="7" s="13" customFormat="1" customHeight="1" spans="1:9">
      <c r="A7" s="24" t="s">
        <v>427</v>
      </c>
      <c r="B7" s="24" t="s">
        <v>428</v>
      </c>
      <c r="C7" s="24" t="s">
        <v>429</v>
      </c>
      <c r="D7" s="24" t="s">
        <v>430</v>
      </c>
      <c r="E7" s="24" t="s">
        <v>431</v>
      </c>
      <c r="F7" s="24" t="s">
        <v>432</v>
      </c>
      <c r="G7" s="24" t="s">
        <v>433</v>
      </c>
      <c r="H7" s="24" t="s">
        <v>434</v>
      </c>
      <c r="I7" s="24" t="s">
        <v>435</v>
      </c>
    </row>
    <row r="8" s="14" customFormat="1" ht="34" customHeight="1" spans="1:9">
      <c r="A8" s="25" t="s">
        <v>436</v>
      </c>
      <c r="B8" s="26" t="s">
        <v>437</v>
      </c>
      <c r="C8" s="26"/>
      <c r="D8" s="26" t="s">
        <v>438</v>
      </c>
      <c r="E8" s="33" t="s">
        <v>439</v>
      </c>
      <c r="F8" s="34" t="s">
        <v>440</v>
      </c>
      <c r="G8" s="34" t="s">
        <v>73</v>
      </c>
      <c r="H8" s="34" t="s">
        <v>84</v>
      </c>
      <c r="I8" s="34" t="s">
        <v>73</v>
      </c>
    </row>
    <row r="9" s="14" customFormat="1" ht="34" customHeight="1" spans="1:9">
      <c r="A9" s="25" t="s">
        <v>441</v>
      </c>
      <c r="B9" s="26" t="s">
        <v>442</v>
      </c>
      <c r="C9" s="26"/>
      <c r="D9" s="26" t="s">
        <v>443</v>
      </c>
      <c r="E9" s="33" t="s">
        <v>439</v>
      </c>
      <c r="F9" s="34" t="s">
        <v>444</v>
      </c>
      <c r="G9" s="34" t="s">
        <v>84</v>
      </c>
      <c r="H9" s="34" t="s">
        <v>84</v>
      </c>
      <c r="I9" s="34" t="s">
        <v>73</v>
      </c>
    </row>
    <row r="10" s="14" customFormat="1" ht="34" customHeight="1" spans="1:9">
      <c r="A10" s="25" t="s">
        <v>445</v>
      </c>
      <c r="B10" s="27"/>
      <c r="C10" s="27"/>
      <c r="D10" s="26" t="s">
        <v>446</v>
      </c>
      <c r="E10" s="26" t="s">
        <v>439</v>
      </c>
      <c r="F10" s="34" t="s">
        <v>447</v>
      </c>
      <c r="G10" s="34" t="s">
        <v>73</v>
      </c>
      <c r="H10" s="34" t="s">
        <v>448</v>
      </c>
      <c r="I10" s="34" t="s">
        <v>73</v>
      </c>
    </row>
    <row r="11" s="14" customFormat="1" ht="34" customHeight="1" spans="1:9">
      <c r="A11" s="27" t="s">
        <v>449</v>
      </c>
      <c r="B11" s="26" t="s">
        <v>437</v>
      </c>
      <c r="C11" s="26"/>
      <c r="D11" s="26" t="s">
        <v>438</v>
      </c>
      <c r="E11" s="33" t="s">
        <v>439</v>
      </c>
      <c r="F11" s="34" t="s">
        <v>440</v>
      </c>
      <c r="G11" s="34" t="s">
        <v>73</v>
      </c>
      <c r="H11" s="34" t="s">
        <v>84</v>
      </c>
      <c r="I11" s="34" t="s">
        <v>73</v>
      </c>
    </row>
    <row r="12" s="14" customFormat="1" ht="34" customHeight="1" spans="1:9">
      <c r="A12" s="27" t="s">
        <v>450</v>
      </c>
      <c r="B12" s="26" t="s">
        <v>437</v>
      </c>
      <c r="C12" s="26"/>
      <c r="D12" s="26" t="s">
        <v>438</v>
      </c>
      <c r="E12" s="33" t="s">
        <v>439</v>
      </c>
      <c r="F12" s="34" t="s">
        <v>440</v>
      </c>
      <c r="G12" s="34" t="s">
        <v>448</v>
      </c>
      <c r="H12" s="34" t="s">
        <v>448</v>
      </c>
      <c r="I12" s="34" t="s">
        <v>73</v>
      </c>
    </row>
    <row r="13" s="14" customFormat="1" ht="34" customHeight="1" spans="1:9">
      <c r="A13" s="27" t="s">
        <v>451</v>
      </c>
      <c r="B13" s="26" t="s">
        <v>452</v>
      </c>
      <c r="C13" s="27"/>
      <c r="D13" s="26" t="s">
        <v>446</v>
      </c>
      <c r="E13" s="26" t="s">
        <v>16</v>
      </c>
      <c r="F13" s="34" t="s">
        <v>453</v>
      </c>
      <c r="G13" s="34" t="s">
        <v>84</v>
      </c>
      <c r="H13" s="34" t="s">
        <v>108</v>
      </c>
      <c r="I13" s="34" t="s">
        <v>108</v>
      </c>
    </row>
    <row r="14" s="14" customFormat="1" ht="34" customHeight="1" spans="1:9">
      <c r="A14" s="27" t="s">
        <v>454</v>
      </c>
      <c r="B14" s="26" t="s">
        <v>452</v>
      </c>
      <c r="C14" s="27"/>
      <c r="D14" s="26" t="s">
        <v>446</v>
      </c>
      <c r="E14" s="26" t="s">
        <v>16</v>
      </c>
      <c r="F14" s="34" t="s">
        <v>453</v>
      </c>
      <c r="G14" s="34" t="s">
        <v>73</v>
      </c>
      <c r="H14" s="34" t="s">
        <v>70</v>
      </c>
      <c r="I14" s="34" t="s">
        <v>73</v>
      </c>
    </row>
    <row r="15" s="14" customFormat="1" ht="34" customHeight="1" spans="1:9">
      <c r="A15" s="28"/>
      <c r="B15" s="28"/>
      <c r="C15" s="28"/>
      <c r="D15" s="29"/>
      <c r="E15" s="29"/>
      <c r="F15" s="35"/>
      <c r="G15" s="35"/>
      <c r="H15" s="35"/>
      <c r="I15" s="35"/>
    </row>
    <row r="16" s="14" customFormat="1" ht="34" customHeight="1" spans="1:9">
      <c r="A16" s="28"/>
      <c r="B16" s="28"/>
      <c r="C16" s="28"/>
      <c r="D16" s="29"/>
      <c r="E16" s="29"/>
      <c r="F16" s="35"/>
      <c r="G16" s="35"/>
      <c r="H16" s="35"/>
      <c r="I16" s="35"/>
    </row>
    <row r="17" s="14" customFormat="1" ht="34" customHeight="1" spans="1:9">
      <c r="A17" s="28"/>
      <c r="B17" s="28"/>
      <c r="C17" s="28"/>
      <c r="D17" s="29"/>
      <c r="E17" s="36"/>
      <c r="F17" s="35"/>
      <c r="G17" s="35"/>
      <c r="H17" s="35"/>
      <c r="I17" s="35"/>
    </row>
    <row r="18" s="14" customFormat="1" ht="34" customHeight="1" spans="1:9">
      <c r="A18" s="28"/>
      <c r="B18" s="28"/>
      <c r="C18" s="28"/>
      <c r="D18" s="29"/>
      <c r="E18" s="36"/>
      <c r="F18" s="35"/>
      <c r="G18" s="35"/>
      <c r="H18" s="35"/>
      <c r="I18" s="35"/>
    </row>
    <row r="19" s="14" customFormat="1" ht="34" customHeight="1" spans="1:9">
      <c r="A19" s="28"/>
      <c r="B19" s="28"/>
      <c r="C19" s="28"/>
      <c r="D19" s="29"/>
      <c r="E19" s="36"/>
      <c r="F19" s="35"/>
      <c r="G19" s="35"/>
      <c r="H19" s="35"/>
      <c r="I19" s="35"/>
    </row>
    <row r="20" s="14" customFormat="1" ht="34" customHeight="1" spans="1:9">
      <c r="A20" s="28"/>
      <c r="B20" s="28"/>
      <c r="C20" s="28"/>
      <c r="D20" s="29"/>
      <c r="E20" s="36"/>
      <c r="F20" s="35"/>
      <c r="G20" s="35"/>
      <c r="H20" s="35"/>
      <c r="I20" s="35"/>
    </row>
    <row r="21" s="14" customFormat="1" ht="34" customHeight="1" spans="1:9">
      <c r="A21" s="28"/>
      <c r="B21" s="28"/>
      <c r="C21" s="28"/>
      <c r="D21" s="29"/>
      <c r="E21" s="36"/>
      <c r="F21" s="35"/>
      <c r="G21" s="35"/>
      <c r="H21" s="35"/>
      <c r="I21" s="35"/>
    </row>
    <row r="22" s="14" customFormat="1" ht="34" customHeight="1" spans="1:9">
      <c r="A22" s="28"/>
      <c r="B22" s="28"/>
      <c r="C22" s="28"/>
      <c r="D22" s="29"/>
      <c r="E22" s="37"/>
      <c r="F22" s="35"/>
      <c r="G22" s="35"/>
      <c r="H22" s="35"/>
      <c r="I22" s="35"/>
    </row>
    <row r="23" s="14" customFormat="1" ht="34" customHeight="1" spans="1:9">
      <c r="A23" s="28"/>
      <c r="B23" s="28"/>
      <c r="C23" s="28"/>
      <c r="D23" s="29"/>
      <c r="E23" s="29"/>
      <c r="F23" s="35"/>
      <c r="G23" s="35"/>
      <c r="H23" s="35"/>
      <c r="I23" s="35"/>
    </row>
    <row r="24" s="14" customFormat="1" ht="34" customHeight="1" spans="1:9">
      <c r="A24" s="28"/>
      <c r="B24" s="28"/>
      <c r="C24" s="28"/>
      <c r="D24" s="29"/>
      <c r="E24" s="29"/>
      <c r="F24" s="35"/>
      <c r="G24" s="35"/>
      <c r="H24" s="35"/>
      <c r="I24" s="35"/>
    </row>
    <row r="25" s="14" customFormat="1" ht="34" customHeight="1" spans="1:9">
      <c r="A25" s="28"/>
      <c r="B25" s="28"/>
      <c r="C25" s="28"/>
      <c r="D25" s="29"/>
      <c r="E25" s="29"/>
      <c r="F25" s="35"/>
      <c r="G25" s="35"/>
      <c r="H25" s="35"/>
      <c r="I25" s="35"/>
    </row>
    <row r="26" s="14" customFormat="1" ht="34" customHeight="1" spans="1:9">
      <c r="A26" s="28"/>
      <c r="B26" s="28"/>
      <c r="C26" s="28"/>
      <c r="D26" s="29"/>
      <c r="E26" s="29"/>
      <c r="F26" s="35"/>
      <c r="G26" s="35"/>
      <c r="H26" s="35"/>
      <c r="I26" s="35"/>
    </row>
    <row r="27" s="14" customFormat="1" ht="34" customHeight="1" spans="1:9">
      <c r="A27" s="28"/>
      <c r="B27" s="28"/>
      <c r="C27" s="28"/>
      <c r="D27" s="29"/>
      <c r="E27" s="29"/>
      <c r="F27" s="35"/>
      <c r="G27" s="35"/>
      <c r="H27" s="35"/>
      <c r="I27" s="35"/>
    </row>
    <row r="28" s="14" customFormat="1" ht="34" customHeight="1" spans="1:9">
      <c r="A28" s="28"/>
      <c r="B28" s="28"/>
      <c r="C28" s="28"/>
      <c r="D28" s="29"/>
      <c r="E28" s="29"/>
      <c r="F28" s="35"/>
      <c r="G28" s="35"/>
      <c r="H28" s="35"/>
      <c r="I28" s="35"/>
    </row>
    <row r="29" s="14" customFormat="1" ht="34" customHeight="1" spans="1:9">
      <c r="A29" s="28"/>
      <c r="B29" s="28"/>
      <c r="C29" s="28"/>
      <c r="D29" s="29"/>
      <c r="E29" s="29"/>
      <c r="F29" s="35"/>
      <c r="G29" s="35"/>
      <c r="H29" s="35"/>
      <c r="I29" s="35"/>
    </row>
  </sheetData>
  <sheetProtection sort="0" autoFilter="0" pivotTables="0"/>
  <mergeCells count="2">
    <mergeCell ref="A6:F6"/>
    <mergeCell ref="G6:I6"/>
  </mergeCells>
  <pageMargins left="0" right="0" top="0" bottom="0" header="0" footer="0"/>
  <pageSetup paperSize="1" scale="53" orientation="landscape"/>
  <headerFooter/>
  <rowBreaks count="1" manualBreakCount="1">
    <brk id="21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115"/>
  <sheetViews>
    <sheetView showGridLines="0" zoomScale="84" zoomScaleNormal="84" workbookViewId="0">
      <selection activeCell="I17" sqref="I17"/>
    </sheetView>
  </sheetViews>
  <sheetFormatPr defaultColWidth="11" defaultRowHeight="22" customHeight="1"/>
  <cols>
    <col min="1" max="1" width="5.5" style="2" customWidth="1"/>
    <col min="2" max="2" width="10.8333333333333" style="2" customWidth="1"/>
    <col min="3" max="3" width="14.8333333333333" style="2" customWidth="1"/>
    <col min="4" max="4" width="98.3333333333333" style="2" customWidth="1"/>
    <col min="5" max="15" width="10.8333333333333" style="2" customWidth="1"/>
    <col min="16" max="16384" width="10.8333333333333" style="2"/>
  </cols>
  <sheetData>
    <row r="2" customHeight="1" spans="2:13">
      <c r="B2" s="3" t="s">
        <v>455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customHeight="1" spans="1:13">
      <c r="A3" s="5">
        <v>1</v>
      </c>
      <c r="B3" s="4" t="s">
        <v>456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ht="17.6" spans="1:2">
      <c r="A4" s="5">
        <v>2</v>
      </c>
      <c r="B4" s="2" t="s">
        <v>457</v>
      </c>
    </row>
    <row r="5" customHeight="1" spans="1:2">
      <c r="A5" s="5">
        <v>3</v>
      </c>
      <c r="B5" s="2" t="s">
        <v>458</v>
      </c>
    </row>
    <row r="6" customHeight="1" spans="1:13">
      <c r="A6" s="5">
        <v>4</v>
      </c>
      <c r="B6" s="2" t="s">
        <v>459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customHeight="1" spans="1:13">
      <c r="A7" s="5">
        <v>5</v>
      </c>
      <c r="B7" s="2" t="s">
        <v>460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customHeight="1" spans="1:13">
      <c r="A8" s="5">
        <v>6</v>
      </c>
      <c r="B8" s="2" t="s">
        <v>461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customHeight="1" spans="1:13">
      <c r="A9" s="5">
        <v>7</v>
      </c>
      <c r="B9" s="2" t="s">
        <v>462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customHeight="1" spans="1:13">
      <c r="A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customHeight="1" spans="2:2">
      <c r="B11" s="7" t="s">
        <v>463</v>
      </c>
    </row>
    <row r="35" customHeight="1" spans="2:2">
      <c r="B35" s="7" t="s">
        <v>464</v>
      </c>
    </row>
    <row r="60" customHeight="1" spans="2:2">
      <c r="B60" s="7" t="s">
        <v>465</v>
      </c>
    </row>
    <row r="81" customHeight="1" spans="2:2">
      <c r="B81" s="7" t="s">
        <v>466</v>
      </c>
    </row>
    <row r="108" customHeight="1" spans="2:2">
      <c r="B108" s="3" t="s">
        <v>467</v>
      </c>
    </row>
    <row r="109" s="1" customFormat="1" customHeight="1" spans="2:4">
      <c r="B109" s="8" t="s">
        <v>20</v>
      </c>
      <c r="C109" s="8" t="s">
        <v>21</v>
      </c>
      <c r="D109" s="8" t="s">
        <v>9</v>
      </c>
    </row>
    <row r="110" customHeight="1" spans="2:4">
      <c r="B110" s="9">
        <v>1</v>
      </c>
      <c r="C110" s="10">
        <v>45443</v>
      </c>
      <c r="D110" s="11" t="s">
        <v>468</v>
      </c>
    </row>
    <row r="111" customHeight="1" spans="2:4">
      <c r="B111" s="9">
        <v>2</v>
      </c>
      <c r="C111" s="10">
        <v>45477</v>
      </c>
      <c r="D111" s="11" t="s">
        <v>469</v>
      </c>
    </row>
    <row r="112" customHeight="1" spans="2:4">
      <c r="B112" s="9">
        <v>3</v>
      </c>
      <c r="C112" s="10">
        <v>45482</v>
      </c>
      <c r="D112" s="11" t="s">
        <v>470</v>
      </c>
    </row>
    <row r="113" customHeight="1" spans="2:4">
      <c r="B113" s="9">
        <v>4</v>
      </c>
      <c r="C113" s="10">
        <v>45509</v>
      </c>
      <c r="D113" s="11" t="s">
        <v>471</v>
      </c>
    </row>
    <row r="114" customHeight="1" spans="2:4">
      <c r="B114" s="9">
        <v>5</v>
      </c>
      <c r="C114" s="10">
        <v>45513</v>
      </c>
      <c r="D114" s="11" t="s">
        <v>472</v>
      </c>
    </row>
    <row r="115" customHeight="1" spans="2:4">
      <c r="B115" s="9">
        <v>6</v>
      </c>
      <c r="C115" s="10">
        <v>45518</v>
      </c>
      <c r="D115" s="11" t="s">
        <v>470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Revision</vt:lpstr>
      <vt:lpstr>IQC</vt:lpstr>
      <vt:lpstr>Machining</vt:lpstr>
      <vt:lpstr>Surface Treatment</vt:lpstr>
      <vt:lpstr>Assembing</vt:lpstr>
      <vt:lpstr>OQC</vt:lpstr>
      <vt:lpstr>Rel</vt:lpstr>
      <vt:lpstr>Instruction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 Yu</dc:creator>
  <cp:lastModifiedBy>WPS_1661306727</cp:lastModifiedBy>
  <dcterms:created xsi:type="dcterms:W3CDTF">2024-06-05T17:55:00Z</dcterms:created>
  <dcterms:modified xsi:type="dcterms:W3CDTF">2025-09-18T10:08:08Z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2052-6.5.2.8766</vt:lpwstr>
  </property>
  <property fmtid="{D5CDD505-2E9C-101B-9397-08002B2CF9AE}" pid="3" name="ICV">
    <vt:lpwstr>3733CDE21D211AB06615ED6622430877_43</vt:lpwstr>
  </property>
</Properties>
</file>
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BH47NPI良率统计 " sheetId="7" r:id="rId1"/>
  </sheets>
  <definedNames>
    <definedName name="_xlnm._FilterDatabase" localSheetId="0" hidden="1">'BH47NPI良率统计 '!$A$3:$AP$91</definedName>
  </definedNames>
  <calcPr calcId="144525"/>
</workbook>
</file>

<file path=xl/comments1.xml><?xml version="1.0" encoding="utf-8"?>
<comments xmlns="http://schemas.openxmlformats.org/spreadsheetml/2006/main">
  <authors>
    <author>windows7x64</author>
  </authors>
  <commentList>
    <comment ref="T4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磁钢1:131
磁钢2:9
磁钢4:21</t>
        </r>
      </text>
    </comment>
    <comment ref="Y4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磁钢1:157
磁钢2:63
磁钢3:41
磁钢4:9
磁钢4:9</t>
        </r>
      </text>
    </comment>
    <comment ref="T4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磁钢1:131
磁钢2:6
磁钢3:3
磁钢4:18
</t>
        </r>
      </text>
    </comment>
    <comment ref="Y4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磁钢1:166
磁钢2:45
磁钢3:39
磁钢4:11</t>
        </r>
      </text>
    </comment>
    <comment ref="T4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磁钢1:159
磁钢2:4
磁钢3:3
磁钢4:13
</t>
        </r>
      </text>
    </comment>
    <comment ref="Y4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磁钢1:113
磁钢2:63
磁钢3:35
磁钢4;20</t>
        </r>
      </text>
    </comment>
    <comment ref="T4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磁钢1:115
磁钢3:3
磁钢4:13</t>
        </r>
      </text>
    </comment>
    <comment ref="Y4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磁钢1:135
磁钢2:33
磁钢3:32
磁钢4:20</t>
        </r>
      </text>
    </comment>
    <comment ref="T4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磁钢1:205
磁钢2:14
磁钢3:9
磁钢4:28</t>
        </r>
      </text>
    </comment>
    <comment ref="Y4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磁钢1:89
磁钢2:33
磁钢3:32
磁钢4:11</t>
        </r>
      </text>
    </comment>
    <comment ref="T4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磁钢1:93
磁钢2:6
磁钢3:3
磁钢4:16</t>
        </r>
      </text>
    </comment>
    <comment ref="Y4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磁钢1:49
磁钢2:23
磁钢3:28
磁钢4:5</t>
        </r>
      </text>
    </comment>
    <comment ref="T5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磁钢1:88
磁钢2:3
磁钢3:4
磁钢4:7</t>
        </r>
      </text>
    </comment>
    <comment ref="Y5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磁钢1:34
磁钢2:4
磁钢3:28
磁钢4:4</t>
        </r>
      </text>
    </comment>
    <comment ref="T5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磁钢1:115
磁钢2:8
磁钢3:3
磁钢4:17</t>
        </r>
      </text>
    </comment>
    <comment ref="Y5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磁钢1:58
磁钢2:14
磁钢3:28
磁钢4:26
</t>
        </r>
      </text>
    </comment>
    <comment ref="T52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磁钢1:122
磁钢2:4
磁钢3:8
磁钢4:20</t>
        </r>
      </text>
    </comment>
    <comment ref="Y52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磁钢1:64
磁钢2:17
磁钢3:31
磁钢4:38</t>
        </r>
      </text>
    </comment>
    <comment ref="T5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磁钢1:114
磁钢2:4
磁钢3:6
磁钢4:8</t>
        </r>
      </text>
    </comment>
    <comment ref="Y5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磁钢1:33
磁钢2:67
磁钢3:27
磁钢4:12</t>
        </r>
      </text>
    </comment>
    <comment ref="T5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磁钢1:90
磁钢2:9
磁钢3:3
磁钢4:3</t>
        </r>
      </text>
    </comment>
    <comment ref="Y5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磁钢1:62
磁钢2:8
磁钢3:6
磁钢4:3</t>
        </r>
      </text>
    </comment>
    <comment ref="T5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磁钢1:115
磁钢2:15
磁钢3:10
磁钢4:4</t>
        </r>
      </text>
    </comment>
    <comment ref="Y5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磁钢1:48
磁钢2:17
磁钢3:13
磁钢4:6</t>
        </r>
      </text>
    </comment>
    <comment ref="T5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磁钢1:74
磁钢2:53
磁钢3:3
磁钢4:7</t>
        </r>
      </text>
    </comment>
    <comment ref="Y5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磁钢1:28
磁钢2:11
磁钢3:27
磁钢4:4
</t>
        </r>
      </text>
    </comment>
    <comment ref="T5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磁钢1:171
磁钢2:9
磁钢3:2
磁钢4:55</t>
        </r>
      </text>
    </comment>
    <comment ref="Y5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磁钢1:64
磁钢2:41
磁钢3:3
磁钢4:1</t>
        </r>
      </text>
    </comment>
    <comment ref="T5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磁钢1:115
磁钢2:12
磁钢3:1
磁钢4:8</t>
        </r>
      </text>
    </comment>
    <comment ref="Y5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磁钢1:52
磁钢2:23
磁钢3:17
磁钢4:7</t>
        </r>
      </text>
    </comment>
    <comment ref="T5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磁钢1:116
磁钢2:1
磁钢4:11</t>
        </r>
      </text>
    </comment>
    <comment ref="Y5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磁钢1;33
磁钢2:12
磁钢4:16</t>
        </r>
      </text>
    </comment>
    <comment ref="T6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磁钢1:104
磁钢4:20</t>
        </r>
      </text>
    </comment>
    <comment ref="Y6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磁钢1:54
磁钢2:7
磁钢3:4
磁钢4:21</t>
        </r>
      </text>
    </comment>
    <comment ref="T6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磁钢1:182
磁钢2:51
磁钢3:3
磁钢4:2</t>
        </r>
      </text>
    </comment>
    <comment ref="Y6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磁钢1:58
磁钢2:14
磁钢3:8
磁钢4:2</t>
        </r>
      </text>
    </comment>
    <comment ref="T62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磁钢1:158
磁钢2:25
磁钢3:4
磁钢4:5</t>
        </r>
      </text>
    </comment>
    <comment ref="Y62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磁钢1:30
磁钢2:8
磁钢3:6
磁钢4:1</t>
        </r>
      </text>
    </comment>
    <comment ref="T6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磁钢1:231
磁钢2:12
磁钢3:5
磁钢4:46</t>
        </r>
      </text>
    </comment>
    <comment ref="Y6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
磁钢2:26
磁钢3:36
磁钢4:1</t>
        </r>
      </text>
    </comment>
    <comment ref="T6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磁钢1:185
磁钢2:20
磁钢3:24
磁钢4:15</t>
        </r>
      </text>
    </comment>
    <comment ref="Y6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磁钢1:12
磁钢2:5
磁钢3:3
磁钢4:12</t>
        </r>
      </text>
    </comment>
    <comment ref="T6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磁钢1:94
磁钢2:3
磁钢4:33</t>
        </r>
      </text>
    </comment>
    <comment ref="Y6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磁钢1:27
磁钢2:3
磁钢3:5</t>
        </r>
      </text>
    </comment>
    <comment ref="T6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磁钢1:153
磁钢2:5
磁钢3:5
磁钢4:17</t>
        </r>
      </text>
    </comment>
    <comment ref="Y6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磁钢1:10</t>
        </r>
      </text>
    </comment>
    <comment ref="T67" authorId="0">
      <text>
        <r>
          <rPr>
            <b/>
            <sz val="9"/>
            <rFont val="宋体"/>
            <charset val="134"/>
          </rPr>
          <t>磁钢1:154
磁钢2:5
磁钢3:5
磁钢4:24</t>
        </r>
      </text>
    </comment>
    <comment ref="Y6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</t>
        </r>
      </text>
    </comment>
    <comment ref="T6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磁钢1:115
磁钢4:47</t>
        </r>
      </text>
    </comment>
    <comment ref="Y6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磁钢1:21
磁钢2:4
磁钢3:10
磁钢4:5</t>
        </r>
      </text>
    </comment>
    <comment ref="T6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磁钢1:84
磁钢2:11
磁钢3:14
磁钢4:34</t>
        </r>
      </text>
    </comment>
    <comment ref="Y6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磁钢1:26
磁钢3:7
磁钢4：8</t>
        </r>
      </text>
    </comment>
    <comment ref="T7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磁钢1:199
磁钢2:7
磁钢4:11</t>
        </r>
      </text>
    </comment>
    <comment ref="Y7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磁钢1:18
磁钢4:5</t>
        </r>
      </text>
    </comment>
    <comment ref="T7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磁钢1:153
磁钢2:3
磁钢3:1
磁钢4:44</t>
        </r>
      </text>
    </comment>
    <comment ref="Y71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磁钢1:14
磁钢2：7
磁钢4:6</t>
        </r>
      </text>
    </comment>
    <comment ref="T72" authorId="0">
      <text>
        <r>
          <rPr>
            <b/>
            <sz val="9"/>
            <rFont val="宋体"/>
            <charset val="134"/>
          </rPr>
          <t xml:space="preserve">windows7x64:
</t>
        </r>
        <r>
          <rPr>
            <sz val="9"/>
            <rFont val="宋体"/>
            <charset val="134"/>
          </rPr>
          <t>磁钢1:126
磁钢4:9</t>
        </r>
      </text>
    </comment>
    <comment ref="Y72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磁钢2:3
磁钢4:3</t>
        </r>
      </text>
    </comment>
    <comment ref="T7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磁钢1:167
磁钢4:15</t>
        </r>
      </text>
    </comment>
    <comment ref="Y73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磁钢1:10
磁钢2:4
磁钢3:4
磁钢4:8</t>
        </r>
      </text>
    </comment>
    <comment ref="T7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磁钢1:163
磁钢2:1
磁钢3:1
磁钢4:48</t>
        </r>
      </text>
    </comment>
    <comment ref="Y74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磁钢1:15
磁钢2:1
磁钢4:3</t>
        </r>
      </text>
    </comment>
    <comment ref="T7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磁钢1:137
磁钢3:9
磁钢4:23</t>
        </r>
      </text>
    </comment>
    <comment ref="Y75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磁钢1:11
磁钢4:4</t>
        </r>
      </text>
    </comment>
    <comment ref="T7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磁钢1:248
磁钢2:4
磁钢3:5
磁钢4:19</t>
        </r>
      </text>
    </comment>
    <comment ref="Y76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磁钢1:6</t>
        </r>
      </text>
    </comment>
    <comment ref="T7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磁钢1:191
磁钢2:3
磁钢3:1
磁钢4:23</t>
        </r>
      </text>
    </comment>
    <comment ref="Y77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磁钢1:8
磁钢2:2
磁钢3:3
磁钢4:3</t>
        </r>
      </text>
    </comment>
    <comment ref="T7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磁钢1:137
磁钢4:23</t>
        </r>
      </text>
    </comment>
    <comment ref="Y78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磁钢1:13
磁钢4:2</t>
        </r>
      </text>
    </comment>
    <comment ref="T79" authorId="0">
      <text>
        <r>
          <rPr>
            <b/>
            <sz val="9"/>
            <rFont val="宋体"/>
            <charset val="134"/>
          </rPr>
          <t>windows7x64
磁钢1:142
磁钢2:7
磁钢3:3
磁钢4:25</t>
        </r>
      </text>
    </comment>
    <comment ref="Y79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磁钢1:18
磁钢2:3
磁钢4:2</t>
        </r>
      </text>
    </comment>
    <comment ref="T8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磁钢1:190
磁钢2:4
磁钢3:3
磁钢4:11</t>
        </r>
      </text>
    </comment>
    <comment ref="Y80" authorId="0">
      <text>
        <r>
          <rPr>
            <b/>
            <sz val="9"/>
            <rFont val="宋体"/>
            <charset val="134"/>
          </rPr>
          <t>windows7x64:</t>
        </r>
        <r>
          <rPr>
            <sz val="9"/>
            <rFont val="宋体"/>
            <charset val="134"/>
          </rPr>
          <t xml:space="preserve">
磁钢1:12
磁钢2:3
磁钢4:2</t>
        </r>
      </text>
    </comment>
  </commentList>
</comments>
</file>

<file path=xl/sharedStrings.xml><?xml version="1.0" encoding="utf-8"?>
<sst xmlns="http://schemas.openxmlformats.org/spreadsheetml/2006/main" count="67">
  <si>
    <t>BH47NPI良率状况</t>
  </si>
  <si>
    <t>日期</t>
  </si>
  <si>
    <t>项目编号</t>
  </si>
  <si>
    <t>班别</t>
  </si>
  <si>
    <t>图号</t>
  </si>
  <si>
    <t>组装</t>
  </si>
  <si>
    <t>包装</t>
  </si>
  <si>
    <t>良率汇总</t>
  </si>
  <si>
    <t>不良项汇总</t>
  </si>
  <si>
    <t xml:space="preserve">投入人力H </t>
  </si>
  <si>
    <t>投入数量</t>
  </si>
  <si>
    <t>良品数</t>
  </si>
  <si>
    <t>不良汇总</t>
  </si>
  <si>
    <t>良率</t>
  </si>
  <si>
    <t>包装投入</t>
  </si>
  <si>
    <t>直通率</t>
  </si>
  <si>
    <t>断裂</t>
  </si>
  <si>
    <t>颗粒</t>
  </si>
  <si>
    <t>缺角</t>
  </si>
  <si>
    <t>气孔</t>
  </si>
  <si>
    <t>起泡</t>
  </si>
  <si>
    <t>切割不良</t>
  </si>
  <si>
    <t>脏污</t>
  </si>
  <si>
    <t>镭雕不良</t>
  </si>
  <si>
    <t>调机不良</t>
  </si>
  <si>
    <t>划伤/压伤</t>
  </si>
  <si>
    <t>刀丝</t>
  </si>
  <si>
    <t>镀层划伤</t>
  </si>
  <si>
    <t>漏铜</t>
  </si>
  <si>
    <t>磁钢错位</t>
  </si>
  <si>
    <t>磁钢间隙</t>
  </si>
  <si>
    <t>吸力</t>
  </si>
  <si>
    <t>磁钢脱落</t>
  </si>
  <si>
    <t>OMM不良</t>
  </si>
  <si>
    <t>钢片偏移</t>
  </si>
  <si>
    <t>平面度不良</t>
  </si>
  <si>
    <t>宽度规NG</t>
  </si>
  <si>
    <t>外形规NG</t>
  </si>
  <si>
    <t>钢片变形</t>
  </si>
  <si>
    <t>磁力线异常</t>
  </si>
  <si>
    <t>异色</t>
  </si>
  <si>
    <t>其他</t>
  </si>
  <si>
    <t>备注</t>
  </si>
  <si>
    <t>BH47</t>
  </si>
  <si>
    <t>D/N</t>
  </si>
  <si>
    <t>送检测262套</t>
  </si>
  <si>
    <t>送检测288套</t>
  </si>
  <si>
    <t>送检测184套</t>
  </si>
  <si>
    <t>送检测90套</t>
  </si>
  <si>
    <t>送检测50套</t>
  </si>
  <si>
    <t>送检测92套</t>
  </si>
  <si>
    <t>送检测34套</t>
  </si>
  <si>
    <t>送检测95套</t>
  </si>
  <si>
    <t>送检测404套</t>
  </si>
  <si>
    <t>送检测100套</t>
  </si>
  <si>
    <t>送检测130套</t>
  </si>
  <si>
    <t>送检测240套</t>
  </si>
  <si>
    <t>送检测120套</t>
  </si>
  <si>
    <t>送检测128套</t>
  </si>
  <si>
    <t>送检测110套</t>
  </si>
  <si>
    <t>送检测380套</t>
  </si>
  <si>
    <t>送检测80套</t>
  </si>
  <si>
    <t>送检测60套</t>
  </si>
  <si>
    <t>送检测150套</t>
  </si>
  <si>
    <t>送检测180套</t>
  </si>
  <si>
    <t>送检测170套</t>
  </si>
  <si>
    <t>送检测312套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</si>
</sst>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0000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4"/>
      <color theme="1"/>
      <name val="等线"/>
      <charset val="134"/>
      <scheme val="minor"/>
    </font>
    <font>
      <sz val="12"/>
      <name val="宋体"/>
      <charset val="134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6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18" fillId="33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1" xfId="1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0" fontId="0" fillId="4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10" fontId="0" fillId="5" borderId="1" xfId="0" applyNumberFormat="1" applyFont="1" applyFill="1" applyBorder="1" applyAlignment="1">
      <alignment vertical="center"/>
    </xf>
    <xf numFmtId="0" fontId="0" fillId="0" borderId="1" xfId="1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58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11" applyNumberFormat="1" applyFont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3" xfId="50"/>
    <cellStyle name="千位分隔 2" xfId="5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D446@XD346NPI&#33391;&#29575;&#29366;&#20917;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98"/>
  <sheetViews>
    <sheetView tabSelected="1" zoomScale="85" zoomScaleNormal="85" workbookViewId="0">
      <pane ySplit="3" topLeftCell="A75" activePane="bottomLeft" state="frozen"/>
      <selection/>
      <selection pane="bottomLeft" activeCell="AB83" sqref="AB83"/>
    </sheetView>
  </sheetViews>
  <sheetFormatPr defaultColWidth="9" defaultRowHeight="33" customHeight="1"/>
  <cols>
    <col min="1" max="1" width="11.625" style="1" customWidth="1"/>
    <col min="2" max="2" width="8.875" style="1" customWidth="1"/>
    <col min="3" max="3" width="5.125" style="1" customWidth="1"/>
    <col min="4" max="4" width="10.5833333333333" style="1" customWidth="1"/>
    <col min="5" max="5" width="10.125" style="1" customWidth="1"/>
    <col min="6" max="6" width="8.875" style="1" customWidth="1"/>
    <col min="7" max="7" width="7" style="1" customWidth="1"/>
    <col min="8" max="8" width="8.875" style="1" customWidth="1"/>
    <col min="9" max="9" width="7.375" style="1" customWidth="1"/>
    <col min="10" max="10" width="8.875" style="2" customWidth="1"/>
    <col min="11" max="11" width="7" style="1" customWidth="1"/>
    <col min="12" max="12" width="8.875" style="1" customWidth="1"/>
    <col min="13" max="13" width="8.375" style="1" customWidth="1"/>
    <col min="14" max="14" width="11.25" style="1" customWidth="1"/>
    <col min="15" max="15" width="5.375" style="1" customWidth="1"/>
    <col min="16" max="24" width="4.375" style="1" customWidth="1"/>
    <col min="25" max="25" width="5.375" style="1" customWidth="1"/>
    <col min="26" max="32" width="4.375" style="1" customWidth="1"/>
    <col min="33" max="35" width="4.5" style="1" customWidth="1"/>
    <col min="36" max="40" width="4.375" style="1" customWidth="1"/>
    <col min="41" max="41" width="5.375" style="1" customWidth="1"/>
    <col min="42" max="42" width="22.75" style="1" customWidth="1"/>
    <col min="43" max="16380" width="9" style="1"/>
  </cols>
  <sheetData>
    <row r="1" customHeight="1" spans="1:42">
      <c r="A1" s="3" t="s">
        <v>0</v>
      </c>
      <c r="B1" s="4"/>
      <c r="C1" s="4"/>
      <c r="D1" s="4"/>
      <c r="E1" s="4"/>
      <c r="F1" s="4"/>
      <c r="G1" s="4"/>
      <c r="H1" s="4"/>
      <c r="I1" s="4"/>
      <c r="J1" s="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customHeight="1" spans="1:42">
      <c r="A2" s="5" t="s">
        <v>1</v>
      </c>
      <c r="B2" s="5" t="s">
        <v>2</v>
      </c>
      <c r="C2" s="5" t="s">
        <v>3</v>
      </c>
      <c r="D2" s="5"/>
      <c r="E2" s="5" t="s">
        <v>4</v>
      </c>
      <c r="F2" s="4" t="s">
        <v>5</v>
      </c>
      <c r="G2" s="4"/>
      <c r="H2" s="4"/>
      <c r="I2" s="4"/>
      <c r="J2" s="9" t="s">
        <v>6</v>
      </c>
      <c r="K2" s="9"/>
      <c r="L2" s="9"/>
      <c r="M2" s="9"/>
      <c r="N2" s="9" t="s">
        <v>7</v>
      </c>
      <c r="O2" s="4" t="s">
        <v>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53" customHeight="1" spans="1:42">
      <c r="A3" s="5"/>
      <c r="B3" s="5"/>
      <c r="C3" s="5"/>
      <c r="D3" s="5" t="s">
        <v>9</v>
      </c>
      <c r="E3" s="5"/>
      <c r="F3" s="5" t="s">
        <v>10</v>
      </c>
      <c r="G3" s="5" t="s">
        <v>11</v>
      </c>
      <c r="H3" s="5" t="s">
        <v>12</v>
      </c>
      <c r="I3" s="5" t="s">
        <v>13</v>
      </c>
      <c r="J3" s="10" t="s">
        <v>14</v>
      </c>
      <c r="K3" s="5" t="s">
        <v>11</v>
      </c>
      <c r="L3" s="5" t="s">
        <v>12</v>
      </c>
      <c r="M3" s="5" t="s">
        <v>13</v>
      </c>
      <c r="N3" s="11" t="s">
        <v>15</v>
      </c>
      <c r="O3" s="12" t="s">
        <v>8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2" t="s">
        <v>23</v>
      </c>
      <c r="X3" s="17" t="s">
        <v>24</v>
      </c>
      <c r="Y3" s="12" t="s">
        <v>25</v>
      </c>
      <c r="Z3" s="12" t="s">
        <v>26</v>
      </c>
      <c r="AA3" s="12" t="s">
        <v>27</v>
      </c>
      <c r="AB3" s="12" t="s">
        <v>28</v>
      </c>
      <c r="AC3" s="12" t="s">
        <v>29</v>
      </c>
      <c r="AD3" s="12" t="s">
        <v>30</v>
      </c>
      <c r="AE3" s="12" t="s">
        <v>31</v>
      </c>
      <c r="AF3" s="12" t="s">
        <v>32</v>
      </c>
      <c r="AG3" s="12" t="s">
        <v>33</v>
      </c>
      <c r="AH3" s="12" t="s">
        <v>34</v>
      </c>
      <c r="AI3" s="12" t="s">
        <v>35</v>
      </c>
      <c r="AJ3" s="12" t="s">
        <v>36</v>
      </c>
      <c r="AK3" s="12" t="s">
        <v>37</v>
      </c>
      <c r="AL3" s="12" t="s">
        <v>38</v>
      </c>
      <c r="AM3" s="12" t="s">
        <v>39</v>
      </c>
      <c r="AN3" s="12" t="s">
        <v>40</v>
      </c>
      <c r="AO3" s="12" t="s">
        <v>41</v>
      </c>
      <c r="AP3" s="5" t="s">
        <v>42</v>
      </c>
    </row>
    <row r="4" hidden="1" customHeight="1" spans="1:42">
      <c r="A4" s="6">
        <v>45589</v>
      </c>
      <c r="B4" s="7" t="s">
        <v>43</v>
      </c>
      <c r="C4" s="7" t="s">
        <v>44</v>
      </c>
      <c r="D4" s="7">
        <v>180</v>
      </c>
      <c r="E4" s="8">
        <v>5765</v>
      </c>
      <c r="F4" s="7">
        <v>2261</v>
      </c>
      <c r="G4" s="7">
        <v>1942</v>
      </c>
      <c r="H4" s="7">
        <v>319</v>
      </c>
      <c r="I4" s="13">
        <f>G4/F4</f>
        <v>0.85891198584697</v>
      </c>
      <c r="J4" s="14">
        <v>1942</v>
      </c>
      <c r="K4" s="7">
        <v>1355</v>
      </c>
      <c r="L4" s="7">
        <v>325</v>
      </c>
      <c r="M4" s="13">
        <f>K4/(L4+K4)</f>
        <v>0.806547619047619</v>
      </c>
      <c r="N4" s="15">
        <f>I4*M4</f>
        <v>0.692753417156336</v>
      </c>
      <c r="O4" s="16">
        <v>644</v>
      </c>
      <c r="P4" s="7">
        <v>29</v>
      </c>
      <c r="Q4" s="7"/>
      <c r="R4" s="7">
        <v>5</v>
      </c>
      <c r="S4" s="7"/>
      <c r="T4" s="7">
        <v>204</v>
      </c>
      <c r="U4" s="7"/>
      <c r="V4" s="7"/>
      <c r="W4" s="7"/>
      <c r="X4" s="7">
        <v>23</v>
      </c>
      <c r="Y4" s="7">
        <v>48</v>
      </c>
      <c r="Z4" s="7"/>
      <c r="AA4" s="7"/>
      <c r="AB4" s="7"/>
      <c r="AC4" s="7">
        <v>129</v>
      </c>
      <c r="AD4" s="7"/>
      <c r="AE4" s="7"/>
      <c r="AF4" s="7">
        <v>46</v>
      </c>
      <c r="AG4" s="7">
        <v>92</v>
      </c>
      <c r="AH4" s="7"/>
      <c r="AI4" s="7"/>
      <c r="AJ4" s="7">
        <v>30</v>
      </c>
      <c r="AK4" s="7">
        <v>14</v>
      </c>
      <c r="AL4" s="7">
        <v>24</v>
      </c>
      <c r="AM4" s="7"/>
      <c r="AN4" s="7"/>
      <c r="AO4" s="7"/>
      <c r="AP4" s="7" t="s">
        <v>45</v>
      </c>
    </row>
    <row r="5" hidden="1" customHeight="1" spans="1:42">
      <c r="A5" s="6">
        <v>45589</v>
      </c>
      <c r="B5" s="7" t="s">
        <v>43</v>
      </c>
      <c r="C5" s="7" t="s">
        <v>44</v>
      </c>
      <c r="D5" s="7">
        <v>235</v>
      </c>
      <c r="E5" s="8">
        <v>5766</v>
      </c>
      <c r="F5" s="7">
        <v>3147</v>
      </c>
      <c r="G5" s="7">
        <v>2678</v>
      </c>
      <c r="H5" s="7">
        <v>469</v>
      </c>
      <c r="I5" s="13">
        <f>G5/F5</f>
        <v>0.850969176993962</v>
      </c>
      <c r="J5" s="14">
        <v>2678</v>
      </c>
      <c r="K5" s="7">
        <v>2083</v>
      </c>
      <c r="L5" s="7">
        <v>307</v>
      </c>
      <c r="M5" s="13">
        <f>K5/(L5+K5)</f>
        <v>0.871548117154812</v>
      </c>
      <c r="N5" s="15">
        <f>I5*M5</f>
        <v>0.741660583965868</v>
      </c>
      <c r="O5" s="16">
        <v>776</v>
      </c>
      <c r="P5" s="7"/>
      <c r="Q5" s="7"/>
      <c r="R5" s="7">
        <v>11</v>
      </c>
      <c r="S5" s="7"/>
      <c r="T5" s="7">
        <v>140</v>
      </c>
      <c r="U5" s="7"/>
      <c r="V5" s="7"/>
      <c r="W5" s="7"/>
      <c r="X5" s="7">
        <v>95</v>
      </c>
      <c r="Y5" s="7">
        <v>7</v>
      </c>
      <c r="Z5" s="7">
        <v>5</v>
      </c>
      <c r="AA5" s="7"/>
      <c r="AB5" s="7"/>
      <c r="AC5" s="7">
        <v>91</v>
      </c>
      <c r="AD5" s="7"/>
      <c r="AE5" s="7"/>
      <c r="AF5" s="7">
        <v>174</v>
      </c>
      <c r="AG5" s="7">
        <v>182</v>
      </c>
      <c r="AH5" s="7"/>
      <c r="AI5" s="7"/>
      <c r="AJ5" s="7">
        <v>22</v>
      </c>
      <c r="AK5" s="7">
        <v>32</v>
      </c>
      <c r="AL5" s="7">
        <v>17</v>
      </c>
      <c r="AM5" s="7"/>
      <c r="AN5" s="7"/>
      <c r="AO5" s="7"/>
      <c r="AP5" s="7" t="s">
        <v>46</v>
      </c>
    </row>
    <row r="6" hidden="1" customHeight="1" spans="1:42">
      <c r="A6" s="6">
        <v>45605</v>
      </c>
      <c r="B6" s="7" t="s">
        <v>43</v>
      </c>
      <c r="C6" s="7" t="s">
        <v>44</v>
      </c>
      <c r="D6" s="7">
        <v>250</v>
      </c>
      <c r="E6" s="8">
        <v>5765</v>
      </c>
      <c r="F6" s="7">
        <v>3694</v>
      </c>
      <c r="G6" s="7">
        <v>3445</v>
      </c>
      <c r="H6" s="7">
        <v>249</v>
      </c>
      <c r="I6" s="13">
        <f>G6/F6</f>
        <v>0.932593394694099</v>
      </c>
      <c r="J6" s="14">
        <v>3445</v>
      </c>
      <c r="K6" s="7">
        <v>3061</v>
      </c>
      <c r="L6" s="7">
        <v>200</v>
      </c>
      <c r="M6" s="13">
        <f>K6/(L6+K6)</f>
        <v>0.938669119901871</v>
      </c>
      <c r="N6" s="15">
        <f>I6*M6</f>
        <v>0.875396621023807</v>
      </c>
      <c r="O6" s="16">
        <v>449</v>
      </c>
      <c r="P6" s="7"/>
      <c r="Q6" s="7"/>
      <c r="R6" s="7">
        <v>19</v>
      </c>
      <c r="S6" s="7"/>
      <c r="T6" s="7">
        <v>78</v>
      </c>
      <c r="U6" s="7"/>
      <c r="V6" s="7"/>
      <c r="W6" s="7"/>
      <c r="X6" s="7"/>
      <c r="Y6" s="7">
        <v>60</v>
      </c>
      <c r="Z6" s="7"/>
      <c r="AA6" s="7"/>
      <c r="AB6" s="7"/>
      <c r="AC6" s="7">
        <v>28</v>
      </c>
      <c r="AD6" s="7"/>
      <c r="AE6" s="7"/>
      <c r="AF6" s="7">
        <v>68</v>
      </c>
      <c r="AG6" s="7">
        <v>173</v>
      </c>
      <c r="AH6" s="7"/>
      <c r="AI6" s="7"/>
      <c r="AJ6" s="7">
        <v>3</v>
      </c>
      <c r="AK6" s="7">
        <v>12</v>
      </c>
      <c r="AL6" s="7">
        <v>8</v>
      </c>
      <c r="AM6" s="7"/>
      <c r="AN6" s="7"/>
      <c r="AO6" s="7"/>
      <c r="AP6" s="7" t="s">
        <v>47</v>
      </c>
    </row>
    <row r="7" hidden="1" customHeight="1" spans="1:42">
      <c r="A7" s="6">
        <v>45605</v>
      </c>
      <c r="B7" s="7" t="s">
        <v>43</v>
      </c>
      <c r="C7" s="7" t="s">
        <v>44</v>
      </c>
      <c r="D7" s="7">
        <v>240</v>
      </c>
      <c r="E7" s="8">
        <v>5766</v>
      </c>
      <c r="F7" s="7">
        <v>3541</v>
      </c>
      <c r="G7" s="7">
        <v>3270</v>
      </c>
      <c r="H7" s="7">
        <v>271</v>
      </c>
      <c r="I7" s="13">
        <f t="shared" ref="I7:I16" si="0">G7/F7</f>
        <v>0.923467946907653</v>
      </c>
      <c r="J7" s="14">
        <v>3270</v>
      </c>
      <c r="K7" s="7">
        <v>2809</v>
      </c>
      <c r="L7" s="7">
        <v>277</v>
      </c>
      <c r="M7" s="13">
        <f t="shared" ref="M7:M16" si="1">K7/(L7+K7)</f>
        <v>0.910239792611795</v>
      </c>
      <c r="N7" s="15">
        <f t="shared" ref="N7:N16" si="2">I7*M7</f>
        <v>0.840577272476863</v>
      </c>
      <c r="O7" s="16">
        <v>548</v>
      </c>
      <c r="P7" s="7"/>
      <c r="Q7" s="7"/>
      <c r="R7" s="7">
        <v>4</v>
      </c>
      <c r="S7" s="7"/>
      <c r="T7" s="7">
        <v>176</v>
      </c>
      <c r="U7" s="7"/>
      <c r="V7" s="7"/>
      <c r="W7" s="7"/>
      <c r="X7" s="7"/>
      <c r="Y7" s="7">
        <v>30</v>
      </c>
      <c r="Z7" s="7"/>
      <c r="AA7" s="7"/>
      <c r="AB7" s="7"/>
      <c r="AC7" s="7">
        <v>21</v>
      </c>
      <c r="AD7" s="7"/>
      <c r="AE7" s="7"/>
      <c r="AF7" s="7">
        <v>127</v>
      </c>
      <c r="AG7" s="7">
        <v>119</v>
      </c>
      <c r="AH7" s="7"/>
      <c r="AI7" s="7"/>
      <c r="AJ7" s="7">
        <v>41</v>
      </c>
      <c r="AK7" s="7">
        <v>21</v>
      </c>
      <c r="AL7" s="7">
        <v>9</v>
      </c>
      <c r="AM7" s="7"/>
      <c r="AN7" s="7"/>
      <c r="AO7" s="7"/>
      <c r="AP7" s="7" t="s">
        <v>47</v>
      </c>
    </row>
    <row r="8" hidden="1" customHeight="1" spans="1:42">
      <c r="A8" s="6">
        <v>45607</v>
      </c>
      <c r="B8" s="7" t="s">
        <v>43</v>
      </c>
      <c r="C8" s="7" t="s">
        <v>44</v>
      </c>
      <c r="D8" s="7">
        <v>180</v>
      </c>
      <c r="E8" s="8">
        <v>5765</v>
      </c>
      <c r="F8" s="7">
        <v>2590</v>
      </c>
      <c r="G8" s="7">
        <v>2518</v>
      </c>
      <c r="H8" s="7">
        <v>72</v>
      </c>
      <c r="I8" s="13">
        <f t="shared" si="0"/>
        <v>0.972200772200772</v>
      </c>
      <c r="J8" s="14">
        <v>2518</v>
      </c>
      <c r="K8" s="7">
        <v>1860</v>
      </c>
      <c r="L8" s="7">
        <v>568</v>
      </c>
      <c r="M8" s="13">
        <f t="shared" si="1"/>
        <v>0.766062602965404</v>
      </c>
      <c r="N8" s="15">
        <f t="shared" si="2"/>
        <v>0.744766654157099</v>
      </c>
      <c r="O8" s="16">
        <v>640</v>
      </c>
      <c r="P8" s="7"/>
      <c r="Q8" s="7"/>
      <c r="R8" s="7">
        <v>13</v>
      </c>
      <c r="S8" s="7"/>
      <c r="T8" s="7">
        <v>124</v>
      </c>
      <c r="U8" s="7"/>
      <c r="V8" s="7"/>
      <c r="W8" s="7"/>
      <c r="X8" s="7">
        <v>52</v>
      </c>
      <c r="Y8" s="7">
        <v>10</v>
      </c>
      <c r="Z8" s="7"/>
      <c r="AA8" s="7"/>
      <c r="AB8" s="7"/>
      <c r="AC8" s="7">
        <v>3</v>
      </c>
      <c r="AD8" s="7"/>
      <c r="AE8" s="7"/>
      <c r="AF8" s="7">
        <v>20</v>
      </c>
      <c r="AG8" s="7">
        <v>317</v>
      </c>
      <c r="AH8" s="7"/>
      <c r="AI8" s="7"/>
      <c r="AJ8" s="7">
        <v>48</v>
      </c>
      <c r="AK8" s="7">
        <v>36</v>
      </c>
      <c r="AL8" s="7">
        <v>17</v>
      </c>
      <c r="AM8" s="7"/>
      <c r="AN8" s="7"/>
      <c r="AO8" s="7"/>
      <c r="AP8" s="7" t="s">
        <v>48</v>
      </c>
    </row>
    <row r="9" hidden="1" customHeight="1" spans="1:42">
      <c r="A9" s="6">
        <v>45608</v>
      </c>
      <c r="B9" s="7" t="s">
        <v>43</v>
      </c>
      <c r="C9" s="7" t="s">
        <v>44</v>
      </c>
      <c r="D9" s="7">
        <v>65</v>
      </c>
      <c r="E9" s="8">
        <v>5766</v>
      </c>
      <c r="F9" s="7">
        <v>955</v>
      </c>
      <c r="G9" s="7">
        <v>930</v>
      </c>
      <c r="H9" s="7">
        <v>25</v>
      </c>
      <c r="I9" s="13">
        <f t="shared" si="0"/>
        <v>0.973821989528796</v>
      </c>
      <c r="J9" s="14">
        <v>930</v>
      </c>
      <c r="K9" s="7">
        <v>768</v>
      </c>
      <c r="L9" s="7">
        <v>112</v>
      </c>
      <c r="M9" s="13">
        <f t="shared" si="1"/>
        <v>0.872727272727273</v>
      </c>
      <c r="N9" s="15">
        <f t="shared" si="2"/>
        <v>0.849881009043313</v>
      </c>
      <c r="O9" s="16">
        <v>137</v>
      </c>
      <c r="P9" s="7"/>
      <c r="Q9" s="7"/>
      <c r="R9" s="7"/>
      <c r="S9" s="7"/>
      <c r="T9" s="7">
        <v>17</v>
      </c>
      <c r="U9" s="7"/>
      <c r="V9" s="7"/>
      <c r="W9" s="7"/>
      <c r="X9" s="7"/>
      <c r="Y9" s="7"/>
      <c r="Z9" s="7"/>
      <c r="AA9" s="7"/>
      <c r="AB9" s="7"/>
      <c r="AC9" s="7">
        <v>1</v>
      </c>
      <c r="AD9" s="7"/>
      <c r="AE9" s="7"/>
      <c r="AF9" s="7">
        <v>24</v>
      </c>
      <c r="AG9" s="7">
        <v>70</v>
      </c>
      <c r="AH9" s="7"/>
      <c r="AI9" s="7"/>
      <c r="AJ9" s="7">
        <v>3</v>
      </c>
      <c r="AK9" s="7">
        <v>7</v>
      </c>
      <c r="AL9" s="7">
        <v>15</v>
      </c>
      <c r="AM9" s="7"/>
      <c r="AN9" s="7"/>
      <c r="AO9" s="7"/>
      <c r="AP9" s="7" t="s">
        <v>49</v>
      </c>
    </row>
    <row r="10" hidden="1" customHeight="1" spans="1:42">
      <c r="A10" s="6">
        <v>45610</v>
      </c>
      <c r="B10" s="7" t="s">
        <v>43</v>
      </c>
      <c r="C10" s="7" t="s">
        <v>44</v>
      </c>
      <c r="D10" s="7">
        <v>130</v>
      </c>
      <c r="E10" s="8">
        <v>5766</v>
      </c>
      <c r="F10" s="7">
        <v>1887</v>
      </c>
      <c r="G10" s="7">
        <v>1682</v>
      </c>
      <c r="H10" s="7">
        <v>205</v>
      </c>
      <c r="I10" s="13">
        <f t="shared" si="0"/>
        <v>0.89136195018548</v>
      </c>
      <c r="J10" s="14">
        <v>1682</v>
      </c>
      <c r="K10" s="7">
        <v>1514</v>
      </c>
      <c r="L10" s="7">
        <v>76</v>
      </c>
      <c r="M10" s="13">
        <f t="shared" si="1"/>
        <v>0.952201257861635</v>
      </c>
      <c r="N10" s="15">
        <f t="shared" si="2"/>
        <v>0.848755970176614</v>
      </c>
      <c r="O10" s="16">
        <v>281</v>
      </c>
      <c r="P10" s="7"/>
      <c r="Q10" s="7"/>
      <c r="R10" s="7"/>
      <c r="S10" s="7"/>
      <c r="T10" s="7">
        <v>32</v>
      </c>
      <c r="U10" s="7"/>
      <c r="V10" s="7"/>
      <c r="W10" s="7"/>
      <c r="X10" s="7">
        <v>93</v>
      </c>
      <c r="Y10" s="7">
        <v>23</v>
      </c>
      <c r="Z10" s="7">
        <v>1</v>
      </c>
      <c r="AA10" s="7"/>
      <c r="AB10" s="7"/>
      <c r="AC10" s="7">
        <v>5</v>
      </c>
      <c r="AD10" s="7"/>
      <c r="AE10" s="7"/>
      <c r="AF10" s="7">
        <v>86</v>
      </c>
      <c r="AG10" s="7">
        <v>17</v>
      </c>
      <c r="AH10" s="7"/>
      <c r="AI10" s="7"/>
      <c r="AJ10" s="7">
        <v>2</v>
      </c>
      <c r="AK10" s="7">
        <v>6</v>
      </c>
      <c r="AL10" s="7">
        <v>16</v>
      </c>
      <c r="AM10" s="7"/>
      <c r="AN10" s="7"/>
      <c r="AO10" s="7"/>
      <c r="AP10" s="7" t="s">
        <v>50</v>
      </c>
    </row>
    <row r="11" hidden="1" customHeight="1" spans="1:42">
      <c r="A11" s="6">
        <v>45611</v>
      </c>
      <c r="B11" s="7" t="s">
        <v>43</v>
      </c>
      <c r="C11" s="7" t="s">
        <v>44</v>
      </c>
      <c r="D11" s="7">
        <v>80</v>
      </c>
      <c r="E11" s="8">
        <v>5765</v>
      </c>
      <c r="F11" s="7">
        <v>1195</v>
      </c>
      <c r="G11" s="7">
        <v>1147</v>
      </c>
      <c r="H11" s="7">
        <v>48</v>
      </c>
      <c r="I11" s="13">
        <f t="shared" si="0"/>
        <v>0.959832635983264</v>
      </c>
      <c r="J11" s="14">
        <v>1147</v>
      </c>
      <c r="K11" s="7">
        <v>1040</v>
      </c>
      <c r="L11" s="7">
        <v>73</v>
      </c>
      <c r="M11" s="13">
        <f t="shared" si="1"/>
        <v>0.934411500449236</v>
      </c>
      <c r="N11" s="15">
        <f t="shared" si="2"/>
        <v>0.896878653569267</v>
      </c>
      <c r="O11" s="16">
        <v>121</v>
      </c>
      <c r="P11" s="7"/>
      <c r="Q11" s="7"/>
      <c r="R11" s="7"/>
      <c r="S11" s="7"/>
      <c r="T11" s="7">
        <v>13</v>
      </c>
      <c r="U11" s="7"/>
      <c r="V11" s="7"/>
      <c r="W11" s="7"/>
      <c r="X11" s="7">
        <v>43</v>
      </c>
      <c r="Y11" s="7">
        <v>11</v>
      </c>
      <c r="Z11" s="7"/>
      <c r="AA11" s="7"/>
      <c r="AB11" s="7"/>
      <c r="AC11" s="7"/>
      <c r="AD11" s="7"/>
      <c r="AE11" s="7"/>
      <c r="AF11" s="7">
        <v>21</v>
      </c>
      <c r="AG11" s="7">
        <v>21</v>
      </c>
      <c r="AH11" s="7"/>
      <c r="AI11" s="7"/>
      <c r="AJ11" s="7">
        <v>3</v>
      </c>
      <c r="AK11" s="7">
        <v>5</v>
      </c>
      <c r="AL11" s="7">
        <v>4</v>
      </c>
      <c r="AM11" s="7"/>
      <c r="AN11" s="7"/>
      <c r="AO11" s="7"/>
      <c r="AP11" s="7" t="s">
        <v>51</v>
      </c>
    </row>
    <row r="12" hidden="1" customHeight="1" spans="1:42">
      <c r="A12" s="6">
        <v>45636</v>
      </c>
      <c r="B12" s="7" t="s">
        <v>43</v>
      </c>
      <c r="C12" s="7" t="s">
        <v>44</v>
      </c>
      <c r="D12" s="7">
        <v>150</v>
      </c>
      <c r="E12" s="8">
        <v>5957</v>
      </c>
      <c r="F12" s="7">
        <v>750</v>
      </c>
      <c r="G12" s="7">
        <v>745</v>
      </c>
      <c r="H12" s="7">
        <v>5</v>
      </c>
      <c r="I12" s="13">
        <f t="shared" si="0"/>
        <v>0.993333333333333</v>
      </c>
      <c r="J12" s="14">
        <v>745</v>
      </c>
      <c r="K12" s="7">
        <v>350</v>
      </c>
      <c r="L12" s="7">
        <v>300</v>
      </c>
      <c r="M12" s="13">
        <f t="shared" si="1"/>
        <v>0.538461538461538</v>
      </c>
      <c r="N12" s="15">
        <f t="shared" si="2"/>
        <v>0.534871794871795</v>
      </c>
      <c r="O12" s="16">
        <v>305</v>
      </c>
      <c r="P12" s="7"/>
      <c r="Q12" s="7"/>
      <c r="R12" s="7">
        <v>29</v>
      </c>
      <c r="S12" s="7"/>
      <c r="T12" s="7">
        <v>35</v>
      </c>
      <c r="U12" s="7"/>
      <c r="V12" s="7"/>
      <c r="W12" s="7"/>
      <c r="X12" s="7"/>
      <c r="Y12" s="7">
        <v>72</v>
      </c>
      <c r="Z12" s="7"/>
      <c r="AA12" s="7"/>
      <c r="AB12" s="7"/>
      <c r="AC12" s="7"/>
      <c r="AD12" s="7"/>
      <c r="AE12" s="7"/>
      <c r="AF12" s="7">
        <v>5</v>
      </c>
      <c r="AG12" s="7">
        <v>161</v>
      </c>
      <c r="AH12" s="7"/>
      <c r="AI12" s="7"/>
      <c r="AJ12" s="7"/>
      <c r="AK12" s="7">
        <v>3</v>
      </c>
      <c r="AL12" s="7"/>
      <c r="AM12" s="7"/>
      <c r="AN12" s="7"/>
      <c r="AO12" s="7"/>
      <c r="AP12" s="7" t="s">
        <v>52</v>
      </c>
    </row>
    <row r="13" hidden="1" customHeight="1" spans="1:42">
      <c r="A13" s="6">
        <v>45636</v>
      </c>
      <c r="B13" s="7" t="s">
        <v>43</v>
      </c>
      <c r="C13" s="7" t="s">
        <v>44</v>
      </c>
      <c r="D13" s="7">
        <v>150</v>
      </c>
      <c r="E13" s="8">
        <v>5956</v>
      </c>
      <c r="F13" s="7">
        <v>750</v>
      </c>
      <c r="G13" s="7">
        <v>743</v>
      </c>
      <c r="H13" s="7">
        <v>7</v>
      </c>
      <c r="I13" s="13">
        <f t="shared" si="0"/>
        <v>0.990666666666667</v>
      </c>
      <c r="J13" s="14">
        <v>743</v>
      </c>
      <c r="K13" s="7">
        <v>421</v>
      </c>
      <c r="L13" s="7">
        <v>232</v>
      </c>
      <c r="M13" s="13">
        <f t="shared" si="1"/>
        <v>0.644716692189893</v>
      </c>
      <c r="N13" s="15">
        <f t="shared" si="2"/>
        <v>0.638699336396121</v>
      </c>
      <c r="O13" s="16">
        <v>239</v>
      </c>
      <c r="P13" s="7"/>
      <c r="Q13" s="7"/>
      <c r="R13" s="7">
        <v>14</v>
      </c>
      <c r="S13" s="7"/>
      <c r="T13" s="7">
        <v>31</v>
      </c>
      <c r="U13" s="7"/>
      <c r="V13" s="7"/>
      <c r="W13" s="7"/>
      <c r="X13" s="7"/>
      <c r="Y13" s="7">
        <v>82</v>
      </c>
      <c r="Z13" s="7">
        <v>1</v>
      </c>
      <c r="AA13" s="7"/>
      <c r="AB13" s="7"/>
      <c r="AC13" s="7"/>
      <c r="AD13" s="7"/>
      <c r="AE13" s="7"/>
      <c r="AF13" s="7">
        <v>7</v>
      </c>
      <c r="AG13" s="7">
        <v>94</v>
      </c>
      <c r="AH13" s="7"/>
      <c r="AI13" s="7"/>
      <c r="AJ13" s="7"/>
      <c r="AK13" s="7">
        <v>10</v>
      </c>
      <c r="AL13" s="7"/>
      <c r="AM13" s="7"/>
      <c r="AN13" s="7"/>
      <c r="AO13" s="7"/>
      <c r="AP13" s="7" t="s">
        <v>48</v>
      </c>
    </row>
    <row r="14" hidden="1" customHeight="1" spans="1:42">
      <c r="A14" s="6">
        <v>45721</v>
      </c>
      <c r="B14" s="7" t="s">
        <v>43</v>
      </c>
      <c r="C14" s="7" t="s">
        <v>44</v>
      </c>
      <c r="D14" s="7">
        <v>280</v>
      </c>
      <c r="E14" s="8">
        <v>6290</v>
      </c>
      <c r="F14" s="7">
        <v>1988</v>
      </c>
      <c r="G14" s="7">
        <v>1871</v>
      </c>
      <c r="H14" s="7">
        <v>117</v>
      </c>
      <c r="I14" s="13">
        <f t="shared" si="0"/>
        <v>0.941146881287726</v>
      </c>
      <c r="J14" s="14">
        <v>1871</v>
      </c>
      <c r="K14" s="7">
        <v>890</v>
      </c>
      <c r="L14" s="7">
        <v>577</v>
      </c>
      <c r="M14" s="13">
        <f t="shared" si="1"/>
        <v>0.606680299931834</v>
      </c>
      <c r="N14" s="15">
        <f t="shared" si="2"/>
        <v>0.570975272219548</v>
      </c>
      <c r="O14" s="16">
        <v>694</v>
      </c>
      <c r="P14" s="7"/>
      <c r="Q14" s="7"/>
      <c r="R14" s="7">
        <v>89</v>
      </c>
      <c r="S14" s="7"/>
      <c r="T14" s="7">
        <v>163</v>
      </c>
      <c r="U14" s="7">
        <v>21</v>
      </c>
      <c r="V14" s="7"/>
      <c r="W14" s="7"/>
      <c r="X14" s="7"/>
      <c r="Y14" s="7">
        <v>12</v>
      </c>
      <c r="Z14" s="7"/>
      <c r="AA14" s="7"/>
      <c r="AB14" s="7"/>
      <c r="AC14" s="7">
        <v>44</v>
      </c>
      <c r="AD14" s="7">
        <v>115</v>
      </c>
      <c r="AE14" s="7"/>
      <c r="AF14" s="7">
        <v>11</v>
      </c>
      <c r="AG14" s="7"/>
      <c r="AH14" s="7"/>
      <c r="AI14" s="7">
        <v>239</v>
      </c>
      <c r="AJ14" s="7"/>
      <c r="AK14" s="7"/>
      <c r="AL14" s="7"/>
      <c r="AM14" s="7"/>
      <c r="AN14" s="7"/>
      <c r="AO14" s="7"/>
      <c r="AP14" s="7" t="s">
        <v>53</v>
      </c>
    </row>
    <row r="15" hidden="1" customHeight="1" spans="1:42">
      <c r="A15" s="6">
        <v>45721</v>
      </c>
      <c r="B15" s="7" t="s">
        <v>43</v>
      </c>
      <c r="C15" s="7" t="s">
        <v>44</v>
      </c>
      <c r="D15" s="7">
        <v>330</v>
      </c>
      <c r="E15" s="8">
        <v>6289</v>
      </c>
      <c r="F15" s="7">
        <v>2565</v>
      </c>
      <c r="G15" s="7">
        <v>2463</v>
      </c>
      <c r="H15" s="7">
        <v>102</v>
      </c>
      <c r="I15" s="13">
        <f t="shared" ref="I15:I26" si="3">G15/F15</f>
        <v>0.960233918128655</v>
      </c>
      <c r="J15" s="14">
        <v>2463</v>
      </c>
      <c r="K15" s="7">
        <v>1203</v>
      </c>
      <c r="L15" s="7">
        <v>856</v>
      </c>
      <c r="M15" s="13">
        <f t="shared" ref="M15:M26" si="4">K15/(L15+K15)</f>
        <v>0.584264205925206</v>
      </c>
      <c r="N15" s="15">
        <f t="shared" ref="N15:N26" si="5">I15*M15</f>
        <v>0.561030307677888</v>
      </c>
      <c r="O15" s="16">
        <v>958</v>
      </c>
      <c r="P15" s="7"/>
      <c r="Q15" s="7"/>
      <c r="R15" s="7">
        <v>22</v>
      </c>
      <c r="S15" s="7"/>
      <c r="T15" s="7">
        <v>142</v>
      </c>
      <c r="U15" s="7">
        <v>16</v>
      </c>
      <c r="V15" s="7"/>
      <c r="W15" s="7"/>
      <c r="X15" s="7"/>
      <c r="Y15" s="7">
        <v>5</v>
      </c>
      <c r="Z15" s="7"/>
      <c r="AA15" s="7"/>
      <c r="AB15" s="7"/>
      <c r="AC15" s="7">
        <v>110</v>
      </c>
      <c r="AD15" s="7">
        <v>176</v>
      </c>
      <c r="AE15" s="7"/>
      <c r="AF15" s="7">
        <v>102</v>
      </c>
      <c r="AG15" s="7"/>
      <c r="AH15" s="7">
        <v>13</v>
      </c>
      <c r="AI15" s="7">
        <v>372</v>
      </c>
      <c r="AJ15" s="7"/>
      <c r="AK15" s="7"/>
      <c r="AL15" s="7"/>
      <c r="AM15" s="7"/>
      <c r="AN15" s="7"/>
      <c r="AO15" s="7"/>
      <c r="AP15" s="7" t="s">
        <v>53</v>
      </c>
    </row>
    <row r="16" hidden="1" customHeight="1" spans="1:42">
      <c r="A16" s="6">
        <v>45722</v>
      </c>
      <c r="B16" s="7" t="s">
        <v>43</v>
      </c>
      <c r="C16" s="7" t="s">
        <v>44</v>
      </c>
      <c r="D16" s="7">
        <v>180</v>
      </c>
      <c r="E16" s="8">
        <v>6290</v>
      </c>
      <c r="F16" s="7">
        <v>1334</v>
      </c>
      <c r="G16" s="7">
        <v>1161</v>
      </c>
      <c r="H16" s="7">
        <v>173</v>
      </c>
      <c r="I16" s="13">
        <f t="shared" si="3"/>
        <v>0.870314842578711</v>
      </c>
      <c r="J16" s="14">
        <v>1161</v>
      </c>
      <c r="K16" s="7">
        <v>721</v>
      </c>
      <c r="L16" s="7">
        <v>340</v>
      </c>
      <c r="M16" s="13">
        <f t="shared" si="4"/>
        <v>0.679547596606975</v>
      </c>
      <c r="N16" s="15">
        <f t="shared" si="5"/>
        <v>0.59142035956574</v>
      </c>
      <c r="O16" s="16">
        <v>513</v>
      </c>
      <c r="P16" s="7"/>
      <c r="Q16" s="7"/>
      <c r="R16" s="7">
        <v>13</v>
      </c>
      <c r="S16" s="7"/>
      <c r="T16" s="7">
        <v>123</v>
      </c>
      <c r="U16" s="7"/>
      <c r="V16" s="7"/>
      <c r="W16" s="7"/>
      <c r="X16" s="7"/>
      <c r="Y16" s="7">
        <v>3</v>
      </c>
      <c r="Z16" s="7">
        <v>25</v>
      </c>
      <c r="AA16" s="7"/>
      <c r="AB16" s="7"/>
      <c r="AC16" s="7"/>
      <c r="AD16" s="7">
        <v>17</v>
      </c>
      <c r="AE16" s="7"/>
      <c r="AF16" s="7">
        <v>173</v>
      </c>
      <c r="AG16" s="7"/>
      <c r="AH16" s="7">
        <v>45</v>
      </c>
      <c r="AI16" s="7">
        <v>114</v>
      </c>
      <c r="AJ16" s="7"/>
      <c r="AK16" s="7"/>
      <c r="AL16" s="7"/>
      <c r="AM16" s="7"/>
      <c r="AN16" s="7"/>
      <c r="AO16" s="7"/>
      <c r="AP16" s="7" t="s">
        <v>54</v>
      </c>
    </row>
    <row r="17" hidden="1" customHeight="1" spans="1:42">
      <c r="A17" s="6">
        <v>45726</v>
      </c>
      <c r="B17" s="7" t="s">
        <v>43</v>
      </c>
      <c r="C17" s="7" t="s">
        <v>44</v>
      </c>
      <c r="D17" s="7">
        <v>360</v>
      </c>
      <c r="E17" s="8">
        <v>6289</v>
      </c>
      <c r="F17" s="7">
        <v>2676</v>
      </c>
      <c r="G17" s="7">
        <v>2316</v>
      </c>
      <c r="H17" s="7">
        <v>330</v>
      </c>
      <c r="I17" s="13">
        <f t="shared" si="3"/>
        <v>0.865470852017937</v>
      </c>
      <c r="J17" s="14">
        <v>2316</v>
      </c>
      <c r="K17" s="7">
        <v>1930</v>
      </c>
      <c r="L17" s="7">
        <v>286</v>
      </c>
      <c r="M17" s="13">
        <f t="shared" si="4"/>
        <v>0.870938628158845</v>
      </c>
      <c r="N17" s="15">
        <f t="shared" si="5"/>
        <v>0.753771996567969</v>
      </c>
      <c r="O17" s="16">
        <v>616</v>
      </c>
      <c r="P17" s="7"/>
      <c r="Q17" s="7"/>
      <c r="R17" s="7">
        <v>40</v>
      </c>
      <c r="S17" s="7"/>
      <c r="T17" s="7">
        <v>133</v>
      </c>
      <c r="U17" s="7">
        <v>19</v>
      </c>
      <c r="V17" s="7"/>
      <c r="W17" s="7"/>
      <c r="X17" s="7">
        <v>161</v>
      </c>
      <c r="Y17" s="7">
        <v>40</v>
      </c>
      <c r="Z17" s="7">
        <v>6</v>
      </c>
      <c r="AA17" s="7"/>
      <c r="AB17" s="7"/>
      <c r="AC17" s="7">
        <v>77</v>
      </c>
      <c r="AD17" s="7">
        <v>45</v>
      </c>
      <c r="AE17" s="7"/>
      <c r="AF17" s="7">
        <v>23</v>
      </c>
      <c r="AG17" s="7"/>
      <c r="AH17" s="7">
        <v>37</v>
      </c>
      <c r="AI17" s="7">
        <v>35</v>
      </c>
      <c r="AJ17" s="7"/>
      <c r="AK17" s="7"/>
      <c r="AL17" s="7"/>
      <c r="AM17" s="7"/>
      <c r="AN17" s="7"/>
      <c r="AO17" s="7"/>
      <c r="AP17" s="7" t="s">
        <v>55</v>
      </c>
    </row>
    <row r="18" hidden="1" customHeight="1" spans="1:42">
      <c r="A18" s="6">
        <v>45728</v>
      </c>
      <c r="B18" s="7" t="s">
        <v>43</v>
      </c>
      <c r="C18" s="7" t="s">
        <v>44</v>
      </c>
      <c r="D18" s="7">
        <v>340</v>
      </c>
      <c r="E18" s="8">
        <v>6290</v>
      </c>
      <c r="F18" s="7">
        <v>2511</v>
      </c>
      <c r="G18" s="7">
        <v>2402</v>
      </c>
      <c r="H18" s="7">
        <v>109</v>
      </c>
      <c r="I18" s="13">
        <f t="shared" si="3"/>
        <v>0.956590999601752</v>
      </c>
      <c r="J18" s="14">
        <v>2402</v>
      </c>
      <c r="K18" s="7">
        <v>1615</v>
      </c>
      <c r="L18" s="7">
        <v>547</v>
      </c>
      <c r="M18" s="13">
        <f t="shared" si="4"/>
        <v>0.746993524514339</v>
      </c>
      <c r="N18" s="15">
        <f t="shared" si="5"/>
        <v>0.714567282311207</v>
      </c>
      <c r="O18" s="16">
        <v>656</v>
      </c>
      <c r="P18" s="7"/>
      <c r="Q18" s="7"/>
      <c r="R18" s="7">
        <v>71</v>
      </c>
      <c r="S18" s="7"/>
      <c r="T18" s="7">
        <v>128</v>
      </c>
      <c r="U18" s="7">
        <v>21</v>
      </c>
      <c r="V18" s="7"/>
      <c r="W18" s="7"/>
      <c r="X18" s="7"/>
      <c r="Y18" s="7">
        <v>63</v>
      </c>
      <c r="Z18" s="7">
        <v>10</v>
      </c>
      <c r="AA18" s="7"/>
      <c r="AB18" s="7"/>
      <c r="AC18" s="7">
        <v>47</v>
      </c>
      <c r="AD18" s="7">
        <v>94</v>
      </c>
      <c r="AE18" s="7"/>
      <c r="AF18" s="7"/>
      <c r="AG18" s="7"/>
      <c r="AH18" s="7"/>
      <c r="AI18" s="7">
        <v>222</v>
      </c>
      <c r="AJ18" s="7"/>
      <c r="AK18" s="7"/>
      <c r="AL18" s="7"/>
      <c r="AM18" s="7"/>
      <c r="AN18" s="7"/>
      <c r="AO18" s="7"/>
      <c r="AP18" s="7" t="s">
        <v>56</v>
      </c>
    </row>
    <row r="19" hidden="1" customHeight="1" spans="1:42">
      <c r="A19" s="6">
        <v>45730</v>
      </c>
      <c r="B19" s="7" t="s">
        <v>43</v>
      </c>
      <c r="C19" s="7" t="s">
        <v>44</v>
      </c>
      <c r="D19" s="7">
        <v>280</v>
      </c>
      <c r="E19" s="8">
        <v>6289</v>
      </c>
      <c r="F19" s="7">
        <v>2019</v>
      </c>
      <c r="G19" s="7">
        <v>1962</v>
      </c>
      <c r="H19" s="7">
        <v>57</v>
      </c>
      <c r="I19" s="13">
        <f t="shared" si="3"/>
        <v>0.971768202080238</v>
      </c>
      <c r="J19" s="14">
        <v>1962</v>
      </c>
      <c r="K19" s="7">
        <v>1565</v>
      </c>
      <c r="L19" s="7">
        <v>277</v>
      </c>
      <c r="M19" s="13">
        <f t="shared" si="4"/>
        <v>0.849619978284473</v>
      </c>
      <c r="N19" s="15">
        <f t="shared" si="5"/>
        <v>0.825633678748953</v>
      </c>
      <c r="O19" s="16">
        <v>334</v>
      </c>
      <c r="P19" s="7"/>
      <c r="Q19" s="7"/>
      <c r="R19" s="7">
        <v>43</v>
      </c>
      <c r="S19" s="7"/>
      <c r="T19" s="7">
        <v>98</v>
      </c>
      <c r="U19" s="7">
        <v>15</v>
      </c>
      <c r="V19" s="7"/>
      <c r="W19" s="7"/>
      <c r="X19" s="7"/>
      <c r="Y19" s="7">
        <v>12</v>
      </c>
      <c r="Z19" s="7">
        <v>4</v>
      </c>
      <c r="AA19" s="7"/>
      <c r="AB19" s="7"/>
      <c r="AC19" s="7">
        <v>45</v>
      </c>
      <c r="AD19" s="7">
        <v>72</v>
      </c>
      <c r="AE19" s="7"/>
      <c r="AF19" s="7"/>
      <c r="AG19" s="7"/>
      <c r="AH19" s="7">
        <v>10</v>
      </c>
      <c r="AI19" s="7">
        <v>35</v>
      </c>
      <c r="AJ19" s="7"/>
      <c r="AK19" s="7"/>
      <c r="AL19" s="7"/>
      <c r="AM19" s="7"/>
      <c r="AN19" s="7"/>
      <c r="AO19" s="7"/>
      <c r="AP19" s="7" t="s">
        <v>57</v>
      </c>
    </row>
    <row r="20" hidden="1" customHeight="1" spans="1:42">
      <c r="A20" s="6">
        <v>45731</v>
      </c>
      <c r="B20" s="7" t="s">
        <v>43</v>
      </c>
      <c r="C20" s="7" t="s">
        <v>44</v>
      </c>
      <c r="D20" s="7">
        <v>260</v>
      </c>
      <c r="E20" s="8">
        <v>6290</v>
      </c>
      <c r="F20" s="7">
        <v>1981</v>
      </c>
      <c r="G20" s="7">
        <v>1867</v>
      </c>
      <c r="H20" s="7">
        <v>114</v>
      </c>
      <c r="I20" s="13">
        <f t="shared" si="3"/>
        <v>0.942453306410904</v>
      </c>
      <c r="J20" s="14">
        <v>1867</v>
      </c>
      <c r="K20" s="7">
        <v>1360</v>
      </c>
      <c r="L20" s="7">
        <v>417</v>
      </c>
      <c r="M20" s="13">
        <f t="shared" si="4"/>
        <v>0.765334833989871</v>
      </c>
      <c r="N20" s="15">
        <f t="shared" si="5"/>
        <v>0.721292344805194</v>
      </c>
      <c r="O20" s="16">
        <v>531</v>
      </c>
      <c r="P20" s="7"/>
      <c r="Q20" s="7"/>
      <c r="R20" s="7">
        <v>33</v>
      </c>
      <c r="S20" s="7"/>
      <c r="T20" s="7">
        <v>101</v>
      </c>
      <c r="U20" s="7">
        <v>5</v>
      </c>
      <c r="V20" s="7"/>
      <c r="W20" s="7"/>
      <c r="X20" s="7"/>
      <c r="Y20" s="7">
        <v>45</v>
      </c>
      <c r="Z20" s="7">
        <v>3</v>
      </c>
      <c r="AA20" s="7"/>
      <c r="AB20" s="7"/>
      <c r="AC20" s="7">
        <v>41</v>
      </c>
      <c r="AD20" s="7">
        <v>102</v>
      </c>
      <c r="AE20" s="7"/>
      <c r="AF20" s="7">
        <v>39</v>
      </c>
      <c r="AG20" s="7"/>
      <c r="AH20" s="7"/>
      <c r="AI20" s="7">
        <v>162</v>
      </c>
      <c r="AJ20" s="7"/>
      <c r="AK20" s="7"/>
      <c r="AL20" s="7"/>
      <c r="AM20" s="7"/>
      <c r="AN20" s="7"/>
      <c r="AO20" s="7"/>
      <c r="AP20" s="7" t="s">
        <v>48</v>
      </c>
    </row>
    <row r="21" hidden="1" customHeight="1" spans="1:42">
      <c r="A21" s="6">
        <v>45734</v>
      </c>
      <c r="B21" s="7" t="s">
        <v>43</v>
      </c>
      <c r="C21" s="7" t="s">
        <v>44</v>
      </c>
      <c r="D21" s="7">
        <v>280</v>
      </c>
      <c r="E21" s="8">
        <v>6289</v>
      </c>
      <c r="F21" s="7">
        <v>2201</v>
      </c>
      <c r="G21" s="7">
        <v>1824</v>
      </c>
      <c r="H21" s="7">
        <v>377</v>
      </c>
      <c r="I21" s="13">
        <f t="shared" si="3"/>
        <v>0.828714220808723</v>
      </c>
      <c r="J21" s="14">
        <v>1824</v>
      </c>
      <c r="K21" s="7">
        <v>1442</v>
      </c>
      <c r="L21" s="7">
        <v>292</v>
      </c>
      <c r="M21" s="13">
        <f t="shared" si="4"/>
        <v>0.831603229527105</v>
      </c>
      <c r="N21" s="15">
        <f t="shared" si="5"/>
        <v>0.689161422379573</v>
      </c>
      <c r="O21" s="16">
        <v>669</v>
      </c>
      <c r="P21" s="7"/>
      <c r="Q21" s="7"/>
      <c r="R21" s="7">
        <v>62</v>
      </c>
      <c r="S21" s="7"/>
      <c r="T21" s="7">
        <v>174</v>
      </c>
      <c r="U21" s="7">
        <v>10</v>
      </c>
      <c r="V21" s="7">
        <v>12</v>
      </c>
      <c r="W21" s="7"/>
      <c r="X21" s="7"/>
      <c r="Y21" s="7">
        <v>190</v>
      </c>
      <c r="Z21" s="7">
        <v>62</v>
      </c>
      <c r="AA21" s="7"/>
      <c r="AB21" s="7"/>
      <c r="AC21" s="7"/>
      <c r="AD21" s="7">
        <v>36</v>
      </c>
      <c r="AE21" s="7"/>
      <c r="AF21" s="7">
        <v>31</v>
      </c>
      <c r="AG21" s="7"/>
      <c r="AH21" s="7">
        <v>13</v>
      </c>
      <c r="AI21" s="7">
        <v>79</v>
      </c>
      <c r="AJ21" s="7"/>
      <c r="AK21" s="7"/>
      <c r="AL21" s="7"/>
      <c r="AM21" s="7"/>
      <c r="AN21" s="7"/>
      <c r="AO21" s="7"/>
      <c r="AP21" s="7" t="s">
        <v>48</v>
      </c>
    </row>
    <row r="22" hidden="1" customHeight="1" spans="1:42">
      <c r="A22" s="6">
        <v>45737</v>
      </c>
      <c r="B22" s="7" t="s">
        <v>43</v>
      </c>
      <c r="C22" s="7" t="s">
        <v>44</v>
      </c>
      <c r="D22" s="7">
        <v>210</v>
      </c>
      <c r="E22" s="8">
        <v>6289</v>
      </c>
      <c r="F22" s="7">
        <v>1161</v>
      </c>
      <c r="G22" s="7">
        <v>1070</v>
      </c>
      <c r="H22" s="7">
        <v>91</v>
      </c>
      <c r="I22" s="13">
        <f t="shared" si="3"/>
        <v>0.921619293712317</v>
      </c>
      <c r="J22" s="14">
        <v>1070</v>
      </c>
      <c r="K22" s="7">
        <v>677</v>
      </c>
      <c r="L22" s="7">
        <v>273</v>
      </c>
      <c r="M22" s="13">
        <f t="shared" si="4"/>
        <v>0.712631578947368</v>
      </c>
      <c r="N22" s="15">
        <f t="shared" si="5"/>
        <v>0.656775012466567</v>
      </c>
      <c r="O22" s="16">
        <v>364</v>
      </c>
      <c r="P22" s="7"/>
      <c r="Q22" s="7"/>
      <c r="R22" s="7">
        <v>51</v>
      </c>
      <c r="S22" s="7"/>
      <c r="T22" s="7">
        <v>44</v>
      </c>
      <c r="U22" s="7">
        <v>3</v>
      </c>
      <c r="V22" s="7"/>
      <c r="W22" s="7"/>
      <c r="X22" s="7"/>
      <c r="Y22" s="7">
        <v>82</v>
      </c>
      <c r="Z22" s="7">
        <v>8</v>
      </c>
      <c r="AA22" s="7"/>
      <c r="AB22" s="7"/>
      <c r="AC22" s="7">
        <v>53</v>
      </c>
      <c r="AD22" s="7">
        <v>70</v>
      </c>
      <c r="AE22" s="7"/>
      <c r="AF22" s="7">
        <v>10</v>
      </c>
      <c r="AG22" s="7"/>
      <c r="AH22" s="7">
        <v>1</v>
      </c>
      <c r="AI22" s="7">
        <v>42</v>
      </c>
      <c r="AJ22" s="7"/>
      <c r="AK22" s="7"/>
      <c r="AL22" s="7"/>
      <c r="AM22" s="7"/>
      <c r="AN22" s="7"/>
      <c r="AO22" s="7"/>
      <c r="AP22" s="7" t="s">
        <v>57</v>
      </c>
    </row>
    <row r="23" hidden="1" customHeight="1" spans="1:42">
      <c r="A23" s="6">
        <v>45738</v>
      </c>
      <c r="B23" s="7" t="s">
        <v>43</v>
      </c>
      <c r="C23" s="7" t="s">
        <v>44</v>
      </c>
      <c r="D23" s="7">
        <v>250</v>
      </c>
      <c r="E23" s="8">
        <v>6290</v>
      </c>
      <c r="F23" s="7">
        <v>1843</v>
      </c>
      <c r="G23" s="7">
        <v>1780</v>
      </c>
      <c r="H23" s="7">
        <v>63</v>
      </c>
      <c r="I23" s="13">
        <f t="shared" ref="I23:I36" si="6">G23/F23</f>
        <v>0.96581660336408</v>
      </c>
      <c r="J23" s="14">
        <v>1780</v>
      </c>
      <c r="K23" s="7">
        <v>777</v>
      </c>
      <c r="L23" s="7">
        <v>875</v>
      </c>
      <c r="M23" s="13">
        <f t="shared" ref="M23:M36" si="7">K23/(L23+K23)</f>
        <v>0.470338983050847</v>
      </c>
      <c r="N23" s="15">
        <f t="shared" ref="N23:N36" si="8">I23*M23</f>
        <v>0.454261199039885</v>
      </c>
      <c r="O23" s="16">
        <v>938</v>
      </c>
      <c r="P23" s="7"/>
      <c r="Q23" s="7"/>
      <c r="R23" s="7">
        <v>48</v>
      </c>
      <c r="S23" s="7"/>
      <c r="T23" s="7">
        <v>111</v>
      </c>
      <c r="U23" s="7">
        <v>10</v>
      </c>
      <c r="V23" s="7"/>
      <c r="W23" s="7"/>
      <c r="X23" s="7"/>
      <c r="Y23" s="7">
        <v>92</v>
      </c>
      <c r="Z23" s="7">
        <v>200</v>
      </c>
      <c r="AA23" s="7"/>
      <c r="AB23" s="7"/>
      <c r="AC23" s="7"/>
      <c r="AD23" s="7">
        <v>202</v>
      </c>
      <c r="AE23" s="7"/>
      <c r="AF23" s="7">
        <v>9</v>
      </c>
      <c r="AG23" s="7"/>
      <c r="AH23" s="7">
        <v>29</v>
      </c>
      <c r="AI23" s="7">
        <v>237</v>
      </c>
      <c r="AJ23" s="7"/>
      <c r="AK23" s="7"/>
      <c r="AL23" s="7"/>
      <c r="AM23" s="7"/>
      <c r="AN23" s="7"/>
      <c r="AO23" s="7"/>
      <c r="AP23" s="7" t="s">
        <v>58</v>
      </c>
    </row>
    <row r="24" hidden="1" customHeight="1" spans="1:42">
      <c r="A24" s="6">
        <v>45741</v>
      </c>
      <c r="B24" s="7" t="s">
        <v>43</v>
      </c>
      <c r="C24" s="7" t="s">
        <v>44</v>
      </c>
      <c r="D24" s="7">
        <v>350</v>
      </c>
      <c r="E24" s="8">
        <v>6290</v>
      </c>
      <c r="F24" s="7">
        <v>2545</v>
      </c>
      <c r="G24" s="7">
        <v>2448</v>
      </c>
      <c r="H24" s="7">
        <v>97</v>
      </c>
      <c r="I24" s="13">
        <f t="shared" si="6"/>
        <v>0.96188605108055</v>
      </c>
      <c r="J24" s="14">
        <v>2448</v>
      </c>
      <c r="K24" s="7">
        <v>1617</v>
      </c>
      <c r="L24" s="7">
        <v>721</v>
      </c>
      <c r="M24" s="13">
        <f t="shared" si="7"/>
        <v>0.691616766467066</v>
      </c>
      <c r="N24" s="15">
        <f t="shared" si="8"/>
        <v>0.665256520358105</v>
      </c>
      <c r="O24" s="16">
        <v>818</v>
      </c>
      <c r="P24" s="7"/>
      <c r="Q24" s="7"/>
      <c r="R24" s="7">
        <v>104</v>
      </c>
      <c r="S24" s="7"/>
      <c r="T24" s="7">
        <v>130</v>
      </c>
      <c r="U24" s="7">
        <v>14</v>
      </c>
      <c r="V24" s="7">
        <v>18</v>
      </c>
      <c r="W24" s="7"/>
      <c r="X24" s="7"/>
      <c r="Y24" s="7">
        <v>170</v>
      </c>
      <c r="Z24" s="7">
        <v>181</v>
      </c>
      <c r="AA24" s="7"/>
      <c r="AB24" s="7"/>
      <c r="AC24" s="7">
        <v>12</v>
      </c>
      <c r="AD24" s="7">
        <v>46</v>
      </c>
      <c r="AE24" s="7"/>
      <c r="AF24" s="7">
        <v>23</v>
      </c>
      <c r="AG24" s="7"/>
      <c r="AH24" s="7"/>
      <c r="AI24" s="7">
        <v>120</v>
      </c>
      <c r="AJ24" s="7"/>
      <c r="AK24" s="7"/>
      <c r="AL24" s="7"/>
      <c r="AM24" s="7"/>
      <c r="AN24" s="7"/>
      <c r="AO24" s="7"/>
      <c r="AP24" s="7" t="s">
        <v>59</v>
      </c>
    </row>
    <row r="25" hidden="1" customHeight="1" spans="1:42">
      <c r="A25" s="6">
        <v>45758</v>
      </c>
      <c r="B25" s="7" t="s">
        <v>43</v>
      </c>
      <c r="C25" s="7" t="s">
        <v>44</v>
      </c>
      <c r="D25" s="7">
        <v>340</v>
      </c>
      <c r="E25" s="8">
        <v>6290</v>
      </c>
      <c r="F25" s="7">
        <v>2582</v>
      </c>
      <c r="G25" s="7">
        <v>2277</v>
      </c>
      <c r="H25" s="7">
        <v>305</v>
      </c>
      <c r="I25" s="13">
        <f t="shared" si="6"/>
        <v>0.881874515879163</v>
      </c>
      <c r="J25" s="14">
        <v>2277</v>
      </c>
      <c r="K25" s="7">
        <v>1634</v>
      </c>
      <c r="L25" s="7">
        <v>403</v>
      </c>
      <c r="M25" s="13">
        <f t="shared" si="7"/>
        <v>0.802160039273441</v>
      </c>
      <c r="N25" s="15">
        <f t="shared" si="8"/>
        <v>0.707404496291877</v>
      </c>
      <c r="O25" s="16">
        <v>708</v>
      </c>
      <c r="P25" s="7"/>
      <c r="Q25" s="7"/>
      <c r="R25" s="7">
        <v>58</v>
      </c>
      <c r="S25" s="7"/>
      <c r="T25" s="7">
        <v>126</v>
      </c>
      <c r="U25" s="7">
        <v>5</v>
      </c>
      <c r="V25" s="7"/>
      <c r="W25" s="7"/>
      <c r="X25" s="7"/>
      <c r="Y25" s="7">
        <v>125</v>
      </c>
      <c r="Z25" s="7">
        <v>52</v>
      </c>
      <c r="AA25" s="7"/>
      <c r="AB25" s="7"/>
      <c r="AC25" s="7">
        <v>122</v>
      </c>
      <c r="AD25" s="7">
        <v>70</v>
      </c>
      <c r="AE25" s="7"/>
      <c r="AF25" s="7">
        <v>59</v>
      </c>
      <c r="AG25" s="7"/>
      <c r="AH25" s="7"/>
      <c r="AI25" s="7">
        <v>91</v>
      </c>
      <c r="AJ25" s="7"/>
      <c r="AK25" s="7"/>
      <c r="AL25" s="7"/>
      <c r="AM25" s="7"/>
      <c r="AN25" s="7"/>
      <c r="AO25" s="7"/>
      <c r="AP25" s="7" t="s">
        <v>56</v>
      </c>
    </row>
    <row r="26" hidden="1" customHeight="1" spans="1:42">
      <c r="A26" s="6">
        <v>45761</v>
      </c>
      <c r="B26" s="7" t="s">
        <v>43</v>
      </c>
      <c r="C26" s="7" t="s">
        <v>44</v>
      </c>
      <c r="D26" s="7">
        <v>260</v>
      </c>
      <c r="E26" s="8">
        <v>6289</v>
      </c>
      <c r="F26" s="7">
        <v>1998</v>
      </c>
      <c r="G26" s="7">
        <v>1692</v>
      </c>
      <c r="H26" s="7">
        <v>306</v>
      </c>
      <c r="I26" s="13">
        <f t="shared" si="6"/>
        <v>0.846846846846847</v>
      </c>
      <c r="J26" s="14">
        <v>1692</v>
      </c>
      <c r="K26" s="7">
        <v>1176</v>
      </c>
      <c r="L26" s="7">
        <v>406</v>
      </c>
      <c r="M26" s="13">
        <f t="shared" si="7"/>
        <v>0.743362831858407</v>
      </c>
      <c r="N26" s="15">
        <f t="shared" si="8"/>
        <v>0.629514470222435</v>
      </c>
      <c r="O26" s="16">
        <v>712</v>
      </c>
      <c r="P26" s="7"/>
      <c r="Q26" s="7"/>
      <c r="R26" s="7">
        <v>34</v>
      </c>
      <c r="S26" s="7"/>
      <c r="T26" s="7">
        <v>82</v>
      </c>
      <c r="U26" s="7">
        <v>12</v>
      </c>
      <c r="V26" s="7">
        <v>5</v>
      </c>
      <c r="W26" s="7"/>
      <c r="X26" s="7"/>
      <c r="Y26" s="7">
        <v>118</v>
      </c>
      <c r="Z26" s="7">
        <v>17</v>
      </c>
      <c r="AA26" s="7"/>
      <c r="AB26" s="7"/>
      <c r="AC26" s="7">
        <v>70</v>
      </c>
      <c r="AD26" s="7">
        <v>52</v>
      </c>
      <c r="AE26" s="7"/>
      <c r="AF26" s="7">
        <v>26</v>
      </c>
      <c r="AG26" s="7"/>
      <c r="AH26" s="7">
        <v>20</v>
      </c>
      <c r="AI26" s="7">
        <v>276</v>
      </c>
      <c r="AJ26" s="7"/>
      <c r="AK26" s="7"/>
      <c r="AL26" s="7"/>
      <c r="AM26" s="7"/>
      <c r="AN26" s="7"/>
      <c r="AO26" s="7"/>
      <c r="AP26" s="7" t="s">
        <v>59</v>
      </c>
    </row>
    <row r="27" hidden="1" customHeight="1" spans="1:42">
      <c r="A27" s="6">
        <v>45763</v>
      </c>
      <c r="B27" s="7" t="s">
        <v>43</v>
      </c>
      <c r="C27" s="7" t="s">
        <v>44</v>
      </c>
      <c r="D27" s="7">
        <v>410</v>
      </c>
      <c r="E27" s="8">
        <v>6289</v>
      </c>
      <c r="F27" s="7">
        <v>4020</v>
      </c>
      <c r="G27" s="7">
        <v>3842</v>
      </c>
      <c r="H27" s="7">
        <v>178</v>
      </c>
      <c r="I27" s="13">
        <f t="shared" si="6"/>
        <v>0.955721393034826</v>
      </c>
      <c r="J27" s="14">
        <v>3842</v>
      </c>
      <c r="K27" s="7">
        <v>2407</v>
      </c>
      <c r="L27" s="7">
        <v>1055</v>
      </c>
      <c r="M27" s="13">
        <f t="shared" si="7"/>
        <v>0.69526285384171</v>
      </c>
      <c r="N27" s="15">
        <f t="shared" si="8"/>
        <v>0.664477583198968</v>
      </c>
      <c r="O27" s="16">
        <v>1233</v>
      </c>
      <c r="P27" s="7"/>
      <c r="Q27" s="7"/>
      <c r="R27" s="7">
        <v>47</v>
      </c>
      <c r="S27" s="7"/>
      <c r="T27" s="7">
        <v>181</v>
      </c>
      <c r="U27" s="7">
        <v>13</v>
      </c>
      <c r="V27" s="7">
        <v>13</v>
      </c>
      <c r="W27" s="7"/>
      <c r="X27" s="7"/>
      <c r="Y27" s="7">
        <v>93</v>
      </c>
      <c r="Z27" s="7">
        <v>43</v>
      </c>
      <c r="AA27" s="7"/>
      <c r="AB27" s="7"/>
      <c r="AC27" s="7">
        <v>44</v>
      </c>
      <c r="AD27" s="7">
        <v>130</v>
      </c>
      <c r="AE27" s="7"/>
      <c r="AF27" s="7">
        <v>11</v>
      </c>
      <c r="AG27" s="7"/>
      <c r="AH27" s="7">
        <v>36</v>
      </c>
      <c r="AI27" s="7">
        <v>622</v>
      </c>
      <c r="AJ27" s="7"/>
      <c r="AK27" s="7"/>
      <c r="AL27" s="7"/>
      <c r="AM27" s="7"/>
      <c r="AN27" s="7"/>
      <c r="AO27" s="7"/>
      <c r="AP27" s="7" t="s">
        <v>60</v>
      </c>
    </row>
    <row r="28" hidden="1" customHeight="1" spans="1:42">
      <c r="A28" s="6">
        <v>45764</v>
      </c>
      <c r="B28" s="7" t="s">
        <v>43</v>
      </c>
      <c r="C28" s="7" t="s">
        <v>44</v>
      </c>
      <c r="D28" s="7">
        <v>220</v>
      </c>
      <c r="E28" s="8">
        <v>6290</v>
      </c>
      <c r="F28" s="7">
        <v>2417</v>
      </c>
      <c r="G28" s="7">
        <v>2246</v>
      </c>
      <c r="H28" s="7">
        <v>171</v>
      </c>
      <c r="I28" s="13">
        <f t="shared" si="6"/>
        <v>0.9292511377741</v>
      </c>
      <c r="J28" s="14">
        <v>2246</v>
      </c>
      <c r="K28" s="7">
        <v>1706</v>
      </c>
      <c r="L28" s="7">
        <v>420</v>
      </c>
      <c r="M28" s="13">
        <f t="shared" si="7"/>
        <v>0.80244590780809</v>
      </c>
      <c r="N28" s="15">
        <f t="shared" si="8"/>
        <v>0.745673772832839</v>
      </c>
      <c r="O28" s="16">
        <v>591</v>
      </c>
      <c r="P28" s="7"/>
      <c r="Q28" s="7"/>
      <c r="R28" s="7">
        <v>21</v>
      </c>
      <c r="S28" s="7"/>
      <c r="T28" s="7">
        <v>131</v>
      </c>
      <c r="U28" s="7">
        <v>3</v>
      </c>
      <c r="V28" s="7"/>
      <c r="W28" s="7"/>
      <c r="X28" s="7"/>
      <c r="Y28" s="7">
        <v>64</v>
      </c>
      <c r="Z28" s="7">
        <v>7</v>
      </c>
      <c r="AA28" s="7"/>
      <c r="AB28" s="7"/>
      <c r="AC28" s="7">
        <v>65</v>
      </c>
      <c r="AD28" s="7">
        <v>19</v>
      </c>
      <c r="AE28" s="7"/>
      <c r="AF28" s="7">
        <v>34</v>
      </c>
      <c r="AG28" s="7"/>
      <c r="AH28" s="7">
        <v>19</v>
      </c>
      <c r="AI28" s="7">
        <v>228</v>
      </c>
      <c r="AJ28" s="7"/>
      <c r="AK28" s="7"/>
      <c r="AL28" s="7"/>
      <c r="AM28" s="7"/>
      <c r="AN28" s="7"/>
      <c r="AO28" s="7"/>
      <c r="AP28" s="7" t="s">
        <v>57</v>
      </c>
    </row>
    <row r="29" hidden="1" customHeight="1" spans="1:42">
      <c r="A29" s="6">
        <v>45765</v>
      </c>
      <c r="B29" s="7" t="s">
        <v>43</v>
      </c>
      <c r="C29" s="7" t="s">
        <v>44</v>
      </c>
      <c r="D29" s="7">
        <v>180</v>
      </c>
      <c r="E29" s="8">
        <v>6290</v>
      </c>
      <c r="F29" s="7">
        <v>1759</v>
      </c>
      <c r="G29" s="7">
        <v>1634</v>
      </c>
      <c r="H29" s="7">
        <v>125</v>
      </c>
      <c r="I29" s="13">
        <f t="shared" si="6"/>
        <v>0.928936895963616</v>
      </c>
      <c r="J29" s="14">
        <v>1634</v>
      </c>
      <c r="K29" s="7">
        <v>1270</v>
      </c>
      <c r="L29" s="7">
        <v>244</v>
      </c>
      <c r="M29" s="13">
        <f t="shared" si="7"/>
        <v>0.83883751651255</v>
      </c>
      <c r="N29" s="15">
        <f t="shared" si="8"/>
        <v>0.779227118806996</v>
      </c>
      <c r="O29" s="16">
        <v>369</v>
      </c>
      <c r="P29" s="7"/>
      <c r="Q29" s="7"/>
      <c r="R29" s="7">
        <v>9</v>
      </c>
      <c r="S29" s="7"/>
      <c r="T29" s="7">
        <v>61</v>
      </c>
      <c r="U29" s="7">
        <v>8</v>
      </c>
      <c r="V29" s="7">
        <v>2</v>
      </c>
      <c r="W29" s="7"/>
      <c r="X29" s="7"/>
      <c r="Y29" s="7">
        <v>85</v>
      </c>
      <c r="Z29" s="7">
        <v>10</v>
      </c>
      <c r="AA29" s="7"/>
      <c r="AB29" s="7"/>
      <c r="AC29" s="7">
        <v>4</v>
      </c>
      <c r="AD29" s="7">
        <v>4</v>
      </c>
      <c r="AE29" s="7"/>
      <c r="AF29" s="7">
        <v>66</v>
      </c>
      <c r="AG29" s="7"/>
      <c r="AH29" s="7">
        <v>3</v>
      </c>
      <c r="AI29" s="7">
        <v>117</v>
      </c>
      <c r="AJ29" s="7"/>
      <c r="AK29" s="7"/>
      <c r="AL29" s="7"/>
      <c r="AM29" s="7"/>
      <c r="AN29" s="7"/>
      <c r="AO29" s="7"/>
      <c r="AP29" s="7" t="s">
        <v>57</v>
      </c>
    </row>
    <row r="30" hidden="1" customHeight="1" spans="1:42">
      <c r="A30" s="6">
        <v>45766</v>
      </c>
      <c r="B30" s="7" t="s">
        <v>43</v>
      </c>
      <c r="C30" s="7" t="s">
        <v>44</v>
      </c>
      <c r="D30" s="7">
        <v>160</v>
      </c>
      <c r="E30" s="8">
        <v>6289</v>
      </c>
      <c r="F30" s="7">
        <v>1341</v>
      </c>
      <c r="G30" s="7">
        <v>1250</v>
      </c>
      <c r="H30" s="7">
        <v>91</v>
      </c>
      <c r="I30" s="13">
        <f t="shared" si="6"/>
        <v>0.93214019388516</v>
      </c>
      <c r="J30" s="14">
        <v>1250</v>
      </c>
      <c r="K30" s="7">
        <v>910</v>
      </c>
      <c r="L30" s="7">
        <v>260</v>
      </c>
      <c r="M30" s="13">
        <f t="shared" si="7"/>
        <v>0.777777777777778</v>
      </c>
      <c r="N30" s="15">
        <f t="shared" si="8"/>
        <v>0.724997928577347</v>
      </c>
      <c r="O30" s="16">
        <v>351</v>
      </c>
      <c r="P30" s="7"/>
      <c r="Q30" s="7"/>
      <c r="R30" s="7">
        <v>3</v>
      </c>
      <c r="S30" s="7"/>
      <c r="T30" s="7">
        <v>40</v>
      </c>
      <c r="U30" s="7">
        <v>4</v>
      </c>
      <c r="V30" s="7"/>
      <c r="W30" s="7"/>
      <c r="X30" s="7"/>
      <c r="Y30" s="7">
        <v>41</v>
      </c>
      <c r="Z30" s="7"/>
      <c r="AA30" s="7"/>
      <c r="AB30" s="7"/>
      <c r="AC30" s="7">
        <v>23</v>
      </c>
      <c r="AD30" s="7">
        <v>25</v>
      </c>
      <c r="AE30" s="7"/>
      <c r="AF30" s="7">
        <v>12</v>
      </c>
      <c r="AG30" s="7"/>
      <c r="AH30" s="7">
        <v>2</v>
      </c>
      <c r="AI30" s="7">
        <v>201</v>
      </c>
      <c r="AJ30" s="7"/>
      <c r="AK30" s="7"/>
      <c r="AL30" s="7"/>
      <c r="AM30" s="7"/>
      <c r="AN30" s="7"/>
      <c r="AO30" s="7"/>
      <c r="AP30" s="7" t="s">
        <v>61</v>
      </c>
    </row>
    <row r="31" hidden="1" customHeight="1" spans="1:42">
      <c r="A31" s="6">
        <v>45768</v>
      </c>
      <c r="B31" s="7" t="s">
        <v>43</v>
      </c>
      <c r="C31" s="7" t="s">
        <v>44</v>
      </c>
      <c r="D31" s="7">
        <v>160</v>
      </c>
      <c r="E31" s="8">
        <v>6289</v>
      </c>
      <c r="F31" s="7">
        <v>1551</v>
      </c>
      <c r="G31" s="7">
        <v>1482</v>
      </c>
      <c r="H31" s="7">
        <v>69</v>
      </c>
      <c r="I31" s="13">
        <f t="shared" si="6"/>
        <v>0.955512572533849</v>
      </c>
      <c r="J31" s="14">
        <v>1482</v>
      </c>
      <c r="K31" s="7">
        <v>1089</v>
      </c>
      <c r="L31" s="7">
        <v>293</v>
      </c>
      <c r="M31" s="13">
        <f t="shared" si="7"/>
        <v>0.787988422575977</v>
      </c>
      <c r="N31" s="15">
        <f t="shared" si="8"/>
        <v>0.752932844782461</v>
      </c>
      <c r="O31" s="16">
        <v>362</v>
      </c>
      <c r="P31" s="7"/>
      <c r="Q31" s="7"/>
      <c r="R31" s="7">
        <v>8</v>
      </c>
      <c r="S31" s="7"/>
      <c r="T31" s="7">
        <v>77</v>
      </c>
      <c r="U31" s="7">
        <v>2</v>
      </c>
      <c r="V31" s="7"/>
      <c r="W31" s="7"/>
      <c r="X31" s="7"/>
      <c r="Y31" s="7">
        <v>52</v>
      </c>
      <c r="Z31" s="7">
        <v>11</v>
      </c>
      <c r="AA31" s="7"/>
      <c r="AB31" s="7"/>
      <c r="AC31" s="7">
        <v>21</v>
      </c>
      <c r="AD31" s="7">
        <v>37</v>
      </c>
      <c r="AE31" s="7"/>
      <c r="AF31" s="7">
        <v>22</v>
      </c>
      <c r="AG31" s="7"/>
      <c r="AH31" s="7">
        <v>4</v>
      </c>
      <c r="AI31" s="7">
        <v>128</v>
      </c>
      <c r="AJ31" s="7"/>
      <c r="AK31" s="7"/>
      <c r="AL31" s="7"/>
      <c r="AM31" s="7"/>
      <c r="AN31" s="7"/>
      <c r="AO31" s="7"/>
      <c r="AP31" s="7" t="s">
        <v>54</v>
      </c>
    </row>
    <row r="32" hidden="1" customHeight="1" spans="1:42">
      <c r="A32" s="6">
        <v>45769</v>
      </c>
      <c r="B32" s="7" t="s">
        <v>43</v>
      </c>
      <c r="C32" s="7" t="s">
        <v>44</v>
      </c>
      <c r="D32" s="7">
        <v>160</v>
      </c>
      <c r="E32" s="8">
        <v>6290</v>
      </c>
      <c r="F32" s="7">
        <v>1510</v>
      </c>
      <c r="G32" s="7">
        <v>1450</v>
      </c>
      <c r="H32" s="7">
        <v>60</v>
      </c>
      <c r="I32" s="13">
        <f t="shared" si="6"/>
        <v>0.960264900662252</v>
      </c>
      <c r="J32" s="14">
        <v>1450</v>
      </c>
      <c r="K32" s="7">
        <v>1112</v>
      </c>
      <c r="L32" s="7">
        <v>218</v>
      </c>
      <c r="M32" s="13">
        <f t="shared" si="7"/>
        <v>0.83609022556391</v>
      </c>
      <c r="N32" s="15">
        <f t="shared" si="8"/>
        <v>0.802868097395807</v>
      </c>
      <c r="O32" s="16">
        <v>278</v>
      </c>
      <c r="P32" s="7"/>
      <c r="Q32" s="7"/>
      <c r="R32" s="7">
        <v>11</v>
      </c>
      <c r="S32" s="7"/>
      <c r="T32" s="7">
        <v>43</v>
      </c>
      <c r="U32" s="7">
        <v>1</v>
      </c>
      <c r="V32" s="7">
        <v>3</v>
      </c>
      <c r="W32" s="7"/>
      <c r="X32" s="7"/>
      <c r="Y32" s="7">
        <v>74</v>
      </c>
      <c r="Z32" s="7">
        <v>35</v>
      </c>
      <c r="AA32" s="7"/>
      <c r="AB32" s="7"/>
      <c r="AC32" s="7">
        <v>5</v>
      </c>
      <c r="AD32" s="7">
        <v>22</v>
      </c>
      <c r="AE32" s="7"/>
      <c r="AF32" s="7">
        <v>16</v>
      </c>
      <c r="AG32" s="7"/>
      <c r="AH32" s="7"/>
      <c r="AI32" s="7">
        <v>68</v>
      </c>
      <c r="AJ32" s="7"/>
      <c r="AK32" s="7"/>
      <c r="AL32" s="7"/>
      <c r="AM32" s="7"/>
      <c r="AN32" s="7"/>
      <c r="AO32" s="7"/>
      <c r="AP32" s="7" t="s">
        <v>57</v>
      </c>
    </row>
    <row r="33" hidden="1" customHeight="1" spans="1:42">
      <c r="A33" s="6">
        <v>45770</v>
      </c>
      <c r="B33" s="7" t="s">
        <v>43</v>
      </c>
      <c r="C33" s="7" t="s">
        <v>44</v>
      </c>
      <c r="D33" s="7">
        <v>140</v>
      </c>
      <c r="E33" s="8">
        <v>6290</v>
      </c>
      <c r="F33" s="7">
        <v>1059</v>
      </c>
      <c r="G33" s="7">
        <v>1002</v>
      </c>
      <c r="H33" s="7">
        <v>57</v>
      </c>
      <c r="I33" s="13">
        <f t="shared" ref="I33:I46" si="9">G33/F33</f>
        <v>0.946175637393768</v>
      </c>
      <c r="J33" s="14">
        <v>1002</v>
      </c>
      <c r="K33" s="7">
        <v>853</v>
      </c>
      <c r="L33" s="7">
        <v>89</v>
      </c>
      <c r="M33" s="13">
        <f t="shared" ref="M33:M46" si="10">K33/(L33+K33)</f>
        <v>0.90552016985138</v>
      </c>
      <c r="N33" s="15">
        <f t="shared" ref="N33:N46" si="11">I33*M33</f>
        <v>0.856781123882042</v>
      </c>
      <c r="O33" s="16">
        <v>146</v>
      </c>
      <c r="P33" s="7"/>
      <c r="Q33" s="7"/>
      <c r="R33" s="7">
        <v>9</v>
      </c>
      <c r="S33" s="7"/>
      <c r="T33" s="7">
        <v>34</v>
      </c>
      <c r="U33" s="7">
        <v>2</v>
      </c>
      <c r="V33" s="7"/>
      <c r="W33" s="7"/>
      <c r="X33" s="7"/>
      <c r="Y33" s="7">
        <v>32</v>
      </c>
      <c r="Z33" s="7">
        <v>13</v>
      </c>
      <c r="AA33" s="7"/>
      <c r="AB33" s="7"/>
      <c r="AC33" s="7">
        <v>13</v>
      </c>
      <c r="AD33" s="7">
        <v>21</v>
      </c>
      <c r="AE33" s="7"/>
      <c r="AF33" s="7">
        <v>10</v>
      </c>
      <c r="AG33" s="7"/>
      <c r="AH33" s="7"/>
      <c r="AI33" s="7">
        <v>12</v>
      </c>
      <c r="AJ33" s="7"/>
      <c r="AK33" s="7"/>
      <c r="AL33" s="7"/>
      <c r="AM33" s="7"/>
      <c r="AN33" s="7"/>
      <c r="AO33" s="7"/>
      <c r="AP33" s="7" t="s">
        <v>62</v>
      </c>
    </row>
    <row r="34" hidden="1" customHeight="1" spans="1:42">
      <c r="A34" s="6">
        <v>45772</v>
      </c>
      <c r="B34" s="7" t="s">
        <v>43</v>
      </c>
      <c r="C34" s="7" t="s">
        <v>44</v>
      </c>
      <c r="D34" s="7">
        <v>190</v>
      </c>
      <c r="E34" s="8">
        <v>6289</v>
      </c>
      <c r="F34" s="7">
        <v>1819</v>
      </c>
      <c r="G34" s="7">
        <v>1777</v>
      </c>
      <c r="H34" s="7">
        <v>42</v>
      </c>
      <c r="I34" s="13">
        <f t="shared" si="9"/>
        <v>0.976910390324354</v>
      </c>
      <c r="J34" s="14">
        <v>1777</v>
      </c>
      <c r="K34" s="7">
        <v>1152</v>
      </c>
      <c r="L34" s="7">
        <v>505</v>
      </c>
      <c r="M34" s="13">
        <f t="shared" si="10"/>
        <v>0.695232347616174</v>
      </c>
      <c r="N34" s="15">
        <f t="shared" si="11"/>
        <v>0.679179704075833</v>
      </c>
      <c r="O34" s="16">
        <v>547</v>
      </c>
      <c r="P34" s="7"/>
      <c r="Q34" s="7"/>
      <c r="R34" s="7">
        <v>10</v>
      </c>
      <c r="S34" s="7"/>
      <c r="T34" s="7">
        <v>71</v>
      </c>
      <c r="U34" s="7">
        <v>9</v>
      </c>
      <c r="V34" s="7">
        <v>5</v>
      </c>
      <c r="W34" s="7"/>
      <c r="X34" s="7"/>
      <c r="Y34" s="7">
        <v>23</v>
      </c>
      <c r="Z34" s="7">
        <v>6</v>
      </c>
      <c r="AA34" s="7"/>
      <c r="AB34" s="7"/>
      <c r="AC34" s="7">
        <v>12</v>
      </c>
      <c r="AD34" s="7">
        <v>3</v>
      </c>
      <c r="AE34" s="7"/>
      <c r="AF34" s="7">
        <v>30</v>
      </c>
      <c r="AG34" s="7"/>
      <c r="AH34" s="7">
        <v>15</v>
      </c>
      <c r="AI34" s="7">
        <v>363</v>
      </c>
      <c r="AJ34" s="7"/>
      <c r="AK34" s="7"/>
      <c r="AL34" s="7"/>
      <c r="AM34" s="7"/>
      <c r="AN34" s="7"/>
      <c r="AO34" s="7"/>
      <c r="AP34" s="7" t="s">
        <v>57</v>
      </c>
    </row>
    <row r="35" hidden="1" customHeight="1" spans="1:42">
      <c r="A35" s="6">
        <v>45775</v>
      </c>
      <c r="B35" s="7" t="s">
        <v>43</v>
      </c>
      <c r="C35" s="7" t="s">
        <v>44</v>
      </c>
      <c r="D35" s="7">
        <v>260</v>
      </c>
      <c r="E35" s="8">
        <v>6289</v>
      </c>
      <c r="F35" s="7">
        <v>2365</v>
      </c>
      <c r="G35" s="7">
        <v>2117</v>
      </c>
      <c r="H35" s="7">
        <v>248</v>
      </c>
      <c r="I35" s="13">
        <f t="shared" si="9"/>
        <v>0.895137420718816</v>
      </c>
      <c r="J35" s="14">
        <v>2117</v>
      </c>
      <c r="K35" s="7">
        <v>1496</v>
      </c>
      <c r="L35" s="7">
        <v>471</v>
      </c>
      <c r="M35" s="13">
        <f t="shared" si="10"/>
        <v>0.760549059481444</v>
      </c>
      <c r="N35" s="15">
        <f t="shared" si="11"/>
        <v>0.680795923434341</v>
      </c>
      <c r="O35" s="16">
        <v>719</v>
      </c>
      <c r="P35" s="7"/>
      <c r="Q35" s="7">
        <v>2</v>
      </c>
      <c r="R35" s="7">
        <v>20</v>
      </c>
      <c r="S35" s="7"/>
      <c r="T35" s="7">
        <v>111</v>
      </c>
      <c r="U35" s="7">
        <v>2</v>
      </c>
      <c r="V35" s="7">
        <v>3</v>
      </c>
      <c r="W35" s="7"/>
      <c r="X35" s="7"/>
      <c r="Y35" s="7">
        <v>26</v>
      </c>
      <c r="Z35" s="7">
        <v>20</v>
      </c>
      <c r="AA35" s="7"/>
      <c r="AB35" s="7"/>
      <c r="AC35" s="7">
        <v>45</v>
      </c>
      <c r="AD35" s="7">
        <v>79</v>
      </c>
      <c r="AE35" s="7"/>
      <c r="AF35" s="7">
        <v>64</v>
      </c>
      <c r="AG35" s="7"/>
      <c r="AH35" s="7">
        <v>75</v>
      </c>
      <c r="AI35" s="7">
        <v>272</v>
      </c>
      <c r="AJ35" s="7"/>
      <c r="AK35" s="7"/>
      <c r="AL35" s="7"/>
      <c r="AM35" s="7"/>
      <c r="AN35" s="7"/>
      <c r="AO35" s="7"/>
      <c r="AP35" s="7" t="s">
        <v>63</v>
      </c>
    </row>
    <row r="36" hidden="1" customHeight="1" spans="1:42">
      <c r="A36" s="6">
        <v>45782</v>
      </c>
      <c r="B36" s="7" t="s">
        <v>43</v>
      </c>
      <c r="C36" s="7" t="s">
        <v>44</v>
      </c>
      <c r="D36" s="7">
        <v>330</v>
      </c>
      <c r="E36" s="8">
        <v>6290</v>
      </c>
      <c r="F36" s="7">
        <v>3341</v>
      </c>
      <c r="G36" s="7">
        <v>3137</v>
      </c>
      <c r="H36" s="7">
        <v>204</v>
      </c>
      <c r="I36" s="13">
        <f t="shared" si="9"/>
        <v>0.938940436994912</v>
      </c>
      <c r="J36" s="14">
        <v>3137</v>
      </c>
      <c r="K36" s="7">
        <v>2363</v>
      </c>
      <c r="L36" s="7">
        <v>594</v>
      </c>
      <c r="M36" s="13">
        <f t="shared" si="10"/>
        <v>0.799120730470071</v>
      </c>
      <c r="N36" s="15">
        <f t="shared" si="11"/>
        <v>0.750326767879262</v>
      </c>
      <c r="O36" s="16">
        <v>798</v>
      </c>
      <c r="P36" s="7"/>
      <c r="Q36" s="7"/>
      <c r="R36" s="7">
        <v>49</v>
      </c>
      <c r="S36" s="7"/>
      <c r="T36" s="7">
        <v>113</v>
      </c>
      <c r="U36" s="7"/>
      <c r="V36" s="7"/>
      <c r="W36" s="7"/>
      <c r="X36" s="7"/>
      <c r="Y36" s="7">
        <v>68</v>
      </c>
      <c r="Z36" s="7">
        <v>95</v>
      </c>
      <c r="AA36" s="7"/>
      <c r="AB36" s="7"/>
      <c r="AC36" s="7">
        <v>48</v>
      </c>
      <c r="AD36" s="7">
        <v>33</v>
      </c>
      <c r="AE36" s="7"/>
      <c r="AF36" s="7">
        <v>89</v>
      </c>
      <c r="AG36" s="7"/>
      <c r="AH36" s="7">
        <v>37</v>
      </c>
      <c r="AI36" s="7">
        <v>266</v>
      </c>
      <c r="AJ36" s="7"/>
      <c r="AK36" s="7"/>
      <c r="AL36" s="7"/>
      <c r="AM36" s="7"/>
      <c r="AN36" s="7"/>
      <c r="AO36" s="7"/>
      <c r="AP36" s="7" t="s">
        <v>64</v>
      </c>
    </row>
    <row r="37" hidden="1" customHeight="1" spans="1:42">
      <c r="A37" s="6">
        <v>45783</v>
      </c>
      <c r="B37" s="7" t="s">
        <v>43</v>
      </c>
      <c r="C37" s="7" t="s">
        <v>44</v>
      </c>
      <c r="D37" s="7">
        <v>150</v>
      </c>
      <c r="E37" s="8">
        <v>6290</v>
      </c>
      <c r="F37" s="7">
        <v>1454</v>
      </c>
      <c r="G37" s="7">
        <v>1351</v>
      </c>
      <c r="H37" s="7">
        <v>103</v>
      </c>
      <c r="I37" s="13">
        <f t="shared" si="9"/>
        <v>0.929160935350757</v>
      </c>
      <c r="J37" s="14">
        <v>1351</v>
      </c>
      <c r="K37" s="7">
        <v>1088</v>
      </c>
      <c r="L37" s="7">
        <v>203</v>
      </c>
      <c r="M37" s="13">
        <f t="shared" si="10"/>
        <v>0.84275755228505</v>
      </c>
      <c r="N37" s="15">
        <f t="shared" si="11"/>
        <v>0.783057395555091</v>
      </c>
      <c r="O37" s="16">
        <v>306</v>
      </c>
      <c r="P37" s="7"/>
      <c r="Q37" s="7"/>
      <c r="R37" s="7">
        <v>27</v>
      </c>
      <c r="S37" s="7"/>
      <c r="T37" s="7">
        <v>41</v>
      </c>
      <c r="U37" s="7"/>
      <c r="V37" s="7"/>
      <c r="W37" s="7"/>
      <c r="X37" s="7"/>
      <c r="Y37" s="7">
        <v>52</v>
      </c>
      <c r="Z37" s="7">
        <v>40</v>
      </c>
      <c r="AA37" s="7"/>
      <c r="AB37" s="7"/>
      <c r="AC37" s="7">
        <v>20</v>
      </c>
      <c r="AD37" s="7">
        <v>13</v>
      </c>
      <c r="AE37" s="7"/>
      <c r="AF37" s="7">
        <v>12</v>
      </c>
      <c r="AG37" s="7"/>
      <c r="AH37" s="7">
        <v>21</v>
      </c>
      <c r="AI37" s="7">
        <v>80</v>
      </c>
      <c r="AJ37" s="7"/>
      <c r="AK37" s="7"/>
      <c r="AL37" s="7"/>
      <c r="AM37" s="7"/>
      <c r="AN37" s="7"/>
      <c r="AO37" s="7"/>
      <c r="AP37" s="7" t="s">
        <v>62</v>
      </c>
    </row>
    <row r="38" hidden="1" customHeight="1" spans="1:42">
      <c r="A38" s="6">
        <v>45784</v>
      </c>
      <c r="B38" s="7" t="s">
        <v>43</v>
      </c>
      <c r="C38" s="7" t="s">
        <v>44</v>
      </c>
      <c r="D38" s="7">
        <v>220</v>
      </c>
      <c r="E38" s="8">
        <v>6290</v>
      </c>
      <c r="F38" s="7">
        <v>2209</v>
      </c>
      <c r="G38" s="7">
        <v>1970</v>
      </c>
      <c r="H38" s="7">
        <v>239</v>
      </c>
      <c r="I38" s="13">
        <f t="shared" si="9"/>
        <v>0.891806247170665</v>
      </c>
      <c r="J38" s="14">
        <v>1970</v>
      </c>
      <c r="K38" s="7">
        <v>1588</v>
      </c>
      <c r="L38" s="7">
        <v>262</v>
      </c>
      <c r="M38" s="13">
        <f t="shared" si="10"/>
        <v>0.858378378378378</v>
      </c>
      <c r="N38" s="15">
        <f t="shared" si="11"/>
        <v>0.765507200274063</v>
      </c>
      <c r="O38" s="16">
        <v>501</v>
      </c>
      <c r="P38" s="7"/>
      <c r="Q38" s="7"/>
      <c r="R38" s="7">
        <v>35</v>
      </c>
      <c r="S38" s="7"/>
      <c r="T38" s="7">
        <v>74</v>
      </c>
      <c r="U38" s="7">
        <v>1</v>
      </c>
      <c r="V38" s="7"/>
      <c r="W38" s="7"/>
      <c r="X38" s="7"/>
      <c r="Y38" s="7">
        <v>54</v>
      </c>
      <c r="Z38" s="7">
        <v>58</v>
      </c>
      <c r="AA38" s="7"/>
      <c r="AB38" s="7"/>
      <c r="AC38" s="7">
        <v>106</v>
      </c>
      <c r="AD38" s="7">
        <v>30</v>
      </c>
      <c r="AE38" s="7"/>
      <c r="AF38" s="7">
        <v>77</v>
      </c>
      <c r="AG38" s="7"/>
      <c r="AH38" s="7">
        <v>5</v>
      </c>
      <c r="AI38" s="7">
        <v>61</v>
      </c>
      <c r="AJ38" s="7"/>
      <c r="AK38" s="7"/>
      <c r="AL38" s="7"/>
      <c r="AM38" s="7"/>
      <c r="AN38" s="7"/>
      <c r="AO38" s="7"/>
      <c r="AP38" s="7" t="s">
        <v>57</v>
      </c>
    </row>
    <row r="39" hidden="1" customHeight="1" spans="1:42">
      <c r="A39" s="6">
        <v>45791</v>
      </c>
      <c r="B39" s="7" t="s">
        <v>43</v>
      </c>
      <c r="C39" s="7" t="s">
        <v>44</v>
      </c>
      <c r="D39" s="7">
        <v>190</v>
      </c>
      <c r="E39" s="8">
        <v>6290</v>
      </c>
      <c r="F39" s="7">
        <v>2032</v>
      </c>
      <c r="G39" s="7">
        <v>1934</v>
      </c>
      <c r="H39" s="7">
        <v>98</v>
      </c>
      <c r="I39" s="13">
        <f t="shared" si="9"/>
        <v>0.951771653543307</v>
      </c>
      <c r="J39" s="14">
        <v>1934</v>
      </c>
      <c r="K39" s="7">
        <v>1216</v>
      </c>
      <c r="L39" s="7">
        <v>598</v>
      </c>
      <c r="M39" s="13">
        <f t="shared" si="10"/>
        <v>0.670341786108049</v>
      </c>
      <c r="N39" s="15">
        <f t="shared" si="11"/>
        <v>0.638012310203231</v>
      </c>
      <c r="O39" s="16">
        <v>696</v>
      </c>
      <c r="P39" s="7"/>
      <c r="Q39" s="7"/>
      <c r="R39" s="7">
        <v>10</v>
      </c>
      <c r="S39" s="7"/>
      <c r="T39" s="7">
        <v>82</v>
      </c>
      <c r="U39" s="7"/>
      <c r="V39" s="7"/>
      <c r="W39" s="7"/>
      <c r="X39" s="7"/>
      <c r="Y39" s="7">
        <v>275</v>
      </c>
      <c r="Z39" s="7">
        <v>9</v>
      </c>
      <c r="AA39" s="7"/>
      <c r="AB39" s="7"/>
      <c r="AC39" s="7">
        <v>47</v>
      </c>
      <c r="AD39" s="7">
        <v>29</v>
      </c>
      <c r="AE39" s="7"/>
      <c r="AF39" s="7">
        <v>52</v>
      </c>
      <c r="AG39" s="7"/>
      <c r="AH39" s="7">
        <v>4</v>
      </c>
      <c r="AI39" s="7">
        <v>188</v>
      </c>
      <c r="AJ39" s="7"/>
      <c r="AK39" s="7"/>
      <c r="AL39" s="7"/>
      <c r="AM39" s="7"/>
      <c r="AN39" s="7"/>
      <c r="AO39" s="7"/>
      <c r="AP39" s="7" t="s">
        <v>57</v>
      </c>
    </row>
    <row r="40" hidden="1" customHeight="1" spans="1:42">
      <c r="A40" s="6">
        <v>45793</v>
      </c>
      <c r="B40" s="7" t="s">
        <v>43</v>
      </c>
      <c r="C40" s="7" t="s">
        <v>44</v>
      </c>
      <c r="D40" s="7">
        <v>180</v>
      </c>
      <c r="E40" s="8">
        <v>6289</v>
      </c>
      <c r="F40" s="7">
        <v>2598</v>
      </c>
      <c r="G40" s="7">
        <v>2532</v>
      </c>
      <c r="H40" s="7">
        <v>66</v>
      </c>
      <c r="I40" s="13">
        <f t="shared" si="9"/>
        <v>0.97459584295612</v>
      </c>
      <c r="J40" s="14">
        <v>2532</v>
      </c>
      <c r="K40" s="7">
        <v>1680</v>
      </c>
      <c r="L40" s="7">
        <v>722</v>
      </c>
      <c r="M40" s="13">
        <f t="shared" si="10"/>
        <v>0.699417152373022</v>
      </c>
      <c r="N40" s="15">
        <f t="shared" si="11"/>
        <v>0.681649049194955</v>
      </c>
      <c r="O40" s="16">
        <v>788</v>
      </c>
      <c r="P40" s="7"/>
      <c r="Q40" s="7"/>
      <c r="R40" s="7">
        <v>34</v>
      </c>
      <c r="S40" s="7"/>
      <c r="T40" s="7">
        <v>160</v>
      </c>
      <c r="U40" s="7">
        <v>22</v>
      </c>
      <c r="V40" s="7"/>
      <c r="W40" s="7"/>
      <c r="X40" s="7"/>
      <c r="Y40" s="7">
        <v>389</v>
      </c>
      <c r="Z40" s="7">
        <v>59</v>
      </c>
      <c r="AA40" s="7"/>
      <c r="AB40" s="7"/>
      <c r="AC40" s="7">
        <v>40</v>
      </c>
      <c r="AD40" s="7">
        <v>39</v>
      </c>
      <c r="AE40" s="7"/>
      <c r="AF40" s="7">
        <v>35</v>
      </c>
      <c r="AG40" s="7"/>
      <c r="AH40" s="7"/>
      <c r="AI40" s="7"/>
      <c r="AJ40" s="7"/>
      <c r="AK40" s="7">
        <v>10</v>
      </c>
      <c r="AL40" s="7"/>
      <c r="AM40" s="7"/>
      <c r="AN40" s="7"/>
      <c r="AO40" s="7"/>
      <c r="AP40" s="7" t="s">
        <v>55</v>
      </c>
    </row>
    <row r="41" hidden="1" customHeight="1" spans="1:42">
      <c r="A41" s="6">
        <v>45794</v>
      </c>
      <c r="B41" s="7" t="s">
        <v>43</v>
      </c>
      <c r="C41" s="7" t="s">
        <v>44</v>
      </c>
      <c r="D41" s="7">
        <v>180</v>
      </c>
      <c r="E41" s="8">
        <v>6289</v>
      </c>
      <c r="F41" s="7">
        <v>2295</v>
      </c>
      <c r="G41" s="7">
        <v>2230</v>
      </c>
      <c r="H41" s="7">
        <v>65</v>
      </c>
      <c r="I41" s="13">
        <f t="shared" ref="I41:I56" si="12">G41/F41</f>
        <v>0.971677559912854</v>
      </c>
      <c r="J41" s="14">
        <v>2230</v>
      </c>
      <c r="K41" s="7">
        <v>1500</v>
      </c>
      <c r="L41" s="7">
        <v>600</v>
      </c>
      <c r="M41" s="13">
        <f t="shared" ref="M41:M56" si="13">K41/(L41+K41)</f>
        <v>0.714285714285714</v>
      </c>
      <c r="N41" s="15">
        <f t="shared" ref="N41:N56" si="14">I41*M41</f>
        <v>0.694055399937753</v>
      </c>
      <c r="O41" s="16">
        <v>665</v>
      </c>
      <c r="P41" s="7"/>
      <c r="Q41" s="7"/>
      <c r="R41" s="7">
        <v>33</v>
      </c>
      <c r="S41" s="7"/>
      <c r="T41" s="7">
        <v>141</v>
      </c>
      <c r="U41" s="7">
        <v>20</v>
      </c>
      <c r="V41" s="7"/>
      <c r="W41" s="7"/>
      <c r="X41" s="7"/>
      <c r="Y41" s="7">
        <v>349</v>
      </c>
      <c r="Z41" s="7">
        <v>40</v>
      </c>
      <c r="AA41" s="7"/>
      <c r="AB41" s="7"/>
      <c r="AC41" s="7">
        <v>27</v>
      </c>
      <c r="AD41" s="7">
        <v>21</v>
      </c>
      <c r="AE41" s="7"/>
      <c r="AF41" s="7">
        <v>25</v>
      </c>
      <c r="AG41" s="7"/>
      <c r="AH41" s="7"/>
      <c r="AI41" s="7"/>
      <c r="AJ41" s="7"/>
      <c r="AK41" s="7">
        <v>9</v>
      </c>
      <c r="AL41" s="7"/>
      <c r="AM41" s="7"/>
      <c r="AN41" s="7"/>
      <c r="AO41" s="7"/>
      <c r="AP41" s="7" t="s">
        <v>55</v>
      </c>
    </row>
    <row r="42" hidden="1" customHeight="1" spans="1:42">
      <c r="A42" s="6">
        <v>45794</v>
      </c>
      <c r="B42" s="7" t="s">
        <v>43</v>
      </c>
      <c r="C42" s="7" t="s">
        <v>44</v>
      </c>
      <c r="D42" s="7">
        <v>195</v>
      </c>
      <c r="E42" s="8">
        <v>6290</v>
      </c>
      <c r="F42" s="7">
        <v>2600</v>
      </c>
      <c r="G42" s="7">
        <v>2545</v>
      </c>
      <c r="H42" s="7">
        <v>55</v>
      </c>
      <c r="I42" s="13">
        <f t="shared" si="12"/>
        <v>0.978846153846154</v>
      </c>
      <c r="J42" s="14">
        <v>2545</v>
      </c>
      <c r="K42" s="7">
        <v>1766</v>
      </c>
      <c r="L42" s="7">
        <v>659</v>
      </c>
      <c r="M42" s="13">
        <f t="shared" si="13"/>
        <v>0.728247422680412</v>
      </c>
      <c r="N42" s="15">
        <f t="shared" si="14"/>
        <v>0.712842188739096</v>
      </c>
      <c r="O42" s="16">
        <v>714</v>
      </c>
      <c r="P42" s="7"/>
      <c r="Q42" s="7"/>
      <c r="R42" s="7">
        <v>52</v>
      </c>
      <c r="S42" s="7"/>
      <c r="T42" s="7">
        <v>192</v>
      </c>
      <c r="U42" s="7">
        <v>3</v>
      </c>
      <c r="V42" s="7"/>
      <c r="W42" s="7"/>
      <c r="X42" s="7"/>
      <c r="Y42" s="7">
        <v>298</v>
      </c>
      <c r="Z42" s="7">
        <v>34</v>
      </c>
      <c r="AA42" s="7"/>
      <c r="AB42" s="7"/>
      <c r="AC42" s="7">
        <v>62</v>
      </c>
      <c r="AD42" s="7">
        <v>43</v>
      </c>
      <c r="AE42" s="7"/>
      <c r="AF42" s="7">
        <v>26</v>
      </c>
      <c r="AG42" s="7"/>
      <c r="AH42" s="7"/>
      <c r="AI42" s="7"/>
      <c r="AJ42" s="7"/>
      <c r="AK42" s="7">
        <v>4</v>
      </c>
      <c r="AL42" s="7"/>
      <c r="AM42" s="7"/>
      <c r="AN42" s="7"/>
      <c r="AO42" s="7"/>
      <c r="AP42" s="7" t="s">
        <v>57</v>
      </c>
    </row>
    <row r="43" hidden="1" customHeight="1" spans="1:42">
      <c r="A43" s="6">
        <v>45796</v>
      </c>
      <c r="B43" s="7" t="s">
        <v>43</v>
      </c>
      <c r="C43" s="7" t="s">
        <v>44</v>
      </c>
      <c r="D43" s="7">
        <v>200</v>
      </c>
      <c r="E43" s="8">
        <v>6290</v>
      </c>
      <c r="F43" s="7">
        <v>2796</v>
      </c>
      <c r="G43" s="7">
        <v>2750</v>
      </c>
      <c r="H43" s="7">
        <v>46</v>
      </c>
      <c r="I43" s="13">
        <f t="shared" si="12"/>
        <v>0.983547925608011</v>
      </c>
      <c r="J43" s="14">
        <v>2750</v>
      </c>
      <c r="K43" s="7">
        <v>2027</v>
      </c>
      <c r="L43" s="7">
        <v>603</v>
      </c>
      <c r="M43" s="13">
        <f t="shared" si="13"/>
        <v>0.770722433460076</v>
      </c>
      <c r="N43" s="15">
        <f t="shared" si="14"/>
        <v>0.758042450649216</v>
      </c>
      <c r="O43" s="16">
        <v>649</v>
      </c>
      <c r="P43" s="7"/>
      <c r="Q43" s="7"/>
      <c r="R43" s="7">
        <v>48</v>
      </c>
      <c r="S43" s="7"/>
      <c r="T43" s="7">
        <v>181</v>
      </c>
      <c r="U43" s="7"/>
      <c r="V43" s="7"/>
      <c r="W43" s="7"/>
      <c r="X43" s="7"/>
      <c r="Y43" s="7">
        <v>271</v>
      </c>
      <c r="Z43" s="7">
        <v>20</v>
      </c>
      <c r="AA43" s="7"/>
      <c r="AB43" s="7"/>
      <c r="AC43" s="7">
        <v>75</v>
      </c>
      <c r="AD43" s="7">
        <v>34</v>
      </c>
      <c r="AE43" s="7"/>
      <c r="AF43" s="7">
        <v>20</v>
      </c>
      <c r="AG43" s="7"/>
      <c r="AH43" s="7"/>
      <c r="AI43" s="7"/>
      <c r="AJ43" s="7"/>
      <c r="AK43" s="7"/>
      <c r="AL43" s="7"/>
      <c r="AM43" s="7"/>
      <c r="AN43" s="7"/>
      <c r="AO43" s="7"/>
      <c r="AP43" s="7" t="s">
        <v>57</v>
      </c>
    </row>
    <row r="44" hidden="1" customHeight="1" spans="1:42">
      <c r="A44" s="6">
        <v>45797</v>
      </c>
      <c r="B44" s="7" t="s">
        <v>43</v>
      </c>
      <c r="C44" s="7" t="s">
        <v>44</v>
      </c>
      <c r="D44" s="7">
        <v>175</v>
      </c>
      <c r="E44" s="8">
        <v>6290</v>
      </c>
      <c r="F44" s="7">
        <v>2475</v>
      </c>
      <c r="G44" s="7">
        <v>2363</v>
      </c>
      <c r="H44" s="7">
        <v>112</v>
      </c>
      <c r="I44" s="13">
        <f t="shared" si="12"/>
        <v>0.954747474747475</v>
      </c>
      <c r="J44" s="14">
        <v>2363</v>
      </c>
      <c r="K44" s="7">
        <v>1664</v>
      </c>
      <c r="L44" s="7">
        <v>529</v>
      </c>
      <c r="M44" s="13">
        <f t="shared" si="13"/>
        <v>0.758777929776562</v>
      </c>
      <c r="N44" s="15">
        <f t="shared" si="14"/>
        <v>0.724441312348289</v>
      </c>
      <c r="O44" s="16">
        <v>641</v>
      </c>
      <c r="P44" s="7"/>
      <c r="Q44" s="7"/>
      <c r="R44" s="7">
        <v>30</v>
      </c>
      <c r="S44" s="7"/>
      <c r="T44" s="7">
        <v>161</v>
      </c>
      <c r="U44" s="7">
        <v>17</v>
      </c>
      <c r="V44" s="7"/>
      <c r="W44" s="7"/>
      <c r="X44" s="7"/>
      <c r="Y44" s="7">
        <v>337</v>
      </c>
      <c r="Z44" s="7">
        <v>51</v>
      </c>
      <c r="AA44" s="7"/>
      <c r="AB44" s="7"/>
      <c r="AC44" s="7">
        <v>19</v>
      </c>
      <c r="AD44" s="7">
        <v>79</v>
      </c>
      <c r="AE44" s="7"/>
      <c r="AF44" s="7">
        <v>10</v>
      </c>
      <c r="AG44" s="7"/>
      <c r="AH44" s="7"/>
      <c r="AI44" s="7"/>
      <c r="AJ44" s="7"/>
      <c r="AK44" s="7">
        <v>4</v>
      </c>
      <c r="AL44" s="7"/>
      <c r="AM44" s="7"/>
      <c r="AN44" s="7"/>
      <c r="AO44" s="7"/>
      <c r="AP44" s="7" t="s">
        <v>65</v>
      </c>
    </row>
    <row r="45" hidden="1" customHeight="1" spans="1:42">
      <c r="A45" s="6">
        <v>45798</v>
      </c>
      <c r="B45" s="7" t="s">
        <v>43</v>
      </c>
      <c r="C45" s="7" t="s">
        <v>44</v>
      </c>
      <c r="D45" s="7">
        <v>170</v>
      </c>
      <c r="E45" s="8">
        <v>6290</v>
      </c>
      <c r="F45" s="7">
        <v>2360</v>
      </c>
      <c r="G45" s="7">
        <v>2251</v>
      </c>
      <c r="H45" s="7">
        <v>109</v>
      </c>
      <c r="I45" s="13">
        <f t="shared" si="12"/>
        <v>0.953813559322034</v>
      </c>
      <c r="J45" s="14">
        <v>2251</v>
      </c>
      <c r="K45" s="7">
        <v>1536</v>
      </c>
      <c r="L45" s="7">
        <v>595</v>
      </c>
      <c r="M45" s="13">
        <f t="shared" si="13"/>
        <v>0.720788362271234</v>
      </c>
      <c r="N45" s="15">
        <f t="shared" si="14"/>
        <v>0.687497713335826</v>
      </c>
      <c r="O45" s="16">
        <v>704</v>
      </c>
      <c r="P45" s="7"/>
      <c r="Q45" s="7"/>
      <c r="R45" s="7">
        <v>49</v>
      </c>
      <c r="S45" s="7"/>
      <c r="T45" s="7">
        <v>158</v>
      </c>
      <c r="U45" s="7">
        <v>8</v>
      </c>
      <c r="V45" s="7"/>
      <c r="W45" s="7"/>
      <c r="X45" s="7"/>
      <c r="Y45" s="7">
        <v>261</v>
      </c>
      <c r="Z45" s="7">
        <v>60</v>
      </c>
      <c r="AA45" s="7"/>
      <c r="AB45" s="7"/>
      <c r="AC45" s="7">
        <v>28</v>
      </c>
      <c r="AD45" s="7">
        <v>108</v>
      </c>
      <c r="AE45" s="7"/>
      <c r="AF45" s="7">
        <v>26</v>
      </c>
      <c r="AG45" s="7"/>
      <c r="AH45" s="7"/>
      <c r="AI45" s="7"/>
      <c r="AJ45" s="7"/>
      <c r="AK45" s="7">
        <v>6</v>
      </c>
      <c r="AL45" s="7"/>
      <c r="AM45" s="7"/>
      <c r="AN45" s="7"/>
      <c r="AO45" s="7"/>
      <c r="AP45" s="7" t="s">
        <v>57</v>
      </c>
    </row>
    <row r="46" hidden="1" customHeight="1" spans="1:42">
      <c r="A46" s="6">
        <v>45799</v>
      </c>
      <c r="B46" s="7" t="s">
        <v>43</v>
      </c>
      <c r="C46" s="7" t="s">
        <v>44</v>
      </c>
      <c r="D46" s="7">
        <v>165</v>
      </c>
      <c r="E46" s="8">
        <v>6290</v>
      </c>
      <c r="F46" s="7">
        <v>2141</v>
      </c>
      <c r="G46" s="7">
        <v>1988</v>
      </c>
      <c r="H46" s="7">
        <v>153</v>
      </c>
      <c r="I46" s="13">
        <f t="shared" si="12"/>
        <v>0.928538066324148</v>
      </c>
      <c r="J46" s="14">
        <v>1988</v>
      </c>
      <c r="K46" s="7">
        <v>1344</v>
      </c>
      <c r="L46" s="7">
        <v>494</v>
      </c>
      <c r="M46" s="13">
        <f t="shared" si="13"/>
        <v>0.731229597388466</v>
      </c>
      <c r="N46" s="15">
        <f t="shared" si="14"/>
        <v>0.678974516398071</v>
      </c>
      <c r="O46" s="16">
        <v>647</v>
      </c>
      <c r="P46" s="7"/>
      <c r="Q46" s="7"/>
      <c r="R46" s="7">
        <v>15</v>
      </c>
      <c r="S46" s="7"/>
      <c r="T46" s="7">
        <v>179</v>
      </c>
      <c r="U46" s="7">
        <v>7</v>
      </c>
      <c r="V46" s="7"/>
      <c r="W46" s="7"/>
      <c r="X46" s="7"/>
      <c r="Y46" s="7">
        <v>231</v>
      </c>
      <c r="Z46" s="7">
        <v>58</v>
      </c>
      <c r="AA46" s="7"/>
      <c r="AB46" s="7"/>
      <c r="AC46" s="7">
        <v>8</v>
      </c>
      <c r="AD46" s="7">
        <v>125</v>
      </c>
      <c r="AE46" s="7"/>
      <c r="AF46" s="7">
        <v>24</v>
      </c>
      <c r="AG46" s="7"/>
      <c r="AH46" s="7"/>
      <c r="AI46" s="7"/>
      <c r="AJ46" s="7"/>
      <c r="AK46" s="7"/>
      <c r="AL46" s="7"/>
      <c r="AM46" s="7"/>
      <c r="AN46" s="7"/>
      <c r="AO46" s="7"/>
      <c r="AP46" s="7" t="s">
        <v>63</v>
      </c>
    </row>
    <row r="47" hidden="1" customHeight="1" spans="1:42">
      <c r="A47" s="6">
        <v>45800</v>
      </c>
      <c r="B47" s="7" t="s">
        <v>43</v>
      </c>
      <c r="C47" s="7" t="s">
        <v>44</v>
      </c>
      <c r="D47" s="7">
        <v>155</v>
      </c>
      <c r="E47" s="8">
        <v>6290</v>
      </c>
      <c r="F47" s="7">
        <v>1983</v>
      </c>
      <c r="G47" s="7">
        <v>1898</v>
      </c>
      <c r="H47" s="7">
        <v>85</v>
      </c>
      <c r="I47" s="13">
        <f t="shared" si="12"/>
        <v>0.957135653050933</v>
      </c>
      <c r="J47" s="14">
        <v>1898</v>
      </c>
      <c r="K47" s="7">
        <v>1280</v>
      </c>
      <c r="L47" s="7">
        <v>488</v>
      </c>
      <c r="M47" s="13">
        <f t="shared" si="13"/>
        <v>0.723981900452489</v>
      </c>
      <c r="N47" s="15">
        <f t="shared" si="14"/>
        <v>0.692948889086648</v>
      </c>
      <c r="O47" s="16">
        <v>573</v>
      </c>
      <c r="P47" s="7"/>
      <c r="Q47" s="7"/>
      <c r="R47" s="7">
        <v>23</v>
      </c>
      <c r="S47" s="7"/>
      <c r="T47" s="7">
        <v>131</v>
      </c>
      <c r="U47" s="7">
        <v>9</v>
      </c>
      <c r="V47" s="7"/>
      <c r="W47" s="7"/>
      <c r="X47" s="7"/>
      <c r="Y47" s="7">
        <v>220</v>
      </c>
      <c r="Z47" s="7">
        <v>45</v>
      </c>
      <c r="AA47" s="7"/>
      <c r="AB47" s="7"/>
      <c r="AC47" s="7">
        <v>11</v>
      </c>
      <c r="AD47" s="7">
        <v>114</v>
      </c>
      <c r="AE47" s="7"/>
      <c r="AF47" s="7">
        <v>20</v>
      </c>
      <c r="AG47" s="7"/>
      <c r="AH47" s="7"/>
      <c r="AI47" s="7"/>
      <c r="AJ47" s="7"/>
      <c r="AK47" s="7"/>
      <c r="AL47" s="7"/>
      <c r="AM47" s="7"/>
      <c r="AN47" s="7"/>
      <c r="AO47" s="7"/>
      <c r="AP47" s="7" t="s">
        <v>55</v>
      </c>
    </row>
    <row r="48" hidden="1" customHeight="1" spans="1:42">
      <c r="A48" s="6">
        <v>45801</v>
      </c>
      <c r="B48" s="7" t="s">
        <v>43</v>
      </c>
      <c r="C48" s="7" t="s">
        <v>44</v>
      </c>
      <c r="D48" s="7">
        <v>280</v>
      </c>
      <c r="E48" s="8">
        <v>6289</v>
      </c>
      <c r="F48" s="7">
        <v>3754</v>
      </c>
      <c r="G48" s="7">
        <v>3628</v>
      </c>
      <c r="H48" s="7">
        <v>126</v>
      </c>
      <c r="I48" s="13">
        <f t="shared" si="12"/>
        <v>0.966435801811401</v>
      </c>
      <c r="J48" s="14">
        <v>3628</v>
      </c>
      <c r="K48" s="7">
        <v>2752</v>
      </c>
      <c r="L48" s="7">
        <v>636</v>
      </c>
      <c r="M48" s="13">
        <f t="shared" si="13"/>
        <v>0.812278630460449</v>
      </c>
      <c r="N48" s="15">
        <f t="shared" si="14"/>
        <v>0.785015149523311</v>
      </c>
      <c r="O48" s="16">
        <v>762</v>
      </c>
      <c r="P48" s="7"/>
      <c r="Q48" s="7"/>
      <c r="R48" s="7">
        <v>49</v>
      </c>
      <c r="S48" s="7"/>
      <c r="T48" s="7">
        <v>256</v>
      </c>
      <c r="U48" s="7"/>
      <c r="V48" s="7"/>
      <c r="W48" s="7"/>
      <c r="X48" s="7"/>
      <c r="Y48" s="7">
        <v>165</v>
      </c>
      <c r="Z48" s="7">
        <v>69</v>
      </c>
      <c r="AA48" s="7"/>
      <c r="AB48" s="7"/>
      <c r="AC48" s="7">
        <v>40</v>
      </c>
      <c r="AD48" s="7">
        <v>152</v>
      </c>
      <c r="AE48" s="7"/>
      <c r="AF48" s="7">
        <v>18</v>
      </c>
      <c r="AG48" s="7"/>
      <c r="AH48" s="7">
        <v>5</v>
      </c>
      <c r="AI48" s="7"/>
      <c r="AJ48" s="7"/>
      <c r="AK48" s="7">
        <v>8</v>
      </c>
      <c r="AL48" s="7"/>
      <c r="AM48" s="7"/>
      <c r="AN48" s="7"/>
      <c r="AO48" s="7"/>
      <c r="AP48" s="7" t="s">
        <v>56</v>
      </c>
    </row>
    <row r="49" hidden="1" customHeight="1" spans="1:42">
      <c r="A49" s="6">
        <v>45801</v>
      </c>
      <c r="B49" s="7" t="s">
        <v>43</v>
      </c>
      <c r="C49" s="7" t="s">
        <v>44</v>
      </c>
      <c r="D49" s="7">
        <v>170</v>
      </c>
      <c r="E49" s="8">
        <v>6290</v>
      </c>
      <c r="F49" s="7">
        <v>2265</v>
      </c>
      <c r="G49" s="7">
        <v>2190</v>
      </c>
      <c r="H49" s="7">
        <v>75</v>
      </c>
      <c r="I49" s="13">
        <f t="shared" si="12"/>
        <v>0.966887417218543</v>
      </c>
      <c r="J49" s="14">
        <v>2190</v>
      </c>
      <c r="K49" s="7">
        <v>1750</v>
      </c>
      <c r="L49" s="7">
        <v>320</v>
      </c>
      <c r="M49" s="13">
        <f t="shared" si="13"/>
        <v>0.845410628019324</v>
      </c>
      <c r="N49" s="15">
        <f t="shared" si="14"/>
        <v>0.81741689861471</v>
      </c>
      <c r="O49" s="16">
        <v>395</v>
      </c>
      <c r="P49" s="7"/>
      <c r="Q49" s="7"/>
      <c r="R49" s="7">
        <v>32</v>
      </c>
      <c r="S49" s="7"/>
      <c r="T49" s="7">
        <v>118</v>
      </c>
      <c r="U49" s="7">
        <v>5</v>
      </c>
      <c r="V49" s="7"/>
      <c r="W49" s="7"/>
      <c r="X49" s="7"/>
      <c r="Y49" s="7">
        <v>105</v>
      </c>
      <c r="Z49" s="7">
        <v>52</v>
      </c>
      <c r="AA49" s="7"/>
      <c r="AB49" s="7"/>
      <c r="AC49" s="7">
        <v>12</v>
      </c>
      <c r="AD49" s="7">
        <v>56</v>
      </c>
      <c r="AE49" s="7"/>
      <c r="AF49" s="7">
        <v>15</v>
      </c>
      <c r="AG49" s="7"/>
      <c r="AH49" s="7"/>
      <c r="AI49" s="7"/>
      <c r="AJ49" s="7"/>
      <c r="AK49" s="7"/>
      <c r="AL49" s="7"/>
      <c r="AM49" s="7"/>
      <c r="AN49" s="7"/>
      <c r="AO49" s="7"/>
      <c r="AP49" s="7" t="s">
        <v>57</v>
      </c>
    </row>
    <row r="50" hidden="1" customHeight="1" spans="1:42">
      <c r="A50" s="6">
        <v>45803</v>
      </c>
      <c r="B50" s="7" t="s">
        <v>43</v>
      </c>
      <c r="C50" s="7" t="s">
        <v>44</v>
      </c>
      <c r="D50" s="7">
        <v>155</v>
      </c>
      <c r="E50" s="8">
        <v>6290</v>
      </c>
      <c r="F50" s="7">
        <v>1981</v>
      </c>
      <c r="G50" s="7">
        <v>1933</v>
      </c>
      <c r="H50" s="7">
        <v>48</v>
      </c>
      <c r="I50" s="13">
        <f t="shared" ref="I50:I66" si="15">G50/F50</f>
        <v>0.975769813225644</v>
      </c>
      <c r="J50" s="14">
        <v>1933</v>
      </c>
      <c r="K50" s="7">
        <v>1578</v>
      </c>
      <c r="L50" s="7">
        <v>235</v>
      </c>
      <c r="M50" s="13">
        <f t="shared" ref="M50:M66" si="16">K50/(L50+K50)</f>
        <v>0.870380584666299</v>
      </c>
      <c r="N50" s="15">
        <f t="shared" ref="N50:N66" si="17">I50*M50</f>
        <v>0.849291100535061</v>
      </c>
      <c r="O50" s="16">
        <v>283</v>
      </c>
      <c r="P50" s="7"/>
      <c r="Q50" s="7"/>
      <c r="R50" s="7">
        <v>25</v>
      </c>
      <c r="S50" s="7"/>
      <c r="T50" s="7">
        <v>102</v>
      </c>
      <c r="U50" s="7">
        <v>3</v>
      </c>
      <c r="V50" s="7"/>
      <c r="W50" s="7"/>
      <c r="X50" s="7"/>
      <c r="Y50" s="7">
        <v>70</v>
      </c>
      <c r="Z50" s="7">
        <v>32</v>
      </c>
      <c r="AA50" s="7"/>
      <c r="AB50" s="7"/>
      <c r="AC50" s="7">
        <v>8</v>
      </c>
      <c r="AD50" s="7">
        <v>37</v>
      </c>
      <c r="AE50" s="7"/>
      <c r="AF50" s="7">
        <v>6</v>
      </c>
      <c r="AG50" s="7"/>
      <c r="AH50" s="7"/>
      <c r="AI50" s="7"/>
      <c r="AJ50" s="7"/>
      <c r="AK50" s="7"/>
      <c r="AL50" s="7"/>
      <c r="AM50" s="7"/>
      <c r="AN50" s="7"/>
      <c r="AO50" s="7"/>
      <c r="AP50" s="7" t="s">
        <v>57</v>
      </c>
    </row>
    <row r="51" hidden="1" customHeight="1" spans="1:42">
      <c r="A51" s="6">
        <v>45803</v>
      </c>
      <c r="B51" s="7" t="s">
        <v>43</v>
      </c>
      <c r="C51" s="7" t="s">
        <v>44</v>
      </c>
      <c r="D51" s="7">
        <v>170</v>
      </c>
      <c r="E51" s="8">
        <v>6289</v>
      </c>
      <c r="F51" s="7">
        <v>2380</v>
      </c>
      <c r="G51" s="7">
        <v>2270</v>
      </c>
      <c r="H51" s="7">
        <v>110</v>
      </c>
      <c r="I51" s="13">
        <f t="shared" si="15"/>
        <v>0.953781512605042</v>
      </c>
      <c r="J51" s="14">
        <v>2270</v>
      </c>
      <c r="K51" s="7">
        <v>1770</v>
      </c>
      <c r="L51" s="7">
        <v>380</v>
      </c>
      <c r="M51" s="13">
        <f t="shared" si="16"/>
        <v>0.823255813953488</v>
      </c>
      <c r="N51" s="15">
        <f t="shared" si="17"/>
        <v>0.785206175493453</v>
      </c>
      <c r="O51" s="16">
        <v>490</v>
      </c>
      <c r="P51" s="7"/>
      <c r="Q51" s="7"/>
      <c r="R51" s="7">
        <v>45</v>
      </c>
      <c r="S51" s="7"/>
      <c r="T51" s="7">
        <v>143</v>
      </c>
      <c r="U51" s="7">
        <v>6</v>
      </c>
      <c r="V51" s="7"/>
      <c r="W51" s="7"/>
      <c r="X51" s="7"/>
      <c r="Y51" s="7">
        <v>126</v>
      </c>
      <c r="Z51" s="7">
        <v>30</v>
      </c>
      <c r="AA51" s="7"/>
      <c r="AB51" s="7"/>
      <c r="AC51" s="7">
        <v>22</v>
      </c>
      <c r="AD51" s="7">
        <v>59</v>
      </c>
      <c r="AE51" s="7"/>
      <c r="AF51" s="7">
        <v>12</v>
      </c>
      <c r="AG51" s="7"/>
      <c r="AH51" s="7">
        <v>47</v>
      </c>
      <c r="AI51" s="7"/>
      <c r="AJ51" s="7"/>
      <c r="AK51" s="7"/>
      <c r="AL51" s="7"/>
      <c r="AM51" s="7"/>
      <c r="AN51" s="7"/>
      <c r="AO51" s="7"/>
      <c r="AP51" s="7" t="s">
        <v>57</v>
      </c>
    </row>
    <row r="52" hidden="1" customHeight="1" spans="1:42">
      <c r="A52" s="6">
        <v>45804</v>
      </c>
      <c r="B52" s="7" t="s">
        <v>43</v>
      </c>
      <c r="C52" s="7" t="s">
        <v>44</v>
      </c>
      <c r="D52" s="7">
        <v>175</v>
      </c>
      <c r="E52" s="8">
        <v>6289</v>
      </c>
      <c r="F52" s="7">
        <v>2585</v>
      </c>
      <c r="G52" s="7">
        <v>2440</v>
      </c>
      <c r="H52" s="7">
        <v>145</v>
      </c>
      <c r="I52" s="13">
        <f t="shared" si="15"/>
        <v>0.943907156673114</v>
      </c>
      <c r="J52" s="14">
        <v>2440</v>
      </c>
      <c r="K52" s="7">
        <v>1886</v>
      </c>
      <c r="L52" s="7">
        <v>404</v>
      </c>
      <c r="M52" s="13">
        <f t="shared" si="16"/>
        <v>0.823580786026201</v>
      </c>
      <c r="N52" s="15">
        <f t="shared" si="17"/>
        <v>0.7773837980286</v>
      </c>
      <c r="O52" s="16">
        <v>549</v>
      </c>
      <c r="P52" s="7"/>
      <c r="Q52" s="7"/>
      <c r="R52" s="7">
        <v>53</v>
      </c>
      <c r="S52" s="7"/>
      <c r="T52" s="7">
        <v>154</v>
      </c>
      <c r="U52" s="7">
        <v>2</v>
      </c>
      <c r="V52" s="7"/>
      <c r="W52" s="7"/>
      <c r="X52" s="7"/>
      <c r="Y52" s="7">
        <v>150</v>
      </c>
      <c r="Z52" s="7">
        <v>41</v>
      </c>
      <c r="AA52" s="7"/>
      <c r="AB52" s="7"/>
      <c r="AC52" s="7">
        <v>56</v>
      </c>
      <c r="AD52" s="7">
        <v>19</v>
      </c>
      <c r="AE52" s="7"/>
      <c r="AF52" s="7">
        <v>5</v>
      </c>
      <c r="AG52" s="7"/>
      <c r="AH52" s="7">
        <v>69</v>
      </c>
      <c r="AI52" s="7"/>
      <c r="AJ52" s="7"/>
      <c r="AK52" s="7"/>
      <c r="AL52" s="7"/>
      <c r="AM52" s="7"/>
      <c r="AN52" s="7"/>
      <c r="AO52" s="7"/>
      <c r="AP52" s="7" t="s">
        <v>63</v>
      </c>
    </row>
    <row r="53" hidden="1" customHeight="1" spans="1:42">
      <c r="A53" s="6">
        <v>45804</v>
      </c>
      <c r="B53" s="7" t="s">
        <v>43</v>
      </c>
      <c r="C53" s="7" t="s">
        <v>44</v>
      </c>
      <c r="D53" s="7">
        <v>150</v>
      </c>
      <c r="E53" s="8">
        <v>6290</v>
      </c>
      <c r="F53" s="7">
        <v>2120</v>
      </c>
      <c r="G53" s="7">
        <v>1974</v>
      </c>
      <c r="H53" s="7">
        <v>146</v>
      </c>
      <c r="I53" s="13">
        <f t="shared" si="15"/>
        <v>0.931132075471698</v>
      </c>
      <c r="J53" s="14">
        <v>1974</v>
      </c>
      <c r="K53" s="7">
        <v>1564</v>
      </c>
      <c r="L53" s="7">
        <v>320</v>
      </c>
      <c r="M53" s="13">
        <f t="shared" si="16"/>
        <v>0.830148619957537</v>
      </c>
      <c r="N53" s="15">
        <f t="shared" si="17"/>
        <v>0.772978007451028</v>
      </c>
      <c r="O53" s="16">
        <v>466</v>
      </c>
      <c r="P53" s="7"/>
      <c r="Q53" s="7"/>
      <c r="R53" s="7">
        <v>52</v>
      </c>
      <c r="S53" s="7"/>
      <c r="T53" s="7">
        <v>132</v>
      </c>
      <c r="U53" s="7"/>
      <c r="V53" s="7"/>
      <c r="W53" s="7"/>
      <c r="X53" s="7"/>
      <c r="Y53" s="7">
        <v>139</v>
      </c>
      <c r="Z53" s="7">
        <v>55</v>
      </c>
      <c r="AA53" s="7"/>
      <c r="AB53" s="7"/>
      <c r="AC53" s="7">
        <v>40</v>
      </c>
      <c r="AD53" s="7">
        <v>18</v>
      </c>
      <c r="AE53" s="7"/>
      <c r="AF53" s="7">
        <v>18</v>
      </c>
      <c r="AG53" s="7"/>
      <c r="AH53" s="7"/>
      <c r="AI53" s="7"/>
      <c r="AJ53" s="7"/>
      <c r="AK53" s="7">
        <v>12</v>
      </c>
      <c r="AL53" s="7"/>
      <c r="AM53" s="7"/>
      <c r="AN53" s="7"/>
      <c r="AO53" s="7"/>
      <c r="AP53" s="7" t="s">
        <v>48</v>
      </c>
    </row>
    <row r="54" hidden="1" customHeight="1" spans="1:42">
      <c r="A54" s="6">
        <v>45805</v>
      </c>
      <c r="B54" s="7" t="s">
        <v>43</v>
      </c>
      <c r="C54" s="7" t="s">
        <v>44</v>
      </c>
      <c r="D54" s="7">
        <v>130</v>
      </c>
      <c r="E54" s="8">
        <v>6289</v>
      </c>
      <c r="F54" s="7">
        <v>1594</v>
      </c>
      <c r="G54" s="7">
        <v>1528</v>
      </c>
      <c r="H54" s="7">
        <v>66</v>
      </c>
      <c r="I54" s="13">
        <f t="shared" si="15"/>
        <v>0.958594730238394</v>
      </c>
      <c r="J54" s="14">
        <v>1528</v>
      </c>
      <c r="K54" s="7">
        <v>1209</v>
      </c>
      <c r="L54" s="7">
        <v>259</v>
      </c>
      <c r="M54" s="13">
        <f t="shared" si="16"/>
        <v>0.823569482288828</v>
      </c>
      <c r="N54" s="15">
        <f t="shared" si="17"/>
        <v>0.789469365707233</v>
      </c>
      <c r="O54" s="16">
        <v>325</v>
      </c>
      <c r="P54" s="7"/>
      <c r="Q54" s="7"/>
      <c r="R54" s="7">
        <v>25</v>
      </c>
      <c r="S54" s="7"/>
      <c r="T54" s="7">
        <v>105</v>
      </c>
      <c r="U54" s="7"/>
      <c r="V54" s="7"/>
      <c r="W54" s="7"/>
      <c r="X54" s="7"/>
      <c r="Y54" s="7">
        <v>79</v>
      </c>
      <c r="Z54" s="7">
        <v>16</v>
      </c>
      <c r="AA54" s="7"/>
      <c r="AB54" s="7">
        <v>1</v>
      </c>
      <c r="AC54" s="7">
        <v>71</v>
      </c>
      <c r="AD54" s="7">
        <v>3</v>
      </c>
      <c r="AE54" s="7"/>
      <c r="AF54" s="7">
        <v>20</v>
      </c>
      <c r="AG54" s="7"/>
      <c r="AH54" s="7"/>
      <c r="AI54" s="7"/>
      <c r="AJ54" s="7"/>
      <c r="AK54" s="7">
        <v>5</v>
      </c>
      <c r="AL54" s="7"/>
      <c r="AM54" s="7"/>
      <c r="AN54" s="7"/>
      <c r="AO54" s="7"/>
      <c r="AP54" s="7" t="s">
        <v>62</v>
      </c>
    </row>
    <row r="55" hidden="1" customHeight="1" spans="1:42">
      <c r="A55" s="6">
        <v>45806</v>
      </c>
      <c r="B55" s="7" t="s">
        <v>43</v>
      </c>
      <c r="C55" s="7" t="s">
        <v>44</v>
      </c>
      <c r="D55" s="7">
        <v>150</v>
      </c>
      <c r="E55" s="8">
        <v>6289</v>
      </c>
      <c r="F55" s="7">
        <v>2104</v>
      </c>
      <c r="G55" s="7">
        <v>2036</v>
      </c>
      <c r="H55" s="7">
        <v>68</v>
      </c>
      <c r="I55" s="13">
        <f t="shared" si="15"/>
        <v>0.967680608365019</v>
      </c>
      <c r="J55" s="14">
        <v>2036</v>
      </c>
      <c r="K55" s="7">
        <v>1647</v>
      </c>
      <c r="L55" s="7">
        <v>299</v>
      </c>
      <c r="M55" s="13">
        <f t="shared" si="16"/>
        <v>0.846351490236382</v>
      </c>
      <c r="N55" s="15">
        <f t="shared" si="17"/>
        <v>0.818997924962583</v>
      </c>
      <c r="O55" s="16">
        <v>367</v>
      </c>
      <c r="P55" s="7"/>
      <c r="Q55" s="7"/>
      <c r="R55" s="7">
        <v>46</v>
      </c>
      <c r="S55" s="7"/>
      <c r="T55" s="7">
        <v>144</v>
      </c>
      <c r="U55" s="7"/>
      <c r="V55" s="7"/>
      <c r="W55" s="7"/>
      <c r="X55" s="7"/>
      <c r="Y55" s="7">
        <v>84</v>
      </c>
      <c r="Z55" s="7">
        <v>27</v>
      </c>
      <c r="AA55" s="7"/>
      <c r="AB55" s="7"/>
      <c r="AC55" s="7">
        <v>27</v>
      </c>
      <c r="AD55" s="7">
        <v>10</v>
      </c>
      <c r="AE55" s="7"/>
      <c r="AF55" s="7">
        <v>17</v>
      </c>
      <c r="AG55" s="7"/>
      <c r="AH55" s="7"/>
      <c r="AI55" s="7"/>
      <c r="AJ55" s="7"/>
      <c r="AK55" s="7">
        <v>12</v>
      </c>
      <c r="AL55" s="7"/>
      <c r="AM55" s="7"/>
      <c r="AN55" s="7"/>
      <c r="AO55" s="7"/>
      <c r="AP55" s="7" t="s">
        <v>48</v>
      </c>
    </row>
    <row r="56" hidden="1" customHeight="1" spans="1:42">
      <c r="A56" s="6">
        <v>45807</v>
      </c>
      <c r="B56" s="7" t="s">
        <v>43</v>
      </c>
      <c r="C56" s="7" t="s">
        <v>44</v>
      </c>
      <c r="D56" s="7">
        <v>130</v>
      </c>
      <c r="E56" s="8">
        <v>6290</v>
      </c>
      <c r="F56" s="7">
        <v>1813</v>
      </c>
      <c r="G56" s="7">
        <v>1730</v>
      </c>
      <c r="H56" s="7">
        <v>83</v>
      </c>
      <c r="I56" s="13">
        <f t="shared" si="15"/>
        <v>0.954219525648097</v>
      </c>
      <c r="J56" s="14">
        <v>1730</v>
      </c>
      <c r="K56" s="7">
        <v>1375</v>
      </c>
      <c r="L56" s="7">
        <v>295</v>
      </c>
      <c r="M56" s="13">
        <f t="shared" si="16"/>
        <v>0.823353293413174</v>
      </c>
      <c r="N56" s="15">
        <f t="shared" si="17"/>
        <v>0.785659789081517</v>
      </c>
      <c r="O56" s="16">
        <v>378</v>
      </c>
      <c r="P56" s="7"/>
      <c r="Q56" s="7"/>
      <c r="R56" s="7">
        <v>36</v>
      </c>
      <c r="S56" s="7">
        <v>10</v>
      </c>
      <c r="T56" s="7">
        <v>137</v>
      </c>
      <c r="U56" s="7">
        <v>3</v>
      </c>
      <c r="V56" s="7">
        <v>1</v>
      </c>
      <c r="W56" s="7"/>
      <c r="X56" s="7"/>
      <c r="Y56" s="7">
        <v>70</v>
      </c>
      <c r="Z56" s="7">
        <v>55</v>
      </c>
      <c r="AA56" s="7"/>
      <c r="AB56" s="7"/>
      <c r="AC56" s="7">
        <v>54</v>
      </c>
      <c r="AD56" s="7">
        <v>4</v>
      </c>
      <c r="AE56" s="7"/>
      <c r="AF56" s="7">
        <v>2</v>
      </c>
      <c r="AG56" s="7"/>
      <c r="AH56" s="7"/>
      <c r="AI56" s="7"/>
      <c r="AJ56" s="7"/>
      <c r="AK56" s="7">
        <v>6</v>
      </c>
      <c r="AL56" s="7"/>
      <c r="AM56" s="7"/>
      <c r="AN56" s="7"/>
      <c r="AO56" s="7"/>
      <c r="AP56" s="7" t="s">
        <v>62</v>
      </c>
    </row>
    <row r="57" hidden="1" customHeight="1" spans="1:42">
      <c r="A57" s="6">
        <v>45811</v>
      </c>
      <c r="B57" s="7" t="s">
        <v>43</v>
      </c>
      <c r="C57" s="7" t="s">
        <v>44</v>
      </c>
      <c r="D57" s="7">
        <v>210</v>
      </c>
      <c r="E57" s="8">
        <v>6289</v>
      </c>
      <c r="F57" s="7">
        <v>3159</v>
      </c>
      <c r="G57" s="7">
        <v>3038</v>
      </c>
      <c r="H57" s="7">
        <v>121</v>
      </c>
      <c r="I57" s="13">
        <f t="shared" si="15"/>
        <v>0.961696739474517</v>
      </c>
      <c r="J57" s="14">
        <v>3038</v>
      </c>
      <c r="K57" s="7">
        <v>2469</v>
      </c>
      <c r="L57" s="7">
        <v>449</v>
      </c>
      <c r="M57" s="13">
        <f t="shared" si="16"/>
        <v>0.846127484578478</v>
      </c>
      <c r="N57" s="15">
        <f t="shared" si="17"/>
        <v>0.813718043098898</v>
      </c>
      <c r="O57" s="16">
        <v>570</v>
      </c>
      <c r="P57" s="7"/>
      <c r="Q57" s="7"/>
      <c r="R57" s="7">
        <v>60</v>
      </c>
      <c r="S57" s="7"/>
      <c r="T57" s="7">
        <v>237</v>
      </c>
      <c r="U57" s="7">
        <v>8</v>
      </c>
      <c r="V57" s="7"/>
      <c r="W57" s="7"/>
      <c r="X57" s="7"/>
      <c r="Y57" s="7">
        <v>109</v>
      </c>
      <c r="Z57" s="7">
        <v>56</v>
      </c>
      <c r="AA57" s="7"/>
      <c r="AB57" s="7"/>
      <c r="AC57" s="7">
        <v>84</v>
      </c>
      <c r="AD57" s="7">
        <v>1</v>
      </c>
      <c r="AE57" s="7"/>
      <c r="AF57" s="7">
        <v>12</v>
      </c>
      <c r="AG57" s="7"/>
      <c r="AH57" s="7"/>
      <c r="AI57" s="7"/>
      <c r="AJ57" s="7"/>
      <c r="AK57" s="7">
        <v>3</v>
      </c>
      <c r="AL57" s="7"/>
      <c r="AM57" s="7"/>
      <c r="AN57" s="7"/>
      <c r="AO57" s="7"/>
      <c r="AP57" s="7" t="s">
        <v>57</v>
      </c>
    </row>
    <row r="58" hidden="1" customHeight="1" spans="1:42">
      <c r="A58" s="6">
        <v>45812</v>
      </c>
      <c r="B58" s="7" t="s">
        <v>43</v>
      </c>
      <c r="C58" s="7" t="s">
        <v>44</v>
      </c>
      <c r="D58" s="7">
        <v>170</v>
      </c>
      <c r="E58" s="8">
        <v>6289</v>
      </c>
      <c r="F58" s="7">
        <v>2527</v>
      </c>
      <c r="G58" s="7">
        <v>2464</v>
      </c>
      <c r="H58" s="7">
        <v>63</v>
      </c>
      <c r="I58" s="13">
        <f t="shared" si="15"/>
        <v>0.975069252077562</v>
      </c>
      <c r="J58" s="14">
        <v>2464</v>
      </c>
      <c r="K58" s="7">
        <v>1943</v>
      </c>
      <c r="L58" s="7">
        <v>401</v>
      </c>
      <c r="M58" s="13">
        <f t="shared" si="16"/>
        <v>0.828924914675768</v>
      </c>
      <c r="N58" s="15">
        <f t="shared" si="17"/>
        <v>0.808259196581358</v>
      </c>
      <c r="O58" s="16">
        <v>464</v>
      </c>
      <c r="P58" s="7"/>
      <c r="Q58" s="7"/>
      <c r="R58" s="7">
        <v>45</v>
      </c>
      <c r="S58" s="7"/>
      <c r="T58" s="7">
        <v>136</v>
      </c>
      <c r="U58" s="7">
        <v>7</v>
      </c>
      <c r="V58" s="7"/>
      <c r="W58" s="7"/>
      <c r="X58" s="7"/>
      <c r="Y58" s="7">
        <v>99</v>
      </c>
      <c r="Z58" s="7">
        <v>74</v>
      </c>
      <c r="AA58" s="7"/>
      <c r="AB58" s="7"/>
      <c r="AC58" s="7">
        <v>76</v>
      </c>
      <c r="AD58" s="7">
        <v>1</v>
      </c>
      <c r="AE58" s="7"/>
      <c r="AF58" s="7">
        <v>18</v>
      </c>
      <c r="AG58" s="7"/>
      <c r="AH58" s="7"/>
      <c r="AI58" s="7"/>
      <c r="AJ58" s="7"/>
      <c r="AK58" s="7">
        <v>8</v>
      </c>
      <c r="AL58" s="7"/>
      <c r="AM58" s="7"/>
      <c r="AN58" s="7"/>
      <c r="AO58" s="7"/>
      <c r="AP58" s="7" t="s">
        <v>57</v>
      </c>
    </row>
    <row r="59" hidden="1" customHeight="1" spans="1:42">
      <c r="A59" s="6">
        <v>45813</v>
      </c>
      <c r="B59" s="7" t="s">
        <v>43</v>
      </c>
      <c r="C59" s="7" t="s">
        <v>44</v>
      </c>
      <c r="D59" s="7">
        <v>170</v>
      </c>
      <c r="E59" s="8">
        <v>6289</v>
      </c>
      <c r="F59" s="7">
        <v>2509</v>
      </c>
      <c r="G59" s="7">
        <v>2471</v>
      </c>
      <c r="H59" s="7">
        <v>38</v>
      </c>
      <c r="I59" s="13">
        <f t="shared" si="15"/>
        <v>0.984854523714627</v>
      </c>
      <c r="J59" s="14">
        <v>2471</v>
      </c>
      <c r="K59" s="7">
        <v>2086</v>
      </c>
      <c r="L59" s="7">
        <v>295</v>
      </c>
      <c r="M59" s="13">
        <f t="shared" si="16"/>
        <v>0.876102477950441</v>
      </c>
      <c r="N59" s="15">
        <f t="shared" si="17"/>
        <v>0.862833488647086</v>
      </c>
      <c r="O59" s="16">
        <v>333</v>
      </c>
      <c r="P59" s="7"/>
      <c r="Q59" s="7"/>
      <c r="R59" s="7">
        <v>24</v>
      </c>
      <c r="S59" s="7">
        <v>20</v>
      </c>
      <c r="T59" s="7">
        <v>128</v>
      </c>
      <c r="U59" s="7">
        <v>4</v>
      </c>
      <c r="V59" s="7"/>
      <c r="W59" s="7"/>
      <c r="X59" s="7"/>
      <c r="Y59" s="7">
        <v>61</v>
      </c>
      <c r="Z59" s="7">
        <v>9</v>
      </c>
      <c r="AA59" s="7"/>
      <c r="AB59" s="7"/>
      <c r="AC59" s="7">
        <v>65</v>
      </c>
      <c r="AD59" s="7"/>
      <c r="AE59" s="7"/>
      <c r="AF59" s="7">
        <v>20</v>
      </c>
      <c r="AG59" s="7"/>
      <c r="AH59" s="7"/>
      <c r="AI59" s="7"/>
      <c r="AJ59" s="7"/>
      <c r="AK59" s="7">
        <v>2</v>
      </c>
      <c r="AL59" s="7"/>
      <c r="AM59" s="7"/>
      <c r="AN59" s="7"/>
      <c r="AO59" s="7"/>
      <c r="AP59" s="7" t="s">
        <v>48</v>
      </c>
    </row>
    <row r="60" hidden="1" customHeight="1" spans="1:42">
      <c r="A60" s="6">
        <v>45814</v>
      </c>
      <c r="B60" s="7" t="s">
        <v>43</v>
      </c>
      <c r="C60" s="7" t="s">
        <v>44</v>
      </c>
      <c r="D60" s="7">
        <v>160</v>
      </c>
      <c r="E60" s="8">
        <v>6290</v>
      </c>
      <c r="F60" s="7">
        <v>2315</v>
      </c>
      <c r="G60" s="7">
        <v>2232</v>
      </c>
      <c r="H60" s="7">
        <v>83</v>
      </c>
      <c r="I60" s="13">
        <f t="shared" si="15"/>
        <v>0.96414686825054</v>
      </c>
      <c r="J60" s="14">
        <v>2232</v>
      </c>
      <c r="K60" s="7">
        <v>1685</v>
      </c>
      <c r="L60" s="7">
        <v>235</v>
      </c>
      <c r="M60" s="13">
        <f t="shared" si="16"/>
        <v>0.877604166666667</v>
      </c>
      <c r="N60" s="15">
        <f t="shared" si="17"/>
        <v>0.846139308855292</v>
      </c>
      <c r="O60" s="16">
        <v>318</v>
      </c>
      <c r="P60" s="7"/>
      <c r="Q60" s="7"/>
      <c r="R60" s="7">
        <v>28</v>
      </c>
      <c r="S60" s="7"/>
      <c r="T60" s="7">
        <v>124</v>
      </c>
      <c r="U60" s="7">
        <v>12</v>
      </c>
      <c r="V60" s="7"/>
      <c r="W60" s="7"/>
      <c r="X60" s="7"/>
      <c r="Y60" s="7">
        <v>86</v>
      </c>
      <c r="Z60" s="7">
        <v>29</v>
      </c>
      <c r="AA60" s="7"/>
      <c r="AB60" s="7"/>
      <c r="AC60" s="7">
        <v>19</v>
      </c>
      <c r="AD60" s="7">
        <v>2</v>
      </c>
      <c r="AE60" s="7"/>
      <c r="AF60" s="7">
        <v>6</v>
      </c>
      <c r="AG60" s="7"/>
      <c r="AH60" s="7"/>
      <c r="AI60" s="7"/>
      <c r="AJ60" s="7"/>
      <c r="AK60" s="7">
        <v>12</v>
      </c>
      <c r="AL60" s="7"/>
      <c r="AM60" s="7"/>
      <c r="AN60" s="7"/>
      <c r="AO60" s="7"/>
      <c r="AP60" s="7" t="s">
        <v>66</v>
      </c>
    </row>
    <row r="61" hidden="1" customHeight="1" spans="1:42">
      <c r="A61" s="6">
        <v>45815</v>
      </c>
      <c r="B61" s="7" t="s">
        <v>43</v>
      </c>
      <c r="C61" s="7" t="s">
        <v>44</v>
      </c>
      <c r="D61" s="7">
        <v>220</v>
      </c>
      <c r="E61" s="8">
        <v>6290</v>
      </c>
      <c r="F61" s="7">
        <v>3511</v>
      </c>
      <c r="G61" s="7">
        <v>3359</v>
      </c>
      <c r="H61" s="7">
        <v>152</v>
      </c>
      <c r="I61" s="13">
        <f t="shared" si="15"/>
        <v>0.956707490743378</v>
      </c>
      <c r="J61" s="14">
        <v>3359</v>
      </c>
      <c r="K61" s="7">
        <v>2925</v>
      </c>
      <c r="L61" s="7">
        <v>314</v>
      </c>
      <c r="M61" s="13">
        <f t="shared" si="16"/>
        <v>0.90305649891942</v>
      </c>
      <c r="N61" s="15">
        <f t="shared" si="17"/>
        <v>0.863960917080698</v>
      </c>
      <c r="O61" s="16">
        <v>466</v>
      </c>
      <c r="P61" s="7"/>
      <c r="Q61" s="7"/>
      <c r="R61" s="7">
        <v>20</v>
      </c>
      <c r="S61" s="7">
        <v>2</v>
      </c>
      <c r="T61" s="7">
        <v>238</v>
      </c>
      <c r="U61" s="7">
        <v>15</v>
      </c>
      <c r="V61" s="7"/>
      <c r="W61" s="7"/>
      <c r="X61" s="7"/>
      <c r="Y61" s="7">
        <v>82</v>
      </c>
      <c r="Z61" s="7">
        <v>43</v>
      </c>
      <c r="AA61" s="7"/>
      <c r="AB61" s="7"/>
      <c r="AC61" s="7">
        <v>24</v>
      </c>
      <c r="AD61" s="7">
        <v>3</v>
      </c>
      <c r="AE61" s="7"/>
      <c r="AF61" s="7">
        <v>22</v>
      </c>
      <c r="AG61" s="7"/>
      <c r="AH61" s="7"/>
      <c r="AI61" s="7"/>
      <c r="AJ61" s="7"/>
      <c r="AK61" s="7">
        <v>17</v>
      </c>
      <c r="AL61" s="7"/>
      <c r="AM61" s="7"/>
      <c r="AN61" s="7"/>
      <c r="AO61" s="7"/>
      <c r="AP61" s="7" t="s">
        <v>57</v>
      </c>
    </row>
    <row r="62" hidden="1" customHeight="1" spans="1:42">
      <c r="A62" s="6">
        <v>45817</v>
      </c>
      <c r="B62" s="7" t="s">
        <v>43</v>
      </c>
      <c r="C62" s="7" t="s">
        <v>44</v>
      </c>
      <c r="D62" s="7">
        <v>220</v>
      </c>
      <c r="E62" s="8">
        <v>6290</v>
      </c>
      <c r="F62" s="7">
        <v>3421</v>
      </c>
      <c r="G62" s="7">
        <v>3361</v>
      </c>
      <c r="H62" s="7">
        <v>60</v>
      </c>
      <c r="I62" s="13">
        <f t="shared" ref="I62:I76" si="18">G62/F62</f>
        <v>0.982461268634902</v>
      </c>
      <c r="J62" s="14">
        <v>3361</v>
      </c>
      <c r="K62" s="7">
        <v>2933</v>
      </c>
      <c r="L62" s="7">
        <v>308</v>
      </c>
      <c r="M62" s="13">
        <f t="shared" ref="M62:M76" si="19">K62/(L62+K62)</f>
        <v>0.904967602591793</v>
      </c>
      <c r="N62" s="15">
        <f t="shared" ref="N62:N76" si="20">I62*M62</f>
        <v>0.889095618915819</v>
      </c>
      <c r="O62" s="16">
        <v>368</v>
      </c>
      <c r="P62" s="7"/>
      <c r="Q62" s="7"/>
      <c r="R62" s="7">
        <v>34</v>
      </c>
      <c r="S62" s="7"/>
      <c r="T62" s="7">
        <v>192</v>
      </c>
      <c r="U62" s="7">
        <v>19</v>
      </c>
      <c r="V62" s="7"/>
      <c r="W62" s="7"/>
      <c r="X62" s="7"/>
      <c r="Y62" s="7">
        <v>45</v>
      </c>
      <c r="Z62" s="7">
        <v>30</v>
      </c>
      <c r="AA62" s="7"/>
      <c r="AB62" s="7"/>
      <c r="AC62" s="7">
        <v>27</v>
      </c>
      <c r="AD62" s="7">
        <v>4</v>
      </c>
      <c r="AE62" s="7"/>
      <c r="AF62" s="7">
        <v>9</v>
      </c>
      <c r="AG62" s="7"/>
      <c r="AH62" s="7"/>
      <c r="AI62" s="7"/>
      <c r="AJ62" s="7"/>
      <c r="AK62" s="7">
        <v>8</v>
      </c>
      <c r="AL62" s="7"/>
      <c r="AM62" s="7"/>
      <c r="AN62" s="7"/>
      <c r="AO62" s="7"/>
      <c r="AP62" s="7" t="s">
        <v>57</v>
      </c>
    </row>
    <row r="63" hidden="1" customHeight="1" spans="1:42">
      <c r="A63" s="6">
        <v>45818</v>
      </c>
      <c r="B63" s="7" t="s">
        <v>43</v>
      </c>
      <c r="C63" s="7" t="s">
        <v>44</v>
      </c>
      <c r="D63" s="7">
        <v>270</v>
      </c>
      <c r="E63" s="8">
        <v>6290</v>
      </c>
      <c r="F63" s="7">
        <v>4161</v>
      </c>
      <c r="G63" s="7">
        <v>4093</v>
      </c>
      <c r="H63" s="7">
        <v>68</v>
      </c>
      <c r="I63" s="13">
        <f t="shared" si="18"/>
        <v>0.98365777457342</v>
      </c>
      <c r="J63" s="14">
        <v>4093</v>
      </c>
      <c r="K63" s="7">
        <v>3447</v>
      </c>
      <c r="L63" s="7">
        <v>526</v>
      </c>
      <c r="M63" s="13">
        <f t="shared" si="19"/>
        <v>0.867606342813995</v>
      </c>
      <c r="N63" s="15">
        <f t="shared" si="20"/>
        <v>0.853427724378197</v>
      </c>
      <c r="O63" s="16">
        <v>594</v>
      </c>
      <c r="P63" s="7"/>
      <c r="Q63" s="7"/>
      <c r="R63" s="7">
        <v>59</v>
      </c>
      <c r="S63" s="7"/>
      <c r="T63" s="7">
        <v>294</v>
      </c>
      <c r="U63" s="7">
        <v>23</v>
      </c>
      <c r="V63" s="7">
        <v>3</v>
      </c>
      <c r="W63" s="7"/>
      <c r="X63" s="7"/>
      <c r="Y63" s="7">
        <v>78</v>
      </c>
      <c r="Z63" s="7">
        <v>42</v>
      </c>
      <c r="AA63" s="7"/>
      <c r="AB63" s="7"/>
      <c r="AC63" s="7">
        <v>44</v>
      </c>
      <c r="AD63" s="7">
        <v>8</v>
      </c>
      <c r="AE63" s="7"/>
      <c r="AF63" s="7">
        <v>6</v>
      </c>
      <c r="AG63" s="7"/>
      <c r="AH63" s="7"/>
      <c r="AI63" s="7"/>
      <c r="AJ63" s="7"/>
      <c r="AK63" s="7">
        <v>37</v>
      </c>
      <c r="AL63" s="7"/>
      <c r="AM63" s="7"/>
      <c r="AN63" s="7"/>
      <c r="AO63" s="7"/>
      <c r="AP63" s="7" t="s">
        <v>57</v>
      </c>
    </row>
    <row r="64" hidden="1" customHeight="1" spans="1:42">
      <c r="A64" s="6">
        <v>45819</v>
      </c>
      <c r="B64" s="7" t="s">
        <v>43</v>
      </c>
      <c r="C64" s="7" t="s">
        <v>44</v>
      </c>
      <c r="D64" s="7">
        <v>290</v>
      </c>
      <c r="E64" s="8">
        <v>6290</v>
      </c>
      <c r="F64" s="7">
        <v>4661</v>
      </c>
      <c r="G64" s="7">
        <v>4517</v>
      </c>
      <c r="H64" s="7">
        <v>144</v>
      </c>
      <c r="I64" s="13">
        <f t="shared" si="18"/>
        <v>0.969105342201244</v>
      </c>
      <c r="J64" s="14">
        <v>4517</v>
      </c>
      <c r="K64" s="7">
        <v>3968</v>
      </c>
      <c r="L64" s="7">
        <v>369</v>
      </c>
      <c r="M64" s="13">
        <f t="shared" si="19"/>
        <v>0.914918146183998</v>
      </c>
      <c r="N64" s="15">
        <f t="shared" si="20"/>
        <v>0.886652063143772</v>
      </c>
      <c r="O64" s="16">
        <v>513</v>
      </c>
      <c r="P64" s="7"/>
      <c r="Q64" s="7"/>
      <c r="R64" s="7">
        <v>36</v>
      </c>
      <c r="S64" s="7"/>
      <c r="T64" s="7">
        <v>244</v>
      </c>
      <c r="U64" s="7">
        <v>28</v>
      </c>
      <c r="V64" s="7"/>
      <c r="W64" s="7"/>
      <c r="X64" s="7"/>
      <c r="Y64" s="7">
        <v>32</v>
      </c>
      <c r="Z64" s="7">
        <v>15</v>
      </c>
      <c r="AA64" s="7"/>
      <c r="AB64" s="7"/>
      <c r="AC64" s="7">
        <v>28</v>
      </c>
      <c r="AD64" s="7">
        <v>35</v>
      </c>
      <c r="AE64" s="7"/>
      <c r="AF64" s="7">
        <v>77</v>
      </c>
      <c r="AG64" s="7"/>
      <c r="AH64" s="7"/>
      <c r="AI64" s="7"/>
      <c r="AJ64" s="7"/>
      <c r="AK64" s="7">
        <v>18</v>
      </c>
      <c r="AL64" s="7"/>
      <c r="AM64" s="7"/>
      <c r="AN64" s="7"/>
      <c r="AO64" s="7"/>
      <c r="AP64" s="7" t="s">
        <v>64</v>
      </c>
    </row>
    <row r="65" hidden="1" customHeight="1" spans="1:42">
      <c r="A65" s="6">
        <v>45820</v>
      </c>
      <c r="B65" s="7" t="s">
        <v>43</v>
      </c>
      <c r="C65" s="7" t="s">
        <v>44</v>
      </c>
      <c r="D65" s="7">
        <v>220</v>
      </c>
      <c r="E65" s="8">
        <v>6290</v>
      </c>
      <c r="F65" s="7">
        <v>3391</v>
      </c>
      <c r="G65" s="7">
        <v>3305</v>
      </c>
      <c r="H65" s="7">
        <v>86</v>
      </c>
      <c r="I65" s="13">
        <f t="shared" si="18"/>
        <v>0.974638749631377</v>
      </c>
      <c r="J65" s="14">
        <v>3305</v>
      </c>
      <c r="K65" s="7">
        <v>2916</v>
      </c>
      <c r="L65" s="7">
        <v>269</v>
      </c>
      <c r="M65" s="13">
        <f t="shared" si="19"/>
        <v>0.915541601255887</v>
      </c>
      <c r="N65" s="15">
        <f t="shared" si="20"/>
        <v>0.892322321483547</v>
      </c>
      <c r="O65" s="16">
        <v>355</v>
      </c>
      <c r="P65" s="7"/>
      <c r="Q65" s="7"/>
      <c r="R65" s="7">
        <v>47</v>
      </c>
      <c r="S65" s="7"/>
      <c r="T65" s="7">
        <v>130</v>
      </c>
      <c r="U65" s="7">
        <v>10</v>
      </c>
      <c r="V65" s="7"/>
      <c r="W65" s="7"/>
      <c r="X65" s="7"/>
      <c r="Y65" s="7">
        <v>35</v>
      </c>
      <c r="Z65" s="7">
        <v>6</v>
      </c>
      <c r="AA65" s="7"/>
      <c r="AB65" s="7"/>
      <c r="AC65" s="7">
        <v>23</v>
      </c>
      <c r="AD65" s="7">
        <v>11</v>
      </c>
      <c r="AE65" s="7"/>
      <c r="AF65" s="7">
        <v>26</v>
      </c>
      <c r="AG65" s="7"/>
      <c r="AH65" s="7">
        <v>5</v>
      </c>
      <c r="AI65" s="7"/>
      <c r="AJ65" s="7"/>
      <c r="AK65" s="7">
        <v>62</v>
      </c>
      <c r="AL65" s="7"/>
      <c r="AM65" s="7"/>
      <c r="AN65" s="7"/>
      <c r="AO65" s="7"/>
      <c r="AP65" s="7" t="s">
        <v>57</v>
      </c>
    </row>
    <row r="66" hidden="1" customHeight="1" spans="1:42">
      <c r="A66" s="6">
        <v>45821</v>
      </c>
      <c r="B66" s="7" t="s">
        <v>43</v>
      </c>
      <c r="C66" s="7" t="s">
        <v>44</v>
      </c>
      <c r="D66" s="7">
        <v>190</v>
      </c>
      <c r="E66" s="8">
        <v>6290</v>
      </c>
      <c r="F66" s="7">
        <v>2915</v>
      </c>
      <c r="G66" s="7">
        <v>2849</v>
      </c>
      <c r="H66" s="7">
        <v>66</v>
      </c>
      <c r="I66" s="13">
        <f t="shared" si="18"/>
        <v>0.977358490566038</v>
      </c>
      <c r="J66" s="14">
        <v>2849</v>
      </c>
      <c r="K66" s="7">
        <v>2492</v>
      </c>
      <c r="L66" s="7">
        <v>237</v>
      </c>
      <c r="M66" s="13">
        <f t="shared" si="19"/>
        <v>0.913155001832173</v>
      </c>
      <c r="N66" s="15">
        <f t="shared" si="20"/>
        <v>0.89247979424352</v>
      </c>
      <c r="O66" s="16">
        <v>303</v>
      </c>
      <c r="P66" s="7"/>
      <c r="Q66" s="7"/>
      <c r="R66" s="7">
        <v>9</v>
      </c>
      <c r="S66" s="7"/>
      <c r="T66" s="7">
        <v>180</v>
      </c>
      <c r="U66" s="7">
        <v>21</v>
      </c>
      <c r="V66" s="7"/>
      <c r="W66" s="7"/>
      <c r="X66" s="7"/>
      <c r="Y66" s="7">
        <v>10</v>
      </c>
      <c r="Z66" s="7">
        <v>14</v>
      </c>
      <c r="AA66" s="7"/>
      <c r="AB66" s="7"/>
      <c r="AC66" s="7">
        <v>9</v>
      </c>
      <c r="AD66" s="7">
        <v>2</v>
      </c>
      <c r="AE66" s="7"/>
      <c r="AF66" s="7">
        <v>5</v>
      </c>
      <c r="AG66" s="7"/>
      <c r="AH66" s="7"/>
      <c r="AI66" s="7"/>
      <c r="AJ66" s="7"/>
      <c r="AK66" s="7">
        <v>53</v>
      </c>
      <c r="AL66" s="7"/>
      <c r="AM66" s="7"/>
      <c r="AN66" s="7"/>
      <c r="AO66" s="7"/>
      <c r="AP66" s="7" t="s">
        <v>57</v>
      </c>
    </row>
    <row r="67" hidden="1" customHeight="1" spans="1:42">
      <c r="A67" s="6">
        <v>45822</v>
      </c>
      <c r="B67" s="7" t="s">
        <v>43</v>
      </c>
      <c r="C67" s="7" t="s">
        <v>44</v>
      </c>
      <c r="D67" s="7">
        <v>190</v>
      </c>
      <c r="E67" s="8">
        <v>6290</v>
      </c>
      <c r="F67" s="7">
        <v>3040</v>
      </c>
      <c r="G67" s="7">
        <v>2970</v>
      </c>
      <c r="H67" s="7">
        <v>70</v>
      </c>
      <c r="I67" s="13">
        <f t="shared" si="18"/>
        <v>0.976973684210526</v>
      </c>
      <c r="J67" s="14">
        <v>2970</v>
      </c>
      <c r="K67" s="7">
        <v>2600</v>
      </c>
      <c r="L67" s="7">
        <v>250</v>
      </c>
      <c r="M67" s="13">
        <f t="shared" si="19"/>
        <v>0.912280701754386</v>
      </c>
      <c r="N67" s="15">
        <f t="shared" si="20"/>
        <v>0.891274238227147</v>
      </c>
      <c r="O67" s="16">
        <v>320</v>
      </c>
      <c r="P67" s="7"/>
      <c r="Q67" s="7"/>
      <c r="R67" s="7">
        <v>57</v>
      </c>
      <c r="S67" s="7"/>
      <c r="T67" s="7">
        <v>188</v>
      </c>
      <c r="U67" s="7"/>
      <c r="V67" s="7"/>
      <c r="W67" s="7"/>
      <c r="X67" s="7"/>
      <c r="Y67" s="7">
        <v>15</v>
      </c>
      <c r="Z67" s="7">
        <v>26</v>
      </c>
      <c r="AA67" s="7"/>
      <c r="AB67" s="7"/>
      <c r="AC67" s="7">
        <v>9</v>
      </c>
      <c r="AD67" s="7">
        <v>3</v>
      </c>
      <c r="AE67" s="7"/>
      <c r="AF67" s="7">
        <v>6</v>
      </c>
      <c r="AG67" s="7"/>
      <c r="AH67" s="7"/>
      <c r="AI67" s="7"/>
      <c r="AJ67" s="7"/>
      <c r="AK67" s="7">
        <v>16</v>
      </c>
      <c r="AL67" s="7"/>
      <c r="AM67" s="7"/>
      <c r="AN67" s="7"/>
      <c r="AO67" s="7"/>
      <c r="AP67" s="7" t="s">
        <v>57</v>
      </c>
    </row>
    <row r="68" hidden="1" customHeight="1" spans="1:42">
      <c r="A68" s="6">
        <v>45822</v>
      </c>
      <c r="B68" s="7" t="s">
        <v>43</v>
      </c>
      <c r="C68" s="7" t="s">
        <v>44</v>
      </c>
      <c r="D68" s="7">
        <v>190</v>
      </c>
      <c r="E68" s="8">
        <v>6289</v>
      </c>
      <c r="F68" s="7">
        <v>3226</v>
      </c>
      <c r="G68" s="7">
        <v>3170</v>
      </c>
      <c r="H68" s="7">
        <v>56</v>
      </c>
      <c r="I68" s="13">
        <f t="shared" si="18"/>
        <v>0.982641041537508</v>
      </c>
      <c r="J68" s="14">
        <v>3170</v>
      </c>
      <c r="K68" s="7">
        <v>2816</v>
      </c>
      <c r="L68" s="7">
        <v>234</v>
      </c>
      <c r="M68" s="13">
        <f t="shared" si="19"/>
        <v>0.92327868852459</v>
      </c>
      <c r="N68" s="15">
        <f t="shared" si="20"/>
        <v>0.907251532121187</v>
      </c>
      <c r="O68" s="16">
        <v>290</v>
      </c>
      <c r="P68" s="7"/>
      <c r="Q68" s="7"/>
      <c r="R68" s="7">
        <v>35</v>
      </c>
      <c r="S68" s="7"/>
      <c r="T68" s="7">
        <v>163</v>
      </c>
      <c r="U68" s="7"/>
      <c r="V68" s="7"/>
      <c r="W68" s="7"/>
      <c r="X68" s="7"/>
      <c r="Y68" s="7">
        <v>40</v>
      </c>
      <c r="Z68" s="7">
        <v>13</v>
      </c>
      <c r="AA68" s="7"/>
      <c r="AB68" s="7"/>
      <c r="AC68" s="7">
        <v>3</v>
      </c>
      <c r="AD68" s="7">
        <v>6</v>
      </c>
      <c r="AE68" s="7"/>
      <c r="AF68" s="7">
        <v>7</v>
      </c>
      <c r="AG68" s="7"/>
      <c r="AH68" s="7"/>
      <c r="AI68" s="7"/>
      <c r="AJ68" s="7"/>
      <c r="AK68" s="7">
        <v>23</v>
      </c>
      <c r="AL68" s="7"/>
      <c r="AM68" s="7"/>
      <c r="AN68" s="7"/>
      <c r="AO68" s="7"/>
      <c r="AP68" s="7" t="s">
        <v>57</v>
      </c>
    </row>
    <row r="69" hidden="1" customHeight="1" spans="1:42">
      <c r="A69" s="6">
        <v>45824</v>
      </c>
      <c r="B69" s="7" t="s">
        <v>43</v>
      </c>
      <c r="C69" s="7" t="s">
        <v>44</v>
      </c>
      <c r="D69" s="7">
        <v>170</v>
      </c>
      <c r="E69" s="8">
        <v>6289</v>
      </c>
      <c r="F69" s="7">
        <v>2713</v>
      </c>
      <c r="G69" s="7">
        <v>2541</v>
      </c>
      <c r="H69" s="7">
        <v>172</v>
      </c>
      <c r="I69" s="13">
        <f t="shared" si="18"/>
        <v>0.936601548101732</v>
      </c>
      <c r="J69" s="14">
        <v>2541</v>
      </c>
      <c r="K69" s="7">
        <v>2280</v>
      </c>
      <c r="L69" s="7">
        <v>141</v>
      </c>
      <c r="M69" s="13">
        <f t="shared" si="19"/>
        <v>0.941759603469641</v>
      </c>
      <c r="N69" s="15">
        <f t="shared" si="20"/>
        <v>0.882053502549339</v>
      </c>
      <c r="O69" s="16">
        <v>313</v>
      </c>
      <c r="P69" s="7"/>
      <c r="Q69" s="7"/>
      <c r="R69" s="7">
        <v>47</v>
      </c>
      <c r="S69" s="7"/>
      <c r="T69" s="7">
        <v>143</v>
      </c>
      <c r="U69" s="7">
        <v>9</v>
      </c>
      <c r="V69" s="7"/>
      <c r="W69" s="7"/>
      <c r="X69" s="7"/>
      <c r="Y69" s="7">
        <v>41</v>
      </c>
      <c r="Z69" s="7">
        <v>17</v>
      </c>
      <c r="AA69" s="7"/>
      <c r="AB69" s="7"/>
      <c r="AC69" s="7">
        <v>28</v>
      </c>
      <c r="AD69" s="7">
        <v>11</v>
      </c>
      <c r="AE69" s="7"/>
      <c r="AF69" s="7">
        <v>8</v>
      </c>
      <c r="AG69" s="7"/>
      <c r="AH69" s="7"/>
      <c r="AI69" s="7"/>
      <c r="AJ69" s="7"/>
      <c r="AK69" s="7">
        <v>9</v>
      </c>
      <c r="AL69" s="7"/>
      <c r="AM69" s="7"/>
      <c r="AN69" s="7"/>
      <c r="AO69" s="7"/>
      <c r="AP69" s="7" t="s">
        <v>57</v>
      </c>
    </row>
    <row r="70" hidden="1" customHeight="1" spans="1:42">
      <c r="A70" s="6">
        <v>45824</v>
      </c>
      <c r="B70" s="7" t="s">
        <v>43</v>
      </c>
      <c r="C70" s="7" t="s">
        <v>44</v>
      </c>
      <c r="D70" s="7">
        <v>270</v>
      </c>
      <c r="E70" s="8">
        <v>6290</v>
      </c>
      <c r="F70" s="7">
        <v>4465</v>
      </c>
      <c r="G70" s="7">
        <v>4381</v>
      </c>
      <c r="H70" s="7">
        <v>84</v>
      </c>
      <c r="I70" s="13">
        <f t="shared" ref="I70:I91" si="21">G70/F70</f>
        <v>0.981187010078387</v>
      </c>
      <c r="J70" s="14">
        <v>4381</v>
      </c>
      <c r="K70" s="7">
        <v>3962</v>
      </c>
      <c r="L70" s="7">
        <v>299</v>
      </c>
      <c r="M70" s="13">
        <f t="shared" ref="M70:M91" si="22">K70/(L70+K70)</f>
        <v>0.929828678713917</v>
      </c>
      <c r="N70" s="15">
        <f t="shared" ref="N70:N91" si="23">I70*M70</f>
        <v>0.912335821152446</v>
      </c>
      <c r="O70" s="16">
        <v>383</v>
      </c>
      <c r="P70" s="7"/>
      <c r="Q70" s="7"/>
      <c r="R70" s="7">
        <v>40</v>
      </c>
      <c r="S70" s="7"/>
      <c r="T70" s="7">
        <v>217</v>
      </c>
      <c r="U70" s="7">
        <v>5</v>
      </c>
      <c r="V70" s="7"/>
      <c r="W70" s="7"/>
      <c r="X70" s="7"/>
      <c r="Y70" s="7">
        <v>23</v>
      </c>
      <c r="Z70" s="7">
        <v>15</v>
      </c>
      <c r="AA70" s="7"/>
      <c r="AB70" s="7"/>
      <c r="AC70" s="7">
        <v>32</v>
      </c>
      <c r="AD70" s="7">
        <v>19</v>
      </c>
      <c r="AE70" s="7"/>
      <c r="AF70" s="7">
        <v>17</v>
      </c>
      <c r="AG70" s="7"/>
      <c r="AH70" s="7"/>
      <c r="AI70" s="7"/>
      <c r="AJ70" s="7"/>
      <c r="AK70" s="7">
        <v>15</v>
      </c>
      <c r="AL70" s="7"/>
      <c r="AM70" s="7"/>
      <c r="AN70" s="7"/>
      <c r="AO70" s="7"/>
      <c r="AP70" s="7" t="s">
        <v>57</v>
      </c>
    </row>
    <row r="71" hidden="1" customHeight="1" spans="1:42">
      <c r="A71" s="6">
        <v>45825</v>
      </c>
      <c r="B71" s="7" t="s">
        <v>43</v>
      </c>
      <c r="C71" s="7" t="s">
        <v>44</v>
      </c>
      <c r="D71" s="7">
        <v>230</v>
      </c>
      <c r="E71" s="8">
        <v>6289</v>
      </c>
      <c r="F71" s="7">
        <v>3617</v>
      </c>
      <c r="G71" s="7">
        <v>3535</v>
      </c>
      <c r="H71" s="7">
        <v>82</v>
      </c>
      <c r="I71" s="13">
        <f t="shared" si="21"/>
        <v>0.97732927840752</v>
      </c>
      <c r="J71" s="14">
        <v>3535</v>
      </c>
      <c r="K71" s="7">
        <v>3082</v>
      </c>
      <c r="L71" s="7">
        <v>333</v>
      </c>
      <c r="M71" s="13">
        <f t="shared" si="22"/>
        <v>0.902489019033675</v>
      </c>
      <c r="N71" s="15">
        <f t="shared" si="23"/>
        <v>0.882028941742892</v>
      </c>
      <c r="O71" s="16">
        <v>415</v>
      </c>
      <c r="P71" s="7"/>
      <c r="Q71" s="7"/>
      <c r="R71" s="7">
        <v>52</v>
      </c>
      <c r="S71" s="7"/>
      <c r="T71" s="7">
        <v>201</v>
      </c>
      <c r="U71" s="7">
        <v>11</v>
      </c>
      <c r="V71" s="7"/>
      <c r="W71" s="7"/>
      <c r="X71" s="7"/>
      <c r="Y71" s="7">
        <v>27</v>
      </c>
      <c r="Z71" s="7">
        <v>17</v>
      </c>
      <c r="AA71" s="7"/>
      <c r="AB71" s="7"/>
      <c r="AC71" s="7">
        <v>33</v>
      </c>
      <c r="AD71" s="7">
        <v>9</v>
      </c>
      <c r="AE71" s="7"/>
      <c r="AF71" s="7">
        <v>30</v>
      </c>
      <c r="AG71" s="7"/>
      <c r="AH71" s="7">
        <v>11</v>
      </c>
      <c r="AI71" s="7"/>
      <c r="AJ71" s="7"/>
      <c r="AK71" s="7">
        <v>24</v>
      </c>
      <c r="AL71" s="7"/>
      <c r="AM71" s="7"/>
      <c r="AN71" s="7"/>
      <c r="AO71" s="7"/>
      <c r="AP71" s="7" t="s">
        <v>57</v>
      </c>
    </row>
    <row r="72" hidden="1" customHeight="1" spans="1:42">
      <c r="A72" s="6">
        <v>45825</v>
      </c>
      <c r="B72" s="7" t="s">
        <v>43</v>
      </c>
      <c r="C72" s="7" t="s">
        <v>44</v>
      </c>
      <c r="D72" s="7">
        <v>180</v>
      </c>
      <c r="E72" s="8">
        <v>6290</v>
      </c>
      <c r="F72" s="7">
        <v>2745</v>
      </c>
      <c r="G72" s="7">
        <v>2730</v>
      </c>
      <c r="H72" s="7">
        <v>15</v>
      </c>
      <c r="I72" s="13">
        <f t="shared" si="21"/>
        <v>0.994535519125683</v>
      </c>
      <c r="J72" s="14">
        <v>2730</v>
      </c>
      <c r="K72" s="7">
        <v>2448</v>
      </c>
      <c r="L72" s="7">
        <v>162</v>
      </c>
      <c r="M72" s="13">
        <f t="shared" si="22"/>
        <v>0.937931034482759</v>
      </c>
      <c r="N72" s="15">
        <f t="shared" si="23"/>
        <v>0.932805728283399</v>
      </c>
      <c r="O72" s="16">
        <v>177</v>
      </c>
      <c r="P72" s="7"/>
      <c r="Q72" s="7"/>
      <c r="R72" s="7">
        <v>16</v>
      </c>
      <c r="S72" s="7"/>
      <c r="T72" s="7">
        <v>135</v>
      </c>
      <c r="U72" s="7">
        <v>8</v>
      </c>
      <c r="V72" s="7"/>
      <c r="W72" s="7"/>
      <c r="X72" s="7"/>
      <c r="Y72" s="7">
        <v>6</v>
      </c>
      <c r="Z72" s="7"/>
      <c r="AA72" s="7"/>
      <c r="AB72" s="7"/>
      <c r="AC72" s="7">
        <v>4</v>
      </c>
      <c r="AD72" s="7"/>
      <c r="AE72" s="7"/>
      <c r="AF72" s="7">
        <v>1</v>
      </c>
      <c r="AG72" s="7"/>
      <c r="AH72" s="7">
        <v>7</v>
      </c>
      <c r="AI72" s="7"/>
      <c r="AJ72" s="7"/>
      <c r="AK72" s="7"/>
      <c r="AL72" s="7"/>
      <c r="AM72" s="7"/>
      <c r="AN72" s="7"/>
      <c r="AO72" s="7"/>
      <c r="AP72" s="7" t="s">
        <v>57</v>
      </c>
    </row>
    <row r="73" hidden="1" customHeight="1" spans="1:42">
      <c r="A73" s="6">
        <v>45826</v>
      </c>
      <c r="B73" s="7" t="s">
        <v>43</v>
      </c>
      <c r="C73" s="7" t="s">
        <v>44</v>
      </c>
      <c r="D73" s="7">
        <v>250</v>
      </c>
      <c r="E73" s="8">
        <v>6290</v>
      </c>
      <c r="F73" s="7">
        <v>3986</v>
      </c>
      <c r="G73" s="7">
        <v>3953</v>
      </c>
      <c r="H73" s="7">
        <v>33</v>
      </c>
      <c r="I73" s="13">
        <f t="shared" si="21"/>
        <v>0.991721023582539</v>
      </c>
      <c r="J73" s="14">
        <v>3953</v>
      </c>
      <c r="K73" s="7">
        <v>3557</v>
      </c>
      <c r="L73" s="7">
        <v>276</v>
      </c>
      <c r="M73" s="13">
        <f t="shared" si="22"/>
        <v>0.927993738585964</v>
      </c>
      <c r="N73" s="15">
        <f t="shared" si="23"/>
        <v>0.920310900308659</v>
      </c>
      <c r="O73" s="16">
        <v>309</v>
      </c>
      <c r="P73" s="7"/>
      <c r="Q73" s="7"/>
      <c r="R73" s="7">
        <v>30</v>
      </c>
      <c r="S73" s="7"/>
      <c r="T73" s="7">
        <v>182</v>
      </c>
      <c r="U73" s="7">
        <v>20</v>
      </c>
      <c r="V73" s="7"/>
      <c r="W73" s="7"/>
      <c r="X73" s="7"/>
      <c r="Y73" s="7">
        <v>26</v>
      </c>
      <c r="Z73" s="7">
        <v>15</v>
      </c>
      <c r="AA73" s="7"/>
      <c r="AB73" s="7"/>
      <c r="AC73" s="7">
        <v>17</v>
      </c>
      <c r="AD73" s="7">
        <v>2</v>
      </c>
      <c r="AE73" s="7"/>
      <c r="AF73" s="7">
        <v>5</v>
      </c>
      <c r="AG73" s="7"/>
      <c r="AH73" s="7">
        <v>7</v>
      </c>
      <c r="AI73" s="7"/>
      <c r="AJ73" s="7"/>
      <c r="AK73" s="7">
        <v>5</v>
      </c>
      <c r="AL73" s="7"/>
      <c r="AM73" s="7"/>
      <c r="AN73" s="7"/>
      <c r="AO73" s="7"/>
      <c r="AP73" s="7" t="s">
        <v>57</v>
      </c>
    </row>
    <row r="74" hidden="1" customHeight="1" spans="1:42">
      <c r="A74" s="6">
        <v>45826</v>
      </c>
      <c r="B74" s="7" t="s">
        <v>43</v>
      </c>
      <c r="C74" s="7" t="s">
        <v>44</v>
      </c>
      <c r="D74" s="7">
        <v>270</v>
      </c>
      <c r="E74" s="8">
        <v>6289</v>
      </c>
      <c r="F74" s="7">
        <v>4680</v>
      </c>
      <c r="G74" s="7">
        <v>4637</v>
      </c>
      <c r="H74" s="7">
        <v>43</v>
      </c>
      <c r="I74" s="13">
        <f t="shared" si="21"/>
        <v>0.990811965811966</v>
      </c>
      <c r="J74" s="14">
        <v>4637</v>
      </c>
      <c r="K74" s="7">
        <v>4096</v>
      </c>
      <c r="L74" s="7">
        <v>421</v>
      </c>
      <c r="M74" s="13">
        <f t="shared" si="22"/>
        <v>0.906796546380341</v>
      </c>
      <c r="N74" s="15">
        <f t="shared" si="23"/>
        <v>0.898464868710607</v>
      </c>
      <c r="O74" s="16">
        <v>464</v>
      </c>
      <c r="P74" s="7"/>
      <c r="Q74" s="7"/>
      <c r="R74" s="7">
        <v>98</v>
      </c>
      <c r="S74" s="7"/>
      <c r="T74" s="7">
        <v>213</v>
      </c>
      <c r="U74" s="7">
        <v>4</v>
      </c>
      <c r="V74" s="7"/>
      <c r="W74" s="7"/>
      <c r="X74" s="7"/>
      <c r="Y74" s="7">
        <v>19</v>
      </c>
      <c r="Z74" s="7">
        <v>3</v>
      </c>
      <c r="AA74" s="7"/>
      <c r="AB74" s="7"/>
      <c r="AC74" s="7">
        <v>25</v>
      </c>
      <c r="AD74" s="7">
        <v>1</v>
      </c>
      <c r="AE74" s="7"/>
      <c r="AF74" s="7">
        <v>17</v>
      </c>
      <c r="AG74" s="7"/>
      <c r="AH74" s="7">
        <v>34</v>
      </c>
      <c r="AI74" s="7"/>
      <c r="AJ74" s="7"/>
      <c r="AK74" s="7">
        <v>50</v>
      </c>
      <c r="AL74" s="7"/>
      <c r="AM74" s="7"/>
      <c r="AN74" s="7"/>
      <c r="AO74" s="7"/>
      <c r="AP74" s="7" t="s">
        <v>57</v>
      </c>
    </row>
    <row r="75" hidden="1" customHeight="1" spans="1:42">
      <c r="A75" s="6">
        <v>45827</v>
      </c>
      <c r="B75" s="7" t="s">
        <v>43</v>
      </c>
      <c r="C75" s="7" t="s">
        <v>44</v>
      </c>
      <c r="D75" s="7">
        <v>300</v>
      </c>
      <c r="E75" s="8">
        <v>6289</v>
      </c>
      <c r="F75" s="7">
        <v>5230</v>
      </c>
      <c r="G75" s="7">
        <v>5175</v>
      </c>
      <c r="H75" s="7">
        <v>59</v>
      </c>
      <c r="I75" s="13">
        <f t="shared" si="21"/>
        <v>0.989483747609943</v>
      </c>
      <c r="J75" s="14">
        <v>5175</v>
      </c>
      <c r="K75" s="7">
        <v>4675</v>
      </c>
      <c r="L75" s="7">
        <v>376</v>
      </c>
      <c r="M75" s="13">
        <f t="shared" si="22"/>
        <v>0.925559295189071</v>
      </c>
      <c r="N75" s="15">
        <f t="shared" si="23"/>
        <v>0.9158258800389</v>
      </c>
      <c r="O75" s="16">
        <v>435</v>
      </c>
      <c r="P75" s="7"/>
      <c r="Q75" s="7"/>
      <c r="R75" s="7">
        <v>68</v>
      </c>
      <c r="S75" s="7"/>
      <c r="T75" s="7">
        <v>169</v>
      </c>
      <c r="U75" s="7">
        <v>8</v>
      </c>
      <c r="V75" s="7"/>
      <c r="W75" s="7"/>
      <c r="X75" s="7"/>
      <c r="Y75" s="7">
        <v>15</v>
      </c>
      <c r="Z75" s="7">
        <v>7</v>
      </c>
      <c r="AA75" s="7"/>
      <c r="AB75" s="7"/>
      <c r="AC75" s="7">
        <v>16</v>
      </c>
      <c r="AD75" s="7"/>
      <c r="AE75" s="7"/>
      <c r="AF75" s="7">
        <v>12</v>
      </c>
      <c r="AG75" s="7"/>
      <c r="AH75" s="7">
        <v>25</v>
      </c>
      <c r="AI75" s="7"/>
      <c r="AJ75" s="7"/>
      <c r="AK75" s="7">
        <v>115</v>
      </c>
      <c r="AL75" s="7"/>
      <c r="AM75" s="7"/>
      <c r="AN75" s="7"/>
      <c r="AO75" s="7"/>
      <c r="AP75" s="7" t="s">
        <v>57</v>
      </c>
    </row>
    <row r="76" hidden="1" customHeight="1" spans="1:42">
      <c r="A76" s="6">
        <v>45827</v>
      </c>
      <c r="B76" s="7" t="s">
        <v>43</v>
      </c>
      <c r="C76" s="7" t="s">
        <v>44</v>
      </c>
      <c r="D76" s="7">
        <v>270</v>
      </c>
      <c r="E76" s="8">
        <v>6290</v>
      </c>
      <c r="F76" s="7">
        <v>4266</v>
      </c>
      <c r="G76" s="7">
        <v>4205</v>
      </c>
      <c r="H76" s="7">
        <v>61</v>
      </c>
      <c r="I76" s="13">
        <f t="shared" si="21"/>
        <v>0.985700890764182</v>
      </c>
      <c r="J76" s="14">
        <v>4205</v>
      </c>
      <c r="K76" s="7">
        <v>3776</v>
      </c>
      <c r="L76" s="7">
        <v>309</v>
      </c>
      <c r="M76" s="13">
        <f t="shared" si="22"/>
        <v>0.924357405140759</v>
      </c>
      <c r="N76" s="15">
        <f t="shared" si="23"/>
        <v>0.911139917631714</v>
      </c>
      <c r="O76" s="16">
        <v>370</v>
      </c>
      <c r="P76" s="7">
        <v>1</v>
      </c>
      <c r="Q76" s="7"/>
      <c r="R76" s="7">
        <v>24</v>
      </c>
      <c r="S76" s="7"/>
      <c r="T76" s="7">
        <v>276</v>
      </c>
      <c r="U76" s="7">
        <v>5</v>
      </c>
      <c r="V76" s="7"/>
      <c r="W76" s="7"/>
      <c r="X76" s="7"/>
      <c r="Y76" s="7">
        <v>6</v>
      </c>
      <c r="Z76" s="7">
        <v>5</v>
      </c>
      <c r="AA76" s="7"/>
      <c r="AB76" s="7"/>
      <c r="AC76" s="7">
        <v>1</v>
      </c>
      <c r="AD76" s="7">
        <v>1</v>
      </c>
      <c r="AE76" s="7"/>
      <c r="AF76" s="7">
        <v>11</v>
      </c>
      <c r="AG76" s="7"/>
      <c r="AH76" s="7">
        <v>13</v>
      </c>
      <c r="AI76" s="7"/>
      <c r="AJ76" s="7"/>
      <c r="AK76" s="7">
        <v>27</v>
      </c>
      <c r="AL76" s="7"/>
      <c r="AM76" s="7"/>
      <c r="AN76" s="7"/>
      <c r="AO76" s="7"/>
      <c r="AP76" s="7" t="s">
        <v>57</v>
      </c>
    </row>
    <row r="77" customHeight="1" spans="1:42">
      <c r="A77" s="6">
        <v>45828</v>
      </c>
      <c r="B77" s="7" t="s">
        <v>43</v>
      </c>
      <c r="C77" s="7" t="s">
        <v>44</v>
      </c>
      <c r="D77" s="7">
        <v>270</v>
      </c>
      <c r="E77" s="8">
        <v>6290</v>
      </c>
      <c r="F77" s="7">
        <v>4370</v>
      </c>
      <c r="G77" s="7">
        <v>4315</v>
      </c>
      <c r="H77" s="7">
        <v>55</v>
      </c>
      <c r="I77" s="13">
        <f t="shared" si="21"/>
        <v>0.987414187643021</v>
      </c>
      <c r="J77" s="14">
        <v>4315</v>
      </c>
      <c r="K77" s="7">
        <v>3840</v>
      </c>
      <c r="L77" s="7">
        <v>355</v>
      </c>
      <c r="M77" s="13">
        <f t="shared" si="22"/>
        <v>0.915375446960667</v>
      </c>
      <c r="N77" s="15">
        <f t="shared" si="23"/>
        <v>0.903854703349034</v>
      </c>
      <c r="O77" s="16">
        <v>410</v>
      </c>
      <c r="P77" s="7">
        <v>2</v>
      </c>
      <c r="Q77" s="7"/>
      <c r="R77" s="7">
        <v>45</v>
      </c>
      <c r="S77" s="7"/>
      <c r="T77" s="7">
        <v>218</v>
      </c>
      <c r="U77" s="7">
        <v>7</v>
      </c>
      <c r="V77" s="7"/>
      <c r="W77" s="7"/>
      <c r="X77" s="7"/>
      <c r="Y77" s="7">
        <v>16</v>
      </c>
      <c r="Z77" s="7">
        <v>9</v>
      </c>
      <c r="AA77" s="7"/>
      <c r="AB77" s="7"/>
      <c r="AC77" s="7">
        <v>19</v>
      </c>
      <c r="AD77" s="7">
        <v>3</v>
      </c>
      <c r="AE77" s="7"/>
      <c r="AF77" s="7">
        <v>19</v>
      </c>
      <c r="AG77" s="7"/>
      <c r="AH77" s="7">
        <v>10</v>
      </c>
      <c r="AI77" s="7"/>
      <c r="AJ77" s="7"/>
      <c r="AK77" s="7">
        <v>62</v>
      </c>
      <c r="AL77" s="7"/>
      <c r="AM77" s="7"/>
      <c r="AN77" s="7"/>
      <c r="AO77" s="7"/>
      <c r="AP77" s="7" t="s">
        <v>57</v>
      </c>
    </row>
    <row r="78" customHeight="1" spans="1:42">
      <c r="A78" s="6">
        <v>45828</v>
      </c>
      <c r="B78" s="7" t="s">
        <v>43</v>
      </c>
      <c r="C78" s="7" t="s">
        <v>44</v>
      </c>
      <c r="D78" s="7">
        <v>280</v>
      </c>
      <c r="E78" s="8">
        <v>6289</v>
      </c>
      <c r="F78" s="7">
        <v>4424</v>
      </c>
      <c r="G78" s="7">
        <v>4373</v>
      </c>
      <c r="H78" s="7">
        <v>51</v>
      </c>
      <c r="I78" s="13">
        <f t="shared" si="21"/>
        <v>0.988471971066908</v>
      </c>
      <c r="J78" s="14">
        <v>4373</v>
      </c>
      <c r="K78" s="7">
        <v>3972</v>
      </c>
      <c r="L78" s="7">
        <v>281</v>
      </c>
      <c r="M78" s="13">
        <f t="shared" si="22"/>
        <v>0.933928991300259</v>
      </c>
      <c r="N78" s="15">
        <f t="shared" si="23"/>
        <v>0.923162630867096</v>
      </c>
      <c r="O78" s="16">
        <v>332</v>
      </c>
      <c r="P78" s="7"/>
      <c r="Q78" s="7"/>
      <c r="R78" s="7">
        <v>55</v>
      </c>
      <c r="S78" s="7"/>
      <c r="T78" s="7">
        <v>160</v>
      </c>
      <c r="U78" s="7">
        <v>4</v>
      </c>
      <c r="V78" s="7"/>
      <c r="W78" s="7"/>
      <c r="X78" s="7"/>
      <c r="Y78" s="7">
        <v>15</v>
      </c>
      <c r="Z78" s="7">
        <v>5</v>
      </c>
      <c r="AA78" s="7"/>
      <c r="AB78" s="7"/>
      <c r="AC78" s="7">
        <v>12</v>
      </c>
      <c r="AD78" s="7">
        <v>4</v>
      </c>
      <c r="AE78" s="7"/>
      <c r="AF78" s="7">
        <v>41</v>
      </c>
      <c r="AG78" s="7"/>
      <c r="AH78" s="7">
        <v>5</v>
      </c>
      <c r="AI78" s="7"/>
      <c r="AJ78" s="7"/>
      <c r="AK78" s="7">
        <v>31</v>
      </c>
      <c r="AL78" s="7"/>
      <c r="AM78" s="7"/>
      <c r="AN78" s="7"/>
      <c r="AO78" s="7"/>
      <c r="AP78" s="7" t="s">
        <v>57</v>
      </c>
    </row>
    <row r="79" customHeight="1" spans="1:42">
      <c r="A79" s="6">
        <v>45829</v>
      </c>
      <c r="B79" s="7" t="s">
        <v>43</v>
      </c>
      <c r="C79" s="7" t="s">
        <v>44</v>
      </c>
      <c r="D79" s="7">
        <v>300</v>
      </c>
      <c r="E79" s="8">
        <v>6289</v>
      </c>
      <c r="F79" s="7">
        <v>5280</v>
      </c>
      <c r="G79" s="7">
        <v>5248</v>
      </c>
      <c r="H79" s="7">
        <v>32</v>
      </c>
      <c r="I79" s="13">
        <f t="shared" si="21"/>
        <v>0.993939393939394</v>
      </c>
      <c r="J79" s="14">
        <v>5248</v>
      </c>
      <c r="K79" s="7">
        <v>4702</v>
      </c>
      <c r="L79" s="7">
        <v>366</v>
      </c>
      <c r="M79" s="13">
        <f t="shared" si="22"/>
        <v>0.927782162588792</v>
      </c>
      <c r="N79" s="15">
        <f t="shared" si="23"/>
        <v>0.922159240391285</v>
      </c>
      <c r="O79" s="16">
        <v>398</v>
      </c>
      <c r="P79" s="7"/>
      <c r="Q79" s="7"/>
      <c r="R79" s="7">
        <v>94</v>
      </c>
      <c r="S79" s="7"/>
      <c r="T79" s="7">
        <v>177</v>
      </c>
      <c r="U79" s="7">
        <v>1</v>
      </c>
      <c r="V79" s="7"/>
      <c r="W79" s="7"/>
      <c r="X79" s="7"/>
      <c r="Y79" s="7">
        <v>23</v>
      </c>
      <c r="Z79" s="7">
        <v>1</v>
      </c>
      <c r="AA79" s="7"/>
      <c r="AB79" s="7"/>
      <c r="AC79" s="7">
        <v>7</v>
      </c>
      <c r="AD79" s="7">
        <v>37</v>
      </c>
      <c r="AE79" s="7"/>
      <c r="AF79" s="7">
        <v>10</v>
      </c>
      <c r="AG79" s="7"/>
      <c r="AH79" s="7">
        <v>7</v>
      </c>
      <c r="AI79" s="7"/>
      <c r="AJ79" s="7"/>
      <c r="AK79" s="7">
        <v>41</v>
      </c>
      <c r="AL79" s="7"/>
      <c r="AM79" s="7"/>
      <c r="AN79" s="7"/>
      <c r="AO79" s="7"/>
      <c r="AP79" s="7" t="s">
        <v>64</v>
      </c>
    </row>
    <row r="80" customHeight="1" spans="1:42">
      <c r="A80" s="6">
        <v>45829</v>
      </c>
      <c r="B80" s="7" t="s">
        <v>43</v>
      </c>
      <c r="C80" s="7" t="s">
        <v>44</v>
      </c>
      <c r="D80" s="7">
        <v>290</v>
      </c>
      <c r="E80" s="8">
        <v>6290</v>
      </c>
      <c r="F80" s="7">
        <v>4920</v>
      </c>
      <c r="G80" s="7">
        <v>4886</v>
      </c>
      <c r="H80" s="7">
        <v>34</v>
      </c>
      <c r="I80" s="13">
        <f t="shared" si="21"/>
        <v>0.993089430894309</v>
      </c>
      <c r="J80" s="14">
        <v>4886</v>
      </c>
      <c r="K80" s="7">
        <v>4416</v>
      </c>
      <c r="L80" s="7">
        <v>350</v>
      </c>
      <c r="M80" s="13">
        <f t="shared" si="22"/>
        <v>0.92656315568611</v>
      </c>
      <c r="N80" s="15">
        <f t="shared" si="23"/>
        <v>0.920160076967954</v>
      </c>
      <c r="O80" s="16">
        <v>384</v>
      </c>
      <c r="P80" s="7">
        <v>3</v>
      </c>
      <c r="Q80" s="7"/>
      <c r="R80" s="7">
        <v>50</v>
      </c>
      <c r="S80" s="7"/>
      <c r="T80" s="7">
        <v>208</v>
      </c>
      <c r="U80" s="7">
        <v>8</v>
      </c>
      <c r="V80" s="7"/>
      <c r="W80" s="7"/>
      <c r="X80" s="7"/>
      <c r="Y80" s="7">
        <v>17</v>
      </c>
      <c r="Z80" s="7">
        <v>8</v>
      </c>
      <c r="AA80" s="7"/>
      <c r="AB80" s="7"/>
      <c r="AC80" s="7">
        <v>6</v>
      </c>
      <c r="AD80" s="7">
        <v>1</v>
      </c>
      <c r="AE80" s="7"/>
      <c r="AF80" s="7">
        <v>8</v>
      </c>
      <c r="AG80" s="7"/>
      <c r="AH80" s="7">
        <v>9</v>
      </c>
      <c r="AI80" s="7"/>
      <c r="AJ80" s="7"/>
      <c r="AK80" s="7">
        <v>66</v>
      </c>
      <c r="AL80" s="7"/>
      <c r="AM80" s="7"/>
      <c r="AN80" s="7"/>
      <c r="AO80" s="7"/>
      <c r="AP80" s="7" t="s">
        <v>57</v>
      </c>
    </row>
    <row r="81" customHeight="1" spans="1:42">
      <c r="A81" s="6"/>
      <c r="B81" s="7"/>
      <c r="C81" s="7"/>
      <c r="D81" s="7"/>
      <c r="E81" s="8"/>
      <c r="F81" s="7"/>
      <c r="G81" s="7"/>
      <c r="H81" s="7"/>
      <c r="I81" s="13" t="e">
        <f t="shared" si="21"/>
        <v>#DIV/0!</v>
      </c>
      <c r="J81" s="14"/>
      <c r="K81" s="7"/>
      <c r="L81" s="7"/>
      <c r="M81" s="13" t="e">
        <f t="shared" si="22"/>
        <v>#DIV/0!</v>
      </c>
      <c r="N81" s="15" t="e">
        <f t="shared" si="23"/>
        <v>#DIV/0!</v>
      </c>
      <c r="O81" s="1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customHeight="1" spans="1:42">
      <c r="A82" s="6"/>
      <c r="B82" s="7"/>
      <c r="C82" s="7"/>
      <c r="D82" s="7"/>
      <c r="E82" s="8"/>
      <c r="F82" s="7"/>
      <c r="G82" s="7"/>
      <c r="H82" s="7"/>
      <c r="I82" s="13" t="e">
        <f t="shared" si="21"/>
        <v>#DIV/0!</v>
      </c>
      <c r="J82" s="14"/>
      <c r="K82" s="7"/>
      <c r="L82" s="7"/>
      <c r="M82" s="13" t="e">
        <f t="shared" si="22"/>
        <v>#DIV/0!</v>
      </c>
      <c r="N82" s="15" t="e">
        <f t="shared" si="23"/>
        <v>#DIV/0!</v>
      </c>
      <c r="O82" s="1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customHeight="1" spans="1:42">
      <c r="A83" s="6"/>
      <c r="B83" s="7"/>
      <c r="C83" s="7"/>
      <c r="D83" s="7"/>
      <c r="E83" s="8"/>
      <c r="F83" s="7"/>
      <c r="G83" s="7"/>
      <c r="H83" s="7"/>
      <c r="I83" s="13" t="e">
        <f t="shared" si="21"/>
        <v>#DIV/0!</v>
      </c>
      <c r="J83" s="14"/>
      <c r="K83" s="7"/>
      <c r="L83" s="7"/>
      <c r="M83" s="13" t="e">
        <f t="shared" si="22"/>
        <v>#DIV/0!</v>
      </c>
      <c r="N83" s="15" t="e">
        <f t="shared" si="23"/>
        <v>#DIV/0!</v>
      </c>
      <c r="O83" s="1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customHeight="1" spans="1:42">
      <c r="A84" s="6"/>
      <c r="B84" s="7"/>
      <c r="C84" s="7"/>
      <c r="D84" s="7"/>
      <c r="E84" s="8"/>
      <c r="F84" s="7"/>
      <c r="G84" s="7"/>
      <c r="H84" s="7"/>
      <c r="I84" s="13" t="e">
        <f t="shared" si="21"/>
        <v>#DIV/0!</v>
      </c>
      <c r="J84" s="14"/>
      <c r="K84" s="7"/>
      <c r="L84" s="7"/>
      <c r="M84" s="13" t="e">
        <f t="shared" si="22"/>
        <v>#DIV/0!</v>
      </c>
      <c r="N84" s="15" t="e">
        <f t="shared" si="23"/>
        <v>#DIV/0!</v>
      </c>
      <c r="O84" s="1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customHeight="1" spans="1:42">
      <c r="A85" s="6"/>
      <c r="B85" s="7"/>
      <c r="C85" s="7"/>
      <c r="D85" s="7"/>
      <c r="E85" s="8"/>
      <c r="F85" s="7"/>
      <c r="G85" s="7"/>
      <c r="H85" s="7"/>
      <c r="I85" s="13" t="e">
        <f t="shared" si="21"/>
        <v>#DIV/0!</v>
      </c>
      <c r="J85" s="14"/>
      <c r="K85" s="7"/>
      <c r="L85" s="7"/>
      <c r="M85" s="13" t="e">
        <f t="shared" si="22"/>
        <v>#DIV/0!</v>
      </c>
      <c r="N85" s="15" t="e">
        <f t="shared" si="23"/>
        <v>#DIV/0!</v>
      </c>
      <c r="O85" s="1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customHeight="1" spans="1:42">
      <c r="A86" s="6"/>
      <c r="B86" s="7"/>
      <c r="C86" s="7"/>
      <c r="D86" s="7"/>
      <c r="E86" s="8"/>
      <c r="F86" s="7"/>
      <c r="G86" s="7"/>
      <c r="H86" s="7"/>
      <c r="I86" s="13" t="e">
        <f t="shared" si="21"/>
        <v>#DIV/0!</v>
      </c>
      <c r="J86" s="14"/>
      <c r="K86" s="7"/>
      <c r="L86" s="7"/>
      <c r="M86" s="13" t="e">
        <f t="shared" si="22"/>
        <v>#DIV/0!</v>
      </c>
      <c r="N86" s="15" t="e">
        <f t="shared" si="23"/>
        <v>#DIV/0!</v>
      </c>
      <c r="O86" s="1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customHeight="1" spans="1:42">
      <c r="A87" s="6"/>
      <c r="B87" s="7"/>
      <c r="C87" s="7"/>
      <c r="D87" s="7"/>
      <c r="E87" s="8"/>
      <c r="F87" s="7"/>
      <c r="G87" s="7"/>
      <c r="H87" s="7"/>
      <c r="I87" s="13" t="e">
        <f t="shared" si="21"/>
        <v>#DIV/0!</v>
      </c>
      <c r="J87" s="14"/>
      <c r="K87" s="7"/>
      <c r="L87" s="7"/>
      <c r="M87" s="13" t="e">
        <f t="shared" si="22"/>
        <v>#DIV/0!</v>
      </c>
      <c r="N87" s="15" t="e">
        <f t="shared" si="23"/>
        <v>#DIV/0!</v>
      </c>
      <c r="O87" s="1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customHeight="1" spans="1:42">
      <c r="A88" s="6"/>
      <c r="B88" s="7"/>
      <c r="C88" s="7"/>
      <c r="D88" s="7"/>
      <c r="E88" s="8"/>
      <c r="F88" s="7"/>
      <c r="G88" s="7"/>
      <c r="H88" s="7"/>
      <c r="I88" s="13" t="e">
        <f t="shared" si="21"/>
        <v>#DIV/0!</v>
      </c>
      <c r="J88" s="14"/>
      <c r="K88" s="7"/>
      <c r="L88" s="7"/>
      <c r="M88" s="13" t="e">
        <f t="shared" si="22"/>
        <v>#DIV/0!</v>
      </c>
      <c r="N88" s="15" t="e">
        <f t="shared" si="23"/>
        <v>#DIV/0!</v>
      </c>
      <c r="O88" s="1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customHeight="1" spans="1:42">
      <c r="A89" s="6"/>
      <c r="B89" s="7"/>
      <c r="C89" s="7"/>
      <c r="D89" s="7"/>
      <c r="E89" s="8"/>
      <c r="F89" s="7"/>
      <c r="G89" s="7"/>
      <c r="H89" s="7"/>
      <c r="I89" s="13" t="e">
        <f t="shared" si="21"/>
        <v>#DIV/0!</v>
      </c>
      <c r="J89" s="14"/>
      <c r="K89" s="7"/>
      <c r="L89" s="7"/>
      <c r="M89" s="13" t="e">
        <f t="shared" si="22"/>
        <v>#DIV/0!</v>
      </c>
      <c r="N89" s="15" t="e">
        <f t="shared" si="23"/>
        <v>#DIV/0!</v>
      </c>
      <c r="O89" s="1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customHeight="1" spans="1:42">
      <c r="A90" s="6"/>
      <c r="B90" s="7"/>
      <c r="C90" s="7"/>
      <c r="D90" s="7"/>
      <c r="E90" s="8"/>
      <c r="F90" s="7"/>
      <c r="G90" s="7"/>
      <c r="H90" s="7"/>
      <c r="I90" s="13" t="e">
        <f t="shared" si="21"/>
        <v>#DIV/0!</v>
      </c>
      <c r="J90" s="14"/>
      <c r="K90" s="7"/>
      <c r="L90" s="7"/>
      <c r="M90" s="13" t="e">
        <f t="shared" si="22"/>
        <v>#DIV/0!</v>
      </c>
      <c r="N90" s="15" t="e">
        <f t="shared" si="23"/>
        <v>#DIV/0!</v>
      </c>
      <c r="O90" s="1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customHeight="1" spans="1:42">
      <c r="A91" s="6"/>
      <c r="B91" s="7"/>
      <c r="C91" s="7"/>
      <c r="D91" s="7"/>
      <c r="E91" s="8"/>
      <c r="F91" s="7"/>
      <c r="G91" s="7"/>
      <c r="H91" s="7"/>
      <c r="I91" s="13" t="e">
        <f t="shared" si="21"/>
        <v>#DIV/0!</v>
      </c>
      <c r="J91" s="14"/>
      <c r="K91" s="7"/>
      <c r="L91" s="7"/>
      <c r="M91" s="13" t="e">
        <f t="shared" si="22"/>
        <v>#DIV/0!</v>
      </c>
      <c r="N91" s="15" t="e">
        <f t="shared" si="23"/>
        <v>#DIV/0!</v>
      </c>
      <c r="O91" s="1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18" customHeight="1" spans="1:15">
      <c r="A92" s="18"/>
      <c r="B92" s="19"/>
      <c r="C92" s="19"/>
      <c r="D92" s="19"/>
      <c r="E92" s="20"/>
      <c r="I92" s="21"/>
      <c r="J92" s="22"/>
      <c r="M92" s="22"/>
      <c r="N92" s="21"/>
      <c r="O92" s="23"/>
    </row>
    <row r="93" customHeight="1" spans="9:16380">
      <c r="I93" s="21"/>
      <c r="J93" s="22"/>
      <c r="XEV93"/>
      <c r="XEW93"/>
      <c r="XEX93"/>
      <c r="XEY93"/>
      <c r="XEZ93"/>
    </row>
    <row r="94" ht="18" customHeight="1" spans="9:16380">
      <c r="I94" s="21"/>
      <c r="J94" s="22"/>
      <c r="XEV94"/>
      <c r="XEW94"/>
      <c r="XEX94"/>
      <c r="XEY94"/>
      <c r="XEZ94"/>
    </row>
    <row r="95" customHeight="1" spans="16376:16380">
      <c r="XEV95"/>
      <c r="XEW95"/>
      <c r="XEX95"/>
      <c r="XEY95"/>
      <c r="XEZ95"/>
    </row>
    <row r="96" customHeight="1" spans="16376:16380">
      <c r="XEV96"/>
      <c r="XEW96"/>
      <c r="XEX96"/>
      <c r="XEY96"/>
      <c r="XEZ96"/>
    </row>
    <row r="97" customHeight="1" spans="16376:16380">
      <c r="XEV97"/>
      <c r="XEW97"/>
      <c r="XEX97"/>
      <c r="XEY97"/>
      <c r="XEZ97"/>
    </row>
    <row r="98" customHeight="1" spans="16376:16380">
      <c r="XEV98"/>
      <c r="XEW98"/>
      <c r="XEX98"/>
      <c r="XEY98"/>
      <c r="XEZ98"/>
    </row>
  </sheetData>
  <autoFilter ref="A3:AP91">
    <extLst/>
  </autoFilter>
  <mergeCells count="8">
    <mergeCell ref="A1:AP1"/>
    <mergeCell ref="F2:I2"/>
    <mergeCell ref="J2:M2"/>
    <mergeCell ref="O2:AP2"/>
    <mergeCell ref="A2:A3"/>
    <mergeCell ref="B2:B3"/>
    <mergeCell ref="C2:C3"/>
    <mergeCell ref="E2:E3"/>
  </mergeCells>
  <conditionalFormatting sqref="I$1:I$1048576">
    <cfRule type="cellIs" dxfId="0" priority="7" operator="lessThan">
      <formula>0.9699</formula>
    </cfRule>
    <cfRule type="cellIs" dxfId="1" priority="8" operator="between">
      <formula>0.9899</formula>
      <formula>0.97</formula>
    </cfRule>
    <cfRule type="cellIs" dxfId="2" priority="10" operator="between">
      <formula>1</formula>
      <formula>0.99</formula>
    </cfRule>
    <cfRule type="cellIs" dxfId="3" priority="11" operator="between">
      <formula>1</formula>
      <formula>0.99</formula>
    </cfRule>
    <cfRule type="cellIs" dxfId="4" priority="12" operator="between">
      <formula>1</formula>
      <formula>0.99</formula>
    </cfRule>
    <cfRule type="cellIs" dxfId="2" priority="13" operator="between">
      <formula>1</formula>
      <formula>0.99</formula>
    </cfRule>
  </conditionalFormatting>
  <conditionalFormatting sqref="M$1:M$1048576">
    <cfRule type="cellIs" dxfId="0" priority="4" operator="lessThan">
      <formula>0.9699</formula>
    </cfRule>
    <cfRule type="cellIs" dxfId="1" priority="5" operator="between">
      <formula>0.9899</formula>
      <formula>0.97</formula>
    </cfRule>
    <cfRule type="cellIs" dxfId="2" priority="6" operator="between">
      <formula>1</formula>
      <formula>0.99</formula>
    </cfRule>
    <cfRule type="cellIs" dxfId="2" priority="9" operator="between">
      <formula>1</formula>
      <formula>0.99</formula>
    </cfRule>
  </conditionalFormatting>
  <conditionalFormatting sqref="M4:M9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$1:N$1048576">
    <cfRule type="cellIs" dxfId="0" priority="1" operator="lessThan">
      <formula>0.95</formula>
    </cfRule>
    <cfRule type="cellIs" dxfId="1" priority="2" operator="between">
      <formula>0.9699</formula>
      <formula>0.95</formula>
    </cfRule>
    <cfRule type="cellIs" dxfId="2" priority="3" operator="between">
      <formula>1</formula>
      <formula>0.97</formula>
    </cfRule>
  </conditionalFormatting>
  <conditionalFormatting sqref="N4:N9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" r:id="rId3" display="BH47NPI良率状况"/>
  </hyperlinks>
  <printOptions horizontalCentered="1" verticalCentered="1"/>
  <pageMargins left="0" right="0" top="0" bottom="0" header="0" footer="0"/>
  <pageSetup paperSize="9" scale="90" orientation="landscape" horizontalDpi="1200" verticalDpi="12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BH47NPI良率统计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windows7x64</cp:lastModifiedBy>
  <dcterms:created xsi:type="dcterms:W3CDTF">2015-06-05T18:19:00Z</dcterms:created>
  <dcterms:modified xsi:type="dcterms:W3CDTF">2025-06-23T11:27:52Z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KSOReadingLayout">
    <vt:bool>true</vt:bool>
  </property>
</Properties>
</file>